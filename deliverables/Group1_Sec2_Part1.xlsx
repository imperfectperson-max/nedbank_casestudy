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24597351\Documents\QYF Nedbank\"/>
    </mc:Choice>
  </mc:AlternateContent>
  <xr:revisionPtr revIDLastSave="0" documentId="13_ncr:1_{7B96D23D-1304-474A-9AB7-FF068F7A7419}" xr6:coauthVersionLast="47" xr6:coauthVersionMax="47" xr10:uidLastSave="{00000000-0000-0000-0000-000000000000}"/>
  <bookViews>
    <workbookView xWindow="-108" yWindow="-108" windowWidth="23256" windowHeight="12456" tabRatio="882" activeTab="1" xr2:uid="{00000000-000D-0000-FFFF-FFFF00000000}"/>
  </bookViews>
  <sheets>
    <sheet name="Instructions" sheetId="28" r:id="rId1"/>
    <sheet name="Answer Sheet" sheetId="30" r:id="rId2"/>
    <sheet name="Pricing model EnergiCore" sheetId="35" r:id="rId3"/>
    <sheet name="Question 2.3" sheetId="41" r:id="rId4"/>
    <sheet name="Question 2.4" sheetId="42" r:id="rId5"/>
    <sheet name="Question 2.5" sheetId="43" r:id="rId6"/>
    <sheet name="IGNORE- RAROC, set PD, 11.75COF" sheetId="36" state="hidden" r:id="rId7"/>
  </sheets>
  <externalReferences>
    <externalReference r:id="rId8"/>
    <externalReference r:id="rId9"/>
  </externalReferences>
  <definedNames>
    <definedName name="Asset_Rsquare" localSheetId="0">'[1]CCG Betas'!$AB$5:$AC$67</definedName>
    <definedName name="Asset_Rsquare">#REF!</definedName>
    <definedName name="Balance_Sheet_Item">#REF!</definedName>
    <definedName name="BalanceSheetItem">#REF!</definedName>
    <definedName name="Base_FTP">#REF!</definedName>
    <definedName name="Base_FTP_Rate">#REF!</definedName>
    <definedName name="Base_FTP_Type">#REF!</definedName>
    <definedName name="BU" localSheetId="0">[1]Inputs!$G$9</definedName>
    <definedName name="BU">#REF!</definedName>
    <definedName name="Business_Banking">#REF!</definedName>
    <definedName name="Business_Unit" localSheetId="0">[1]Lookups!$A$2:$A$5</definedName>
    <definedName name="Business_Unit">#REF!</definedName>
    <definedName name="Capital">#REF!</definedName>
    <definedName name="CoF_Adjustment">#REF!</definedName>
    <definedName name="Cognos_Input_Summary" localSheetId="0">'[1]Cognos Inputs (NEW)'!$D$2:$J$18</definedName>
    <definedName name="Cognos_Input_Summary">#REF!</definedName>
    <definedName name="Cognos_Inputs" localSheetId="0">'[1]Cognos Inputs (OLD)'!$D$25:$AZ$162</definedName>
    <definedName name="Cognos_Inputs">#REF!</definedName>
    <definedName name="Corporate">#REF!</definedName>
    <definedName name="Diversification_Cost">#REF!</definedName>
    <definedName name="EAD_existing">#REF!</definedName>
    <definedName name="GL_Number">#REF!</definedName>
    <definedName name="gt_98pct">#REF!</definedName>
    <definedName name="IDTR">'[2]Daily Published Curve'!$J$29</definedName>
    <definedName name="IS_BS" localSheetId="0">'[1]Cognos Inputs (OLD)'!$JP$37:$LA$380</definedName>
    <definedName name="IS_BS">#REF!</definedName>
    <definedName name="Jibar">'[2]Daily Published Curve'!$I$34</definedName>
    <definedName name="JIBAR_T">'[2]Daily Published Curve'!$J$34</definedName>
    <definedName name="JIBARR">'[2]Daily Published Curve'!$O$24</definedName>
    <definedName name="LGD_existing">#REF!</definedName>
    <definedName name="Liquid_Asset_Buffer">#REF!</definedName>
    <definedName name="Liquid_Prem">#REF!</definedName>
    <definedName name="lt_4pct">#REF!</definedName>
    <definedName name="lt_98pct">#REF!</definedName>
    <definedName name="Masterscale" localSheetId="0">'[1]CCG Betas'!$AE$5:$AF$31</definedName>
    <definedName name="Masterscale">#REF!</definedName>
    <definedName name="Maturity_date">#REF!</definedName>
    <definedName name="NBIRS">[2]RT_Swaps!$A$3:$D$20</definedName>
    <definedName name="NBIRS_2">[2]RT_Swaps!$G$4:$I$12</definedName>
    <definedName name="Origination_Date" localSheetId="0">[1]Inputs!$L$9</definedName>
    <definedName name="Origination_Date">#REF!</definedName>
    <definedName name="PD_Existing">#REF!</definedName>
    <definedName name="Private_Wealth">#REF!</definedName>
    <definedName name="Segment" localSheetId="0">[1]CCG!$B$54:$B$66</definedName>
    <definedName name="Segment">#REF!</definedName>
    <definedName name="SNP_b">#REF!</definedName>
    <definedName name="SNP_EAD">#REF!</definedName>
    <definedName name="SNP_EADLGD">#REF!</definedName>
    <definedName name="SNP_EADSQR">#REF!</definedName>
    <definedName name="solver_adj" localSheetId="6" hidden="1">'IGNORE- RAROC, set PD, 11.75COF'!#REF!</definedName>
    <definedName name="solver_adj" localSheetId="2" hidden="1">'Pricing model EnergiCore'!#REF!</definedName>
    <definedName name="solver_adj" localSheetId="3" hidden="1">'Question 2.3'!#REF!</definedName>
    <definedName name="solver_adj" localSheetId="4" hidden="1">'Question 2.4'!#REF!</definedName>
    <definedName name="solver_adj" localSheetId="5" hidden="1">'Question 2.5'!#REF!</definedName>
    <definedName name="solver_cvg" localSheetId="6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6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ng" localSheetId="6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st" localSheetId="6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6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mip" localSheetId="6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6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6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6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6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6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6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wt" localSheetId="6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6" hidden="1">'IGNORE- RAROC, set PD, 11.75COF'!$C$44</definedName>
    <definedName name="solver_opt" localSheetId="2" hidden="1">'Pricing model EnergiCore'!$C$44</definedName>
    <definedName name="solver_opt" localSheetId="3" hidden="1">'Question 2.3'!$C$44</definedName>
    <definedName name="solver_opt" localSheetId="4" hidden="1">'Question 2.4'!$C$44</definedName>
    <definedName name="solver_opt" localSheetId="5" hidden="1">'Question 2.5'!$C$44</definedName>
    <definedName name="solver_pre" localSheetId="6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6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lx" localSheetId="6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6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6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ho" localSheetId="6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pread" localSheetId="6">'IGNORE- RAROC, set PD, 11.75COF'!#REF!</definedName>
    <definedName name="Solver_Spread" localSheetId="2">'Pricing model EnergiCore'!#REF!</definedName>
    <definedName name="Solver_Spread" localSheetId="3">'Question 2.3'!#REF!</definedName>
    <definedName name="Solver_Spread" localSheetId="4">'Question 2.4'!#REF!</definedName>
    <definedName name="Solver_Spread" localSheetId="5">'Question 2.5'!#REF!</definedName>
    <definedName name="Solver_Spread">#REF!</definedName>
    <definedName name="solver_ssz" localSheetId="6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arget" localSheetId="6">'IGNORE- RAROC, set PD, 11.75COF'!#REF!</definedName>
    <definedName name="Solver_Target" localSheetId="2">'Pricing model EnergiCore'!#REF!</definedName>
    <definedName name="Solver_Target" localSheetId="3">'Question 2.3'!#REF!</definedName>
    <definedName name="Solver_Target" localSheetId="4">'Question 2.4'!#REF!</definedName>
    <definedName name="Solver_Target" localSheetId="5">'Question 2.5'!#REF!</definedName>
    <definedName name="Solver_Target">#REF!</definedName>
    <definedName name="solver_tim" localSheetId="6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6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6" hidden="1">3</definedName>
    <definedName name="solver_typ" localSheetId="2" hidden="1">3</definedName>
    <definedName name="solver_typ" localSheetId="3" hidden="1">3</definedName>
    <definedName name="solver_typ" localSheetId="4" hidden="1">3</definedName>
    <definedName name="solver_typ" localSheetId="5" hidden="1">3</definedName>
    <definedName name="solver_val" localSheetId="6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6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Term_days">#REF!</definedName>
    <definedName name="VAF_Masterscale" localSheetId="0">'[1]CCG Betas'!$AE$34:$AF$90</definedName>
    <definedName name="VAF_Mastersca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43" l="1"/>
  <c r="Q7" i="43"/>
  <c r="Q8" i="43"/>
  <c r="Q9" i="43"/>
  <c r="Q10" i="43"/>
  <c r="Q11" i="43"/>
  <c r="Q12" i="43"/>
  <c r="Q13" i="43"/>
  <c r="Q14" i="43"/>
  <c r="Q15" i="43"/>
  <c r="Q16" i="43"/>
  <c r="Q17" i="43"/>
  <c r="Q18" i="43"/>
  <c r="Q19" i="43"/>
  <c r="Q20" i="43"/>
  <c r="Q21" i="43"/>
  <c r="Q22" i="43"/>
  <c r="Q23" i="43"/>
  <c r="Q24" i="43"/>
  <c r="Q25" i="43"/>
  <c r="Q26" i="43"/>
  <c r="Q27" i="43"/>
  <c r="Q28" i="43"/>
  <c r="Q29" i="43"/>
  <c r="Q30" i="43"/>
  <c r="Q31" i="43"/>
  <c r="Q32" i="43"/>
  <c r="Q33" i="43"/>
  <c r="Q34" i="43"/>
  <c r="Q35" i="43"/>
  <c r="Q36" i="43"/>
  <c r="Q37" i="43"/>
  <c r="Q38" i="43"/>
  <c r="Q39" i="43"/>
  <c r="Q40" i="43"/>
  <c r="Q41" i="43"/>
  <c r="Q42" i="43"/>
  <c r="Q43" i="43"/>
  <c r="Q44" i="43"/>
  <c r="Q45" i="43"/>
  <c r="Q46" i="43"/>
  <c r="Q47" i="43"/>
  <c r="Q48" i="43"/>
  <c r="Q49" i="43"/>
  <c r="Q50" i="43"/>
  <c r="Q51" i="43"/>
  <c r="Q52" i="43"/>
  <c r="Q53" i="43"/>
  <c r="Q54" i="43"/>
  <c r="Q55" i="43"/>
  <c r="Q56" i="43"/>
  <c r="Q57" i="43"/>
  <c r="Q58" i="43"/>
  <c r="Q59" i="43"/>
  <c r="Q60" i="43"/>
  <c r="Q61" i="43"/>
  <c r="Q62" i="43"/>
  <c r="Q63" i="43"/>
  <c r="Q64" i="43"/>
  <c r="Q65" i="43"/>
  <c r="Q66" i="43"/>
  <c r="Q67" i="43"/>
  <c r="Q68" i="43"/>
  <c r="Q69" i="43"/>
  <c r="Q70" i="43"/>
  <c r="Q71" i="43"/>
  <c r="Q72" i="43"/>
  <c r="Q73" i="43"/>
  <c r="Q74" i="43"/>
  <c r="Q75" i="43"/>
  <c r="Q76" i="43"/>
  <c r="Q77" i="43"/>
  <c r="Q78" i="43"/>
  <c r="Q79" i="43"/>
  <c r="Q80" i="43"/>
  <c r="Q81" i="43"/>
  <c r="Q82" i="43"/>
  <c r="Q83" i="43"/>
  <c r="Q84" i="43"/>
  <c r="Q85" i="43"/>
  <c r="Q86" i="43"/>
  <c r="Q87" i="43"/>
  <c r="Q88" i="43"/>
  <c r="Q89" i="43"/>
  <c r="Q90" i="43"/>
  <c r="Q91" i="43"/>
  <c r="Q92" i="43"/>
  <c r="Q93" i="43"/>
  <c r="Q94" i="43"/>
  <c r="Q95" i="43"/>
  <c r="Q96" i="43"/>
  <c r="Q97" i="43"/>
  <c r="Q98" i="43"/>
  <c r="Q99" i="43"/>
  <c r="Q100" i="43"/>
  <c r="Q101" i="43"/>
  <c r="Q102" i="43"/>
  <c r="Q103" i="43"/>
  <c r="Q104" i="43"/>
  <c r="Q105" i="43"/>
  <c r="Q106" i="43"/>
  <c r="Q107" i="43"/>
  <c r="Q108" i="43"/>
  <c r="Q109" i="43"/>
  <c r="Q110" i="43"/>
  <c r="Q111" i="43"/>
  <c r="Q112" i="43"/>
  <c r="Q113" i="43"/>
  <c r="Q114" i="43"/>
  <c r="Q115" i="43"/>
  <c r="Q116" i="43"/>
  <c r="Q117" i="43"/>
  <c r="Q118" i="43"/>
  <c r="Q119" i="43"/>
  <c r="Q120" i="43"/>
  <c r="Q121" i="43"/>
  <c r="Q122" i="43"/>
  <c r="Q123" i="43"/>
  <c r="Q124" i="43"/>
  <c r="Q5" i="43"/>
  <c r="AC6" i="43"/>
  <c r="AC7" i="43"/>
  <c r="AC8" i="43"/>
  <c r="AC9" i="43"/>
  <c r="AC10" i="43"/>
  <c r="AC11" i="43"/>
  <c r="AC12" i="43"/>
  <c r="AC13" i="43"/>
  <c r="AC14" i="43"/>
  <c r="AC15" i="43"/>
  <c r="AC16" i="43"/>
  <c r="AC17" i="43"/>
  <c r="AC18" i="43"/>
  <c r="AC19" i="43"/>
  <c r="AC20" i="43"/>
  <c r="AC21" i="43"/>
  <c r="AC22" i="43"/>
  <c r="AC23" i="43"/>
  <c r="AC24" i="43"/>
  <c r="AC25" i="43"/>
  <c r="AC26" i="43"/>
  <c r="AC27" i="43"/>
  <c r="AC28" i="43"/>
  <c r="AC29" i="43"/>
  <c r="AC30" i="43"/>
  <c r="AC31" i="43"/>
  <c r="AC32" i="43"/>
  <c r="AC33" i="43"/>
  <c r="AC34" i="43"/>
  <c r="AC35" i="43"/>
  <c r="AC36" i="43"/>
  <c r="AC37" i="43"/>
  <c r="AC38" i="43"/>
  <c r="AC39" i="43"/>
  <c r="AC40" i="43"/>
  <c r="AC41" i="43"/>
  <c r="AC42" i="43"/>
  <c r="AC43" i="43"/>
  <c r="AC44" i="43"/>
  <c r="AC45" i="43"/>
  <c r="AC46" i="43"/>
  <c r="AC47" i="43"/>
  <c r="AC48" i="43"/>
  <c r="AC49" i="43"/>
  <c r="AC50" i="43"/>
  <c r="AC51" i="43"/>
  <c r="AC52" i="43"/>
  <c r="AC53" i="43"/>
  <c r="AC54" i="43"/>
  <c r="AC55" i="43"/>
  <c r="AC56" i="43"/>
  <c r="AC57" i="43"/>
  <c r="AC58" i="43"/>
  <c r="AC59" i="43"/>
  <c r="AC60" i="43"/>
  <c r="AC61" i="43"/>
  <c r="AC62" i="43"/>
  <c r="AC63" i="43"/>
  <c r="AC64" i="43"/>
  <c r="AC65" i="43"/>
  <c r="AC66" i="43"/>
  <c r="AC67" i="43"/>
  <c r="AC68" i="43"/>
  <c r="AC69" i="43"/>
  <c r="AC70" i="43"/>
  <c r="AC71" i="43"/>
  <c r="AC72" i="43"/>
  <c r="AC73" i="43"/>
  <c r="AC74" i="43"/>
  <c r="AC75" i="43"/>
  <c r="AC76" i="43"/>
  <c r="AC77" i="43"/>
  <c r="AC78" i="43"/>
  <c r="AC79" i="43"/>
  <c r="AC80" i="43"/>
  <c r="AC81" i="43"/>
  <c r="AC82" i="43"/>
  <c r="AC83" i="43"/>
  <c r="AC84" i="43"/>
  <c r="AC85" i="43"/>
  <c r="AC86" i="43"/>
  <c r="AC87" i="43"/>
  <c r="AC88" i="43"/>
  <c r="AC89" i="43"/>
  <c r="AC90" i="43"/>
  <c r="AC91" i="43"/>
  <c r="AC92" i="43"/>
  <c r="AC93" i="43"/>
  <c r="AC94" i="43"/>
  <c r="AC95" i="43"/>
  <c r="AC96" i="43"/>
  <c r="AC97" i="43"/>
  <c r="AC98" i="43"/>
  <c r="AC99" i="43"/>
  <c r="AC100" i="43"/>
  <c r="AC101" i="43"/>
  <c r="AC102" i="43"/>
  <c r="AC103" i="43"/>
  <c r="AC104" i="43"/>
  <c r="AC105" i="43"/>
  <c r="AC106" i="43"/>
  <c r="AC107" i="43"/>
  <c r="AC108" i="43"/>
  <c r="AC109" i="43"/>
  <c r="AC110" i="43"/>
  <c r="AC111" i="43"/>
  <c r="AC112" i="43"/>
  <c r="AC113" i="43"/>
  <c r="AC114" i="43"/>
  <c r="AC115" i="43"/>
  <c r="AC116" i="43"/>
  <c r="AC117" i="43"/>
  <c r="AC118" i="43"/>
  <c r="AC119" i="43"/>
  <c r="AC120" i="43"/>
  <c r="AC121" i="43"/>
  <c r="AC122" i="43"/>
  <c r="AC123" i="43"/>
  <c r="AC124" i="43"/>
  <c r="AC5" i="43"/>
  <c r="AC6" i="42"/>
  <c r="AC7" i="42"/>
  <c r="AC8" i="42"/>
  <c r="AC9" i="42"/>
  <c r="AC10" i="42"/>
  <c r="AC11" i="42"/>
  <c r="AC12" i="42"/>
  <c r="AC13" i="42"/>
  <c r="AC14" i="42"/>
  <c r="AC15" i="42"/>
  <c r="AC16" i="42"/>
  <c r="AC17" i="42"/>
  <c r="AC18" i="42"/>
  <c r="AC19" i="42"/>
  <c r="AC20" i="42"/>
  <c r="AC21" i="42"/>
  <c r="AC22" i="42"/>
  <c r="AC23" i="42"/>
  <c r="AC24" i="42"/>
  <c r="AC25" i="42"/>
  <c r="AC26" i="42"/>
  <c r="AC27" i="42"/>
  <c r="AC28" i="42"/>
  <c r="AC29" i="42"/>
  <c r="AC30" i="42"/>
  <c r="AC31" i="42"/>
  <c r="AC32" i="42"/>
  <c r="AC33" i="42"/>
  <c r="AC34" i="42"/>
  <c r="AC35" i="42"/>
  <c r="AC36" i="42"/>
  <c r="AC37" i="42"/>
  <c r="AC38" i="42"/>
  <c r="AC39" i="42"/>
  <c r="AC40" i="42"/>
  <c r="AC41" i="42"/>
  <c r="AC42" i="42"/>
  <c r="AC43" i="42"/>
  <c r="AC44" i="42"/>
  <c r="AC45" i="42"/>
  <c r="AC46" i="42"/>
  <c r="AC47" i="42"/>
  <c r="AC48" i="42"/>
  <c r="AC49" i="42"/>
  <c r="AC50" i="42"/>
  <c r="AC51" i="42"/>
  <c r="AC52" i="42"/>
  <c r="AC53" i="42"/>
  <c r="AC54" i="42"/>
  <c r="AC55" i="42"/>
  <c r="AC56" i="42"/>
  <c r="AC57" i="42"/>
  <c r="AC58" i="42"/>
  <c r="AC59" i="42"/>
  <c r="AC60" i="42"/>
  <c r="AC61" i="42"/>
  <c r="AC62" i="42"/>
  <c r="AC63" i="42"/>
  <c r="AC64" i="42"/>
  <c r="AC65" i="42"/>
  <c r="AC66" i="42"/>
  <c r="AC67" i="42"/>
  <c r="AC68" i="42"/>
  <c r="AC69" i="42"/>
  <c r="AC70" i="42"/>
  <c r="AC71" i="42"/>
  <c r="AC72" i="42"/>
  <c r="AC73" i="42"/>
  <c r="AC74" i="42"/>
  <c r="AC75" i="42"/>
  <c r="AC76" i="42"/>
  <c r="AC77" i="42"/>
  <c r="AC78" i="42"/>
  <c r="AC79" i="42"/>
  <c r="AC80" i="42"/>
  <c r="AC81" i="42"/>
  <c r="AC82" i="42"/>
  <c r="AC83" i="42"/>
  <c r="AC84" i="42"/>
  <c r="AC85" i="42"/>
  <c r="AC86" i="42"/>
  <c r="AC87" i="42"/>
  <c r="AC88" i="42"/>
  <c r="AC89" i="42"/>
  <c r="AC90" i="42"/>
  <c r="AC91" i="42"/>
  <c r="AC92" i="42"/>
  <c r="AC93" i="42"/>
  <c r="AC94" i="42"/>
  <c r="AC95" i="42"/>
  <c r="AC96" i="42"/>
  <c r="AC97" i="42"/>
  <c r="AC98" i="42"/>
  <c r="AC99" i="42"/>
  <c r="AC100" i="42"/>
  <c r="AC101" i="42"/>
  <c r="AC102" i="42"/>
  <c r="AC103" i="42"/>
  <c r="AC104" i="42"/>
  <c r="AC105" i="42"/>
  <c r="AC106" i="42"/>
  <c r="AC107" i="42"/>
  <c r="AC108" i="42"/>
  <c r="AC109" i="42"/>
  <c r="AC110" i="42"/>
  <c r="AC111" i="42"/>
  <c r="AC112" i="42"/>
  <c r="AC113" i="42"/>
  <c r="AC114" i="42"/>
  <c r="AC115" i="42"/>
  <c r="AC116" i="42"/>
  <c r="AC117" i="42"/>
  <c r="AC118" i="42"/>
  <c r="AC119" i="42"/>
  <c r="AC120" i="42"/>
  <c r="AC121" i="42"/>
  <c r="AC122" i="42"/>
  <c r="AC123" i="42"/>
  <c r="AC124" i="42"/>
  <c r="AC5" i="42"/>
  <c r="C43" i="35"/>
  <c r="AC6" i="41"/>
  <c r="AC7" i="41"/>
  <c r="AC8" i="41"/>
  <c r="AC9" i="41"/>
  <c r="AC10" i="41"/>
  <c r="AC11" i="41"/>
  <c r="AC12" i="41"/>
  <c r="AC13" i="41"/>
  <c r="AC14" i="41"/>
  <c r="AC15" i="41"/>
  <c r="AC16" i="41"/>
  <c r="AC17" i="41"/>
  <c r="AC18" i="41"/>
  <c r="AC19" i="41"/>
  <c r="AC20" i="41"/>
  <c r="AC21" i="41"/>
  <c r="AC22" i="41"/>
  <c r="AC23" i="41"/>
  <c r="AC24" i="41"/>
  <c r="AC25" i="41"/>
  <c r="AC26" i="41"/>
  <c r="AC27" i="41"/>
  <c r="AC28" i="41"/>
  <c r="AC29" i="41"/>
  <c r="AC30" i="41"/>
  <c r="AC31" i="41"/>
  <c r="AC32" i="41"/>
  <c r="AC33" i="41"/>
  <c r="AC34" i="41"/>
  <c r="AC35" i="41"/>
  <c r="AC36" i="41"/>
  <c r="AC37" i="41"/>
  <c r="AC38" i="41"/>
  <c r="AC39" i="41"/>
  <c r="AC40" i="41"/>
  <c r="AC41" i="41"/>
  <c r="AC42" i="41"/>
  <c r="AC43" i="41"/>
  <c r="AC44" i="41"/>
  <c r="AC45" i="41"/>
  <c r="AC46" i="41"/>
  <c r="AC47" i="41"/>
  <c r="AC48" i="41"/>
  <c r="AC49" i="41"/>
  <c r="AC50" i="41"/>
  <c r="AC51" i="41"/>
  <c r="AC52" i="41"/>
  <c r="AC53" i="41"/>
  <c r="AC54" i="41"/>
  <c r="AC55" i="41"/>
  <c r="AC56" i="41"/>
  <c r="AC57" i="41"/>
  <c r="AC58" i="41"/>
  <c r="AC59" i="41"/>
  <c r="AC60" i="41"/>
  <c r="AC61" i="41"/>
  <c r="AC62" i="41"/>
  <c r="AC63" i="41"/>
  <c r="AC64" i="41"/>
  <c r="AC65" i="41"/>
  <c r="AC66" i="41"/>
  <c r="AC67" i="41"/>
  <c r="AC68" i="41"/>
  <c r="AC69" i="41"/>
  <c r="AC70" i="41"/>
  <c r="AC71" i="41"/>
  <c r="AC72" i="41"/>
  <c r="AC73" i="41"/>
  <c r="AC74" i="41"/>
  <c r="AC75" i="41"/>
  <c r="AC76" i="41"/>
  <c r="AC77" i="41"/>
  <c r="AC78" i="41"/>
  <c r="AC79" i="41"/>
  <c r="AC80" i="41"/>
  <c r="AC81" i="41"/>
  <c r="AC82" i="41"/>
  <c r="AC83" i="41"/>
  <c r="AC84" i="41"/>
  <c r="AC85" i="41"/>
  <c r="AC86" i="41"/>
  <c r="AC87" i="41"/>
  <c r="AC88" i="41"/>
  <c r="AC89" i="41"/>
  <c r="AC90" i="41"/>
  <c r="AC91" i="41"/>
  <c r="AC92" i="41"/>
  <c r="AC93" i="41"/>
  <c r="AC94" i="41"/>
  <c r="AC95" i="41"/>
  <c r="AC96" i="41"/>
  <c r="AC97" i="41"/>
  <c r="AC98" i="41"/>
  <c r="AC99" i="41"/>
  <c r="AC100" i="41"/>
  <c r="AC101" i="41"/>
  <c r="AC102" i="41"/>
  <c r="AC103" i="41"/>
  <c r="AC104" i="41"/>
  <c r="AC105" i="41"/>
  <c r="AC106" i="41"/>
  <c r="AC107" i="41"/>
  <c r="AC108" i="41"/>
  <c r="AC109" i="41"/>
  <c r="AC110" i="41"/>
  <c r="AC111" i="41"/>
  <c r="AC112" i="41"/>
  <c r="AC113" i="41"/>
  <c r="AC114" i="41"/>
  <c r="AC115" i="41"/>
  <c r="AC116" i="41"/>
  <c r="AC117" i="41"/>
  <c r="AC118" i="41"/>
  <c r="AC119" i="41"/>
  <c r="AC120" i="41"/>
  <c r="AC121" i="41"/>
  <c r="AC122" i="41"/>
  <c r="AC123" i="41"/>
  <c r="AC124" i="41"/>
  <c r="AC5" i="41"/>
  <c r="AC6" i="35"/>
  <c r="AC7" i="35"/>
  <c r="AC8" i="35"/>
  <c r="AD8" i="35" s="1"/>
  <c r="AC9" i="35"/>
  <c r="AD9" i="35" s="1"/>
  <c r="AC10" i="35"/>
  <c r="AD10" i="35" s="1"/>
  <c r="AC11" i="35"/>
  <c r="AD11" i="35" s="1"/>
  <c r="AC12" i="35"/>
  <c r="AD12" i="35" s="1"/>
  <c r="AC13" i="35"/>
  <c r="AD13" i="35" s="1"/>
  <c r="AC14" i="35"/>
  <c r="AC15" i="35"/>
  <c r="AC16" i="35"/>
  <c r="AC17" i="35"/>
  <c r="AC18" i="35"/>
  <c r="AC19" i="35"/>
  <c r="AC20" i="35"/>
  <c r="AD20" i="35" s="1"/>
  <c r="AC21" i="35"/>
  <c r="AD21" i="35" s="1"/>
  <c r="AC22" i="35"/>
  <c r="AC23" i="35"/>
  <c r="AC24" i="35"/>
  <c r="AC25" i="35"/>
  <c r="AD25" i="35" s="1"/>
  <c r="AC26" i="35"/>
  <c r="AD26" i="35" s="1"/>
  <c r="AC27" i="35"/>
  <c r="AD27" i="35" s="1"/>
  <c r="AC28" i="35"/>
  <c r="AD28" i="35" s="1"/>
  <c r="AC29" i="35"/>
  <c r="AD29" i="35" s="1"/>
  <c r="AC30" i="35"/>
  <c r="AC31" i="35"/>
  <c r="AC32" i="35"/>
  <c r="AD32" i="35" s="1"/>
  <c r="AC33" i="35"/>
  <c r="AC34" i="35"/>
  <c r="AD34" i="35" s="1"/>
  <c r="AC35" i="35"/>
  <c r="AD35" i="35" s="1"/>
  <c r="AC36" i="35"/>
  <c r="AD36" i="35" s="1"/>
  <c r="AC37" i="35"/>
  <c r="AD37" i="35" s="1"/>
  <c r="AC38" i="35"/>
  <c r="AC39" i="35"/>
  <c r="AC40" i="35"/>
  <c r="AC41" i="35"/>
  <c r="AC42" i="35"/>
  <c r="AC43" i="35"/>
  <c r="AC44" i="35"/>
  <c r="AC45" i="35"/>
  <c r="AD45" i="35" s="1"/>
  <c r="AC46" i="35"/>
  <c r="AC47" i="35"/>
  <c r="AC48" i="35"/>
  <c r="AC49" i="35"/>
  <c r="AD49" i="35" s="1"/>
  <c r="AC50" i="35"/>
  <c r="AD50" i="35" s="1"/>
  <c r="AC51" i="35"/>
  <c r="AD51" i="35" s="1"/>
  <c r="AC52" i="35"/>
  <c r="AD52" i="35" s="1"/>
  <c r="AC53" i="35"/>
  <c r="AD53" i="35" s="1"/>
  <c r="AC54" i="35"/>
  <c r="AC55" i="35"/>
  <c r="AC56" i="35"/>
  <c r="AC57" i="35"/>
  <c r="AC58" i="35"/>
  <c r="AC59" i="35"/>
  <c r="AD59" i="35" s="1"/>
  <c r="AC60" i="35"/>
  <c r="AD60" i="35" s="1"/>
  <c r="AC61" i="35"/>
  <c r="AD61" i="35" s="1"/>
  <c r="AC62" i="35"/>
  <c r="AC63" i="35"/>
  <c r="AC64" i="35"/>
  <c r="AC65" i="35"/>
  <c r="AC66" i="35"/>
  <c r="AC67" i="35"/>
  <c r="AC68" i="35"/>
  <c r="AC69" i="35"/>
  <c r="AC70" i="35"/>
  <c r="AC71" i="35"/>
  <c r="AC72" i="35"/>
  <c r="AD72" i="35" s="1"/>
  <c r="AC73" i="35"/>
  <c r="AD73" i="35" s="1"/>
  <c r="AC74" i="35"/>
  <c r="AD74" i="35" s="1"/>
  <c r="AC75" i="35"/>
  <c r="AD75" i="35" s="1"/>
  <c r="AC76" i="35"/>
  <c r="AD76" i="35" s="1"/>
  <c r="AC77" i="35"/>
  <c r="AD77" i="35" s="1"/>
  <c r="AC78" i="35"/>
  <c r="AC79" i="35"/>
  <c r="AC80" i="35"/>
  <c r="AC81" i="35"/>
  <c r="AC82" i="35"/>
  <c r="AC83" i="35"/>
  <c r="AC84" i="35"/>
  <c r="AD84" i="35" s="1"/>
  <c r="AC85" i="35"/>
  <c r="AD85" i="35" s="1"/>
  <c r="AC86" i="35"/>
  <c r="AC87" i="35"/>
  <c r="AC88" i="35"/>
  <c r="AC89" i="35"/>
  <c r="AD89" i="35" s="1"/>
  <c r="AC90" i="35"/>
  <c r="AD90" i="35" s="1"/>
  <c r="AC91" i="35"/>
  <c r="AD91" i="35" s="1"/>
  <c r="AC92" i="35"/>
  <c r="AD92" i="35" s="1"/>
  <c r="AC93" i="35"/>
  <c r="AD93" i="35" s="1"/>
  <c r="AC94" i="35"/>
  <c r="AC95" i="35"/>
  <c r="AC96" i="35"/>
  <c r="AD96" i="35" s="1"/>
  <c r="AC97" i="35"/>
  <c r="AC98" i="35"/>
  <c r="AD98" i="35" s="1"/>
  <c r="AC99" i="35"/>
  <c r="AD99" i="35" s="1"/>
  <c r="AC100" i="35"/>
  <c r="AD100" i="35" s="1"/>
  <c r="AC101" i="35"/>
  <c r="AD101" i="35" s="1"/>
  <c r="AC102" i="35"/>
  <c r="AC103" i="35"/>
  <c r="AC104" i="35"/>
  <c r="AC105" i="35"/>
  <c r="AC106" i="35"/>
  <c r="AC107" i="35"/>
  <c r="AC108" i="35"/>
  <c r="AC109" i="35"/>
  <c r="AD109" i="35" s="1"/>
  <c r="AC110" i="35"/>
  <c r="AC111" i="35"/>
  <c r="AC112" i="35"/>
  <c r="AC113" i="35"/>
  <c r="AD113" i="35" s="1"/>
  <c r="AC114" i="35"/>
  <c r="AD114" i="35" s="1"/>
  <c r="AC115" i="35"/>
  <c r="AD115" i="35" s="1"/>
  <c r="AC116" i="35"/>
  <c r="AD116" i="35" s="1"/>
  <c r="AC117" i="35"/>
  <c r="AD117" i="35" s="1"/>
  <c r="AC118" i="35"/>
  <c r="AC119" i="35"/>
  <c r="AC120" i="35"/>
  <c r="AC121" i="35"/>
  <c r="AC122" i="35"/>
  <c r="AC123" i="35"/>
  <c r="AD123" i="35" s="1"/>
  <c r="AC124" i="35"/>
  <c r="AD124" i="35" s="1"/>
  <c r="AC5" i="35"/>
  <c r="AD17" i="35"/>
  <c r="AD18" i="35"/>
  <c r="AD19" i="35"/>
  <c r="AD33" i="35"/>
  <c r="AD41" i="35"/>
  <c r="AD42" i="35"/>
  <c r="AD43" i="35"/>
  <c r="AD44" i="35"/>
  <c r="AD57" i="35"/>
  <c r="AD58" i="35"/>
  <c r="AD65" i="35"/>
  <c r="AD66" i="35"/>
  <c r="AD67" i="35"/>
  <c r="AD68" i="35"/>
  <c r="AD69" i="35"/>
  <c r="AD81" i="35"/>
  <c r="AD82" i="35"/>
  <c r="AD83" i="35"/>
  <c r="AD97" i="35"/>
  <c r="AD105" i="35"/>
  <c r="AD106" i="35"/>
  <c r="AD107" i="35"/>
  <c r="AD108" i="35"/>
  <c r="AD121" i="35"/>
  <c r="AD122" i="35"/>
  <c r="AA6" i="35"/>
  <c r="AA7" i="35"/>
  <c r="AA8" i="35"/>
  <c r="AA9" i="35"/>
  <c r="AA10" i="35"/>
  <c r="AA11" i="35"/>
  <c r="AA12" i="35"/>
  <c r="AA13" i="35"/>
  <c r="AA14" i="35"/>
  <c r="AA15" i="35"/>
  <c r="AA16" i="35"/>
  <c r="AA17" i="35"/>
  <c r="AA18" i="35"/>
  <c r="AA19" i="35"/>
  <c r="AA20" i="35"/>
  <c r="AA21" i="35"/>
  <c r="AA22" i="35"/>
  <c r="AA23" i="35"/>
  <c r="AA24" i="35"/>
  <c r="AA25" i="35"/>
  <c r="AA26" i="35"/>
  <c r="AA27" i="35"/>
  <c r="AA28" i="35"/>
  <c r="AA29" i="35"/>
  <c r="AA30" i="35"/>
  <c r="AA31" i="35"/>
  <c r="AA32" i="35"/>
  <c r="AA33" i="35"/>
  <c r="AA34" i="35"/>
  <c r="AA35" i="35"/>
  <c r="AA36" i="35"/>
  <c r="AA37" i="35"/>
  <c r="AA38" i="35"/>
  <c r="AA39" i="35"/>
  <c r="AA40" i="35"/>
  <c r="AA41" i="35"/>
  <c r="AA42" i="35"/>
  <c r="AA43" i="35"/>
  <c r="AA44" i="35"/>
  <c r="AA45" i="35"/>
  <c r="AA46" i="35"/>
  <c r="AA47" i="35"/>
  <c r="AA48" i="35"/>
  <c r="AA49" i="35"/>
  <c r="AA50" i="35"/>
  <c r="AA51" i="35"/>
  <c r="AA52" i="35"/>
  <c r="AA53" i="35"/>
  <c r="AA54" i="35"/>
  <c r="AA55" i="35"/>
  <c r="AA56" i="35"/>
  <c r="AA57" i="35"/>
  <c r="AA58" i="35"/>
  <c r="AA59" i="35"/>
  <c r="AA60" i="35"/>
  <c r="AA61" i="35"/>
  <c r="AA62" i="35"/>
  <c r="AA63" i="35"/>
  <c r="AA64" i="35"/>
  <c r="AA65" i="35"/>
  <c r="AA66" i="35"/>
  <c r="AA67" i="35"/>
  <c r="AA68" i="35"/>
  <c r="AA69" i="35"/>
  <c r="AA70" i="35"/>
  <c r="AA71" i="35"/>
  <c r="AA72" i="35"/>
  <c r="AA73" i="35"/>
  <c r="AA74" i="35"/>
  <c r="AA75" i="35"/>
  <c r="AA76" i="35"/>
  <c r="AA77" i="35"/>
  <c r="AA78" i="35"/>
  <c r="AA79" i="35"/>
  <c r="AA80" i="35"/>
  <c r="AA81" i="35"/>
  <c r="AA82" i="35"/>
  <c r="AA83" i="35"/>
  <c r="AA84" i="35"/>
  <c r="AA85" i="35"/>
  <c r="AA86" i="35"/>
  <c r="AA87" i="35"/>
  <c r="AA88" i="35"/>
  <c r="AA89" i="35"/>
  <c r="AA90" i="35"/>
  <c r="AA91" i="35"/>
  <c r="AA92" i="35"/>
  <c r="AA93" i="35"/>
  <c r="AA94" i="35"/>
  <c r="AA95" i="35"/>
  <c r="AA96" i="35"/>
  <c r="AA97" i="35"/>
  <c r="AA98" i="35"/>
  <c r="AA99" i="35"/>
  <c r="AA100" i="35"/>
  <c r="AA101" i="35"/>
  <c r="AA102" i="35"/>
  <c r="AA103" i="35"/>
  <c r="AA104" i="35"/>
  <c r="AA105" i="35"/>
  <c r="AA106" i="35"/>
  <c r="AA107" i="35"/>
  <c r="AA108" i="35"/>
  <c r="AA109" i="35"/>
  <c r="AA110" i="35"/>
  <c r="AA111" i="35"/>
  <c r="AA112" i="35"/>
  <c r="AA113" i="35"/>
  <c r="AA114" i="35"/>
  <c r="AA115" i="35"/>
  <c r="AA116" i="35"/>
  <c r="AA117" i="35"/>
  <c r="AA118" i="35"/>
  <c r="AA119" i="35"/>
  <c r="AA120" i="35"/>
  <c r="AA121" i="35"/>
  <c r="AA122" i="35"/>
  <c r="AA123" i="35"/>
  <c r="AA124" i="35"/>
  <c r="AA5" i="35"/>
  <c r="R124" i="43"/>
  <c r="N124" i="43"/>
  <c r="H124" i="43"/>
  <c r="R123" i="43"/>
  <c r="N123" i="43"/>
  <c r="H123" i="43"/>
  <c r="R122" i="43"/>
  <c r="N122" i="43"/>
  <c r="H122" i="43"/>
  <c r="R121" i="43"/>
  <c r="N121" i="43"/>
  <c r="H121" i="43"/>
  <c r="R120" i="43"/>
  <c r="N120" i="43"/>
  <c r="H120" i="43"/>
  <c r="R119" i="43"/>
  <c r="N119" i="43"/>
  <c r="H119" i="43"/>
  <c r="R118" i="43"/>
  <c r="N118" i="43"/>
  <c r="H118" i="43"/>
  <c r="R117" i="43"/>
  <c r="N117" i="43"/>
  <c r="H117" i="43"/>
  <c r="R116" i="43"/>
  <c r="N116" i="43"/>
  <c r="H116" i="43"/>
  <c r="R115" i="43"/>
  <c r="N115" i="43"/>
  <c r="H115" i="43"/>
  <c r="R114" i="43"/>
  <c r="N114" i="43"/>
  <c r="H114" i="43"/>
  <c r="R113" i="43"/>
  <c r="N113" i="43"/>
  <c r="H113" i="43"/>
  <c r="R112" i="43"/>
  <c r="N112" i="43"/>
  <c r="H112" i="43"/>
  <c r="R111" i="43"/>
  <c r="N111" i="43"/>
  <c r="H111" i="43"/>
  <c r="R110" i="43"/>
  <c r="N110" i="43"/>
  <c r="H110" i="43"/>
  <c r="R109" i="43"/>
  <c r="N109" i="43"/>
  <c r="H109" i="43"/>
  <c r="R108" i="43"/>
  <c r="N108" i="43"/>
  <c r="H108" i="43"/>
  <c r="R107" i="43"/>
  <c r="N107" i="43"/>
  <c r="H107" i="43"/>
  <c r="R106" i="43"/>
  <c r="N106" i="43"/>
  <c r="H106" i="43"/>
  <c r="R105" i="43"/>
  <c r="N105" i="43"/>
  <c r="H105" i="43"/>
  <c r="R104" i="43"/>
  <c r="N104" i="43"/>
  <c r="H104" i="43"/>
  <c r="R103" i="43"/>
  <c r="N103" i="43"/>
  <c r="H103" i="43"/>
  <c r="R102" i="43"/>
  <c r="N102" i="43"/>
  <c r="H102" i="43"/>
  <c r="R101" i="43"/>
  <c r="N101" i="43"/>
  <c r="H101" i="43"/>
  <c r="R100" i="43"/>
  <c r="N100" i="43"/>
  <c r="H100" i="43"/>
  <c r="R99" i="43"/>
  <c r="N99" i="43"/>
  <c r="H99" i="43"/>
  <c r="R98" i="43"/>
  <c r="N98" i="43"/>
  <c r="H98" i="43"/>
  <c r="R97" i="43"/>
  <c r="N97" i="43"/>
  <c r="H97" i="43"/>
  <c r="R96" i="43"/>
  <c r="N96" i="43"/>
  <c r="H96" i="43"/>
  <c r="R95" i="43"/>
  <c r="N95" i="43"/>
  <c r="H95" i="43"/>
  <c r="R94" i="43"/>
  <c r="N94" i="43"/>
  <c r="H94" i="43"/>
  <c r="R93" i="43"/>
  <c r="N93" i="43"/>
  <c r="H93" i="43"/>
  <c r="R92" i="43"/>
  <c r="N92" i="43"/>
  <c r="H92" i="43"/>
  <c r="R91" i="43"/>
  <c r="N91" i="43"/>
  <c r="H91" i="43"/>
  <c r="R90" i="43"/>
  <c r="N90" i="43"/>
  <c r="H90" i="43"/>
  <c r="R89" i="43"/>
  <c r="N89" i="43"/>
  <c r="H89" i="43"/>
  <c r="R88" i="43"/>
  <c r="N88" i="43"/>
  <c r="H88" i="43"/>
  <c r="R87" i="43"/>
  <c r="N87" i="43"/>
  <c r="H87" i="43"/>
  <c r="R86" i="43"/>
  <c r="N86" i="43"/>
  <c r="H86" i="43"/>
  <c r="R85" i="43"/>
  <c r="N85" i="43"/>
  <c r="H85" i="43"/>
  <c r="R84" i="43"/>
  <c r="N84" i="43"/>
  <c r="H84" i="43"/>
  <c r="R83" i="43"/>
  <c r="N83" i="43"/>
  <c r="H83" i="43"/>
  <c r="R82" i="43"/>
  <c r="N82" i="43"/>
  <c r="H82" i="43"/>
  <c r="R81" i="43"/>
  <c r="N81" i="43"/>
  <c r="H81" i="43"/>
  <c r="R80" i="43"/>
  <c r="N80" i="43"/>
  <c r="H80" i="43"/>
  <c r="R79" i="43"/>
  <c r="N79" i="43"/>
  <c r="H79" i="43"/>
  <c r="R78" i="43"/>
  <c r="N78" i="43"/>
  <c r="H78" i="43"/>
  <c r="R77" i="43"/>
  <c r="N77" i="43"/>
  <c r="H77" i="43"/>
  <c r="R76" i="43"/>
  <c r="N76" i="43"/>
  <c r="H76" i="43"/>
  <c r="R75" i="43"/>
  <c r="N75" i="43"/>
  <c r="H75" i="43"/>
  <c r="R74" i="43"/>
  <c r="N74" i="43"/>
  <c r="H74" i="43"/>
  <c r="R73" i="43"/>
  <c r="N73" i="43"/>
  <c r="H73" i="43"/>
  <c r="R72" i="43"/>
  <c r="N72" i="43"/>
  <c r="H72" i="43"/>
  <c r="R71" i="43"/>
  <c r="N71" i="43"/>
  <c r="H71" i="43"/>
  <c r="R70" i="43"/>
  <c r="N70" i="43"/>
  <c r="H70" i="43"/>
  <c r="R69" i="43"/>
  <c r="N69" i="43"/>
  <c r="H69" i="43"/>
  <c r="R68" i="43"/>
  <c r="N68" i="43"/>
  <c r="H68" i="43"/>
  <c r="R67" i="43"/>
  <c r="N67" i="43"/>
  <c r="H67" i="43"/>
  <c r="R66" i="43"/>
  <c r="N66" i="43"/>
  <c r="H66" i="43"/>
  <c r="R65" i="43"/>
  <c r="N65" i="43"/>
  <c r="H65" i="43"/>
  <c r="R64" i="43"/>
  <c r="N64" i="43"/>
  <c r="H64" i="43"/>
  <c r="R63" i="43"/>
  <c r="N63" i="43"/>
  <c r="H63" i="43"/>
  <c r="R62" i="43"/>
  <c r="N62" i="43"/>
  <c r="H62" i="43"/>
  <c r="R61" i="43"/>
  <c r="N61" i="43"/>
  <c r="H61" i="43"/>
  <c r="R60" i="43"/>
  <c r="N60" i="43"/>
  <c r="H60" i="43"/>
  <c r="R59" i="43"/>
  <c r="N59" i="43"/>
  <c r="H59" i="43"/>
  <c r="R58" i="43"/>
  <c r="N58" i="43"/>
  <c r="H58" i="43"/>
  <c r="R57" i="43"/>
  <c r="N57" i="43"/>
  <c r="H57" i="43"/>
  <c r="R56" i="43"/>
  <c r="N56" i="43"/>
  <c r="H56" i="43"/>
  <c r="R55" i="43"/>
  <c r="N55" i="43"/>
  <c r="H55" i="43"/>
  <c r="R54" i="43"/>
  <c r="N54" i="43"/>
  <c r="H54" i="43"/>
  <c r="R53" i="43"/>
  <c r="N53" i="43"/>
  <c r="H53" i="43"/>
  <c r="R52" i="43"/>
  <c r="N52" i="43"/>
  <c r="H52" i="43"/>
  <c r="R51" i="43"/>
  <c r="N51" i="43"/>
  <c r="H51" i="43"/>
  <c r="R50" i="43"/>
  <c r="N50" i="43"/>
  <c r="H50" i="43"/>
  <c r="R49" i="43"/>
  <c r="N49" i="43"/>
  <c r="H49" i="43"/>
  <c r="R48" i="43"/>
  <c r="N48" i="43"/>
  <c r="H48" i="43"/>
  <c r="R47" i="43"/>
  <c r="N47" i="43"/>
  <c r="H47" i="43"/>
  <c r="R46" i="43"/>
  <c r="N46" i="43"/>
  <c r="H46" i="43"/>
  <c r="R45" i="43"/>
  <c r="N45" i="43"/>
  <c r="H45" i="43"/>
  <c r="R44" i="43"/>
  <c r="N44" i="43"/>
  <c r="H44" i="43"/>
  <c r="R43" i="43"/>
  <c r="N43" i="43"/>
  <c r="H43" i="43"/>
  <c r="R42" i="43"/>
  <c r="N42" i="43"/>
  <c r="H42" i="43"/>
  <c r="R41" i="43"/>
  <c r="N41" i="43"/>
  <c r="H41" i="43"/>
  <c r="R40" i="43"/>
  <c r="N40" i="43"/>
  <c r="H40" i="43"/>
  <c r="R39" i="43"/>
  <c r="N39" i="43"/>
  <c r="H39" i="43"/>
  <c r="R38" i="43"/>
  <c r="N38" i="43"/>
  <c r="H38" i="43"/>
  <c r="R37" i="43"/>
  <c r="N37" i="43"/>
  <c r="H37" i="43"/>
  <c r="R36" i="43"/>
  <c r="N36" i="43"/>
  <c r="H36" i="43"/>
  <c r="C36" i="43"/>
  <c r="R35" i="43"/>
  <c r="N35" i="43"/>
  <c r="H35" i="43"/>
  <c r="R34" i="43"/>
  <c r="N34" i="43"/>
  <c r="H34" i="43"/>
  <c r="R33" i="43"/>
  <c r="N33" i="43"/>
  <c r="H33" i="43"/>
  <c r="R32" i="43"/>
  <c r="N32" i="43"/>
  <c r="H32" i="43"/>
  <c r="R31" i="43"/>
  <c r="N31" i="43"/>
  <c r="H31" i="43"/>
  <c r="R30" i="43"/>
  <c r="N30" i="43"/>
  <c r="H30" i="43"/>
  <c r="R29" i="43"/>
  <c r="N29" i="43"/>
  <c r="H29" i="43"/>
  <c r="R28" i="43"/>
  <c r="N28" i="43"/>
  <c r="H28" i="43"/>
  <c r="R27" i="43"/>
  <c r="N27" i="43"/>
  <c r="H27" i="43"/>
  <c r="R26" i="43"/>
  <c r="N26" i="43"/>
  <c r="H26" i="43"/>
  <c r="R25" i="43"/>
  <c r="N25" i="43"/>
  <c r="H25" i="43"/>
  <c r="R24" i="43"/>
  <c r="N24" i="43"/>
  <c r="H24" i="43"/>
  <c r="R23" i="43"/>
  <c r="N23" i="43"/>
  <c r="H23" i="43"/>
  <c r="R22" i="43"/>
  <c r="N22" i="43"/>
  <c r="H22" i="43"/>
  <c r="R21" i="43"/>
  <c r="N21" i="43"/>
  <c r="H21" i="43"/>
  <c r="R20" i="43"/>
  <c r="N20" i="43"/>
  <c r="H20" i="43"/>
  <c r="R19" i="43"/>
  <c r="N19" i="43"/>
  <c r="H19" i="43"/>
  <c r="R18" i="43"/>
  <c r="N18" i="43"/>
  <c r="H18" i="43"/>
  <c r="R17" i="43"/>
  <c r="N17" i="43"/>
  <c r="H17" i="43"/>
  <c r="R16" i="43"/>
  <c r="N16" i="43"/>
  <c r="H16" i="43"/>
  <c r="R15" i="43"/>
  <c r="N15" i="43"/>
  <c r="H15" i="43"/>
  <c r="R14" i="43"/>
  <c r="N14" i="43"/>
  <c r="H14" i="43"/>
  <c r="R13" i="43"/>
  <c r="N13" i="43"/>
  <c r="H13" i="43"/>
  <c r="R12" i="43"/>
  <c r="N12" i="43"/>
  <c r="H12" i="43"/>
  <c r="R11" i="43"/>
  <c r="N11" i="43"/>
  <c r="H11" i="43"/>
  <c r="R10" i="43"/>
  <c r="N10" i="43"/>
  <c r="H10" i="43"/>
  <c r="R9" i="43"/>
  <c r="N9" i="43"/>
  <c r="H9" i="43"/>
  <c r="R8" i="43"/>
  <c r="N8" i="43"/>
  <c r="H8" i="43"/>
  <c r="R7" i="43"/>
  <c r="N7" i="43"/>
  <c r="H7" i="43"/>
  <c r="R6" i="43"/>
  <c r="N6" i="43"/>
  <c r="H6" i="43"/>
  <c r="R5" i="43"/>
  <c r="N5" i="43"/>
  <c r="M5" i="43"/>
  <c r="L5" i="43"/>
  <c r="T5" i="43" s="1"/>
  <c r="I5" i="43"/>
  <c r="H5" i="43"/>
  <c r="J5" i="43" s="1"/>
  <c r="K5" i="43" s="1"/>
  <c r="G6" i="43" s="1"/>
  <c r="R124" i="42"/>
  <c r="Q124" i="42"/>
  <c r="N124" i="42"/>
  <c r="H124" i="42"/>
  <c r="R123" i="42"/>
  <c r="Q123" i="42"/>
  <c r="N123" i="42"/>
  <c r="H123" i="42"/>
  <c r="R122" i="42"/>
  <c r="Q122" i="42"/>
  <c r="N122" i="42"/>
  <c r="H122" i="42"/>
  <c r="R121" i="42"/>
  <c r="Q121" i="42"/>
  <c r="N121" i="42"/>
  <c r="H121" i="42"/>
  <c r="R120" i="42"/>
  <c r="Q120" i="42"/>
  <c r="N120" i="42"/>
  <c r="H120" i="42"/>
  <c r="R119" i="42"/>
  <c r="Q119" i="42"/>
  <c r="N119" i="42"/>
  <c r="H119" i="42"/>
  <c r="R118" i="42"/>
  <c r="Q118" i="42"/>
  <c r="N118" i="42"/>
  <c r="H118" i="42"/>
  <c r="R117" i="42"/>
  <c r="Q117" i="42"/>
  <c r="N117" i="42"/>
  <c r="H117" i="42"/>
  <c r="R116" i="42"/>
  <c r="Q116" i="42"/>
  <c r="N116" i="42"/>
  <c r="H116" i="42"/>
  <c r="R115" i="42"/>
  <c r="Q115" i="42"/>
  <c r="N115" i="42"/>
  <c r="H115" i="42"/>
  <c r="R114" i="42"/>
  <c r="Q114" i="42"/>
  <c r="N114" i="42"/>
  <c r="H114" i="42"/>
  <c r="R113" i="42"/>
  <c r="Q113" i="42"/>
  <c r="N113" i="42"/>
  <c r="H113" i="42"/>
  <c r="R112" i="42"/>
  <c r="Q112" i="42"/>
  <c r="N112" i="42"/>
  <c r="H112" i="42"/>
  <c r="R111" i="42"/>
  <c r="Q111" i="42"/>
  <c r="N111" i="42"/>
  <c r="H111" i="42"/>
  <c r="R110" i="42"/>
  <c r="Q110" i="42"/>
  <c r="N110" i="42"/>
  <c r="H110" i="42"/>
  <c r="R109" i="42"/>
  <c r="Q109" i="42"/>
  <c r="N109" i="42"/>
  <c r="H109" i="42"/>
  <c r="R108" i="42"/>
  <c r="Q108" i="42"/>
  <c r="N108" i="42"/>
  <c r="H108" i="42"/>
  <c r="R107" i="42"/>
  <c r="Q107" i="42"/>
  <c r="N107" i="42"/>
  <c r="H107" i="42"/>
  <c r="R106" i="42"/>
  <c r="Q106" i="42"/>
  <c r="N106" i="42"/>
  <c r="H106" i="42"/>
  <c r="R105" i="42"/>
  <c r="Q105" i="42"/>
  <c r="N105" i="42"/>
  <c r="H105" i="42"/>
  <c r="R104" i="42"/>
  <c r="Q104" i="42"/>
  <c r="N104" i="42"/>
  <c r="H104" i="42"/>
  <c r="R103" i="42"/>
  <c r="Q103" i="42"/>
  <c r="N103" i="42"/>
  <c r="H103" i="42"/>
  <c r="R102" i="42"/>
  <c r="Q102" i="42"/>
  <c r="N102" i="42"/>
  <c r="H102" i="42"/>
  <c r="R101" i="42"/>
  <c r="Q101" i="42"/>
  <c r="N101" i="42"/>
  <c r="H101" i="42"/>
  <c r="R100" i="42"/>
  <c r="Q100" i="42"/>
  <c r="N100" i="42"/>
  <c r="H100" i="42"/>
  <c r="R99" i="42"/>
  <c r="Q99" i="42"/>
  <c r="N99" i="42"/>
  <c r="H99" i="42"/>
  <c r="R98" i="42"/>
  <c r="Q98" i="42"/>
  <c r="N98" i="42"/>
  <c r="H98" i="42"/>
  <c r="R97" i="42"/>
  <c r="Q97" i="42"/>
  <c r="N97" i="42"/>
  <c r="H97" i="42"/>
  <c r="R96" i="42"/>
  <c r="Q96" i="42"/>
  <c r="N96" i="42"/>
  <c r="H96" i="42"/>
  <c r="R95" i="42"/>
  <c r="Q95" i="42"/>
  <c r="N95" i="42"/>
  <c r="H95" i="42"/>
  <c r="R94" i="42"/>
  <c r="Q94" i="42"/>
  <c r="N94" i="42"/>
  <c r="H94" i="42"/>
  <c r="R93" i="42"/>
  <c r="Q93" i="42"/>
  <c r="N93" i="42"/>
  <c r="H93" i="42"/>
  <c r="R92" i="42"/>
  <c r="Q92" i="42"/>
  <c r="N92" i="42"/>
  <c r="H92" i="42"/>
  <c r="R91" i="42"/>
  <c r="Q91" i="42"/>
  <c r="N91" i="42"/>
  <c r="H91" i="42"/>
  <c r="R90" i="42"/>
  <c r="Q90" i="42"/>
  <c r="N90" i="42"/>
  <c r="H90" i="42"/>
  <c r="R89" i="42"/>
  <c r="Q89" i="42"/>
  <c r="N89" i="42"/>
  <c r="H89" i="42"/>
  <c r="R88" i="42"/>
  <c r="Q88" i="42"/>
  <c r="N88" i="42"/>
  <c r="H88" i="42"/>
  <c r="R87" i="42"/>
  <c r="Q87" i="42"/>
  <c r="N87" i="42"/>
  <c r="H87" i="42"/>
  <c r="R86" i="42"/>
  <c r="Q86" i="42"/>
  <c r="N86" i="42"/>
  <c r="H86" i="42"/>
  <c r="R85" i="42"/>
  <c r="Q85" i="42"/>
  <c r="N85" i="42"/>
  <c r="H85" i="42"/>
  <c r="R84" i="42"/>
  <c r="Q84" i="42"/>
  <c r="N84" i="42"/>
  <c r="H84" i="42"/>
  <c r="R83" i="42"/>
  <c r="Q83" i="42"/>
  <c r="N83" i="42"/>
  <c r="H83" i="42"/>
  <c r="R82" i="42"/>
  <c r="Q82" i="42"/>
  <c r="N82" i="42"/>
  <c r="H82" i="42"/>
  <c r="R81" i="42"/>
  <c r="Q81" i="42"/>
  <c r="N81" i="42"/>
  <c r="H81" i="42"/>
  <c r="R80" i="42"/>
  <c r="Q80" i="42"/>
  <c r="N80" i="42"/>
  <c r="H80" i="42"/>
  <c r="R79" i="42"/>
  <c r="Q79" i="42"/>
  <c r="N79" i="42"/>
  <c r="H79" i="42"/>
  <c r="R78" i="42"/>
  <c r="Q78" i="42"/>
  <c r="N78" i="42"/>
  <c r="H78" i="42"/>
  <c r="R77" i="42"/>
  <c r="Q77" i="42"/>
  <c r="N77" i="42"/>
  <c r="H77" i="42"/>
  <c r="R76" i="42"/>
  <c r="Q76" i="42"/>
  <c r="N76" i="42"/>
  <c r="H76" i="42"/>
  <c r="R75" i="42"/>
  <c r="Q75" i="42"/>
  <c r="N75" i="42"/>
  <c r="H75" i="42"/>
  <c r="R74" i="42"/>
  <c r="Q74" i="42"/>
  <c r="N74" i="42"/>
  <c r="H74" i="42"/>
  <c r="R73" i="42"/>
  <c r="Q73" i="42"/>
  <c r="N73" i="42"/>
  <c r="H73" i="42"/>
  <c r="R72" i="42"/>
  <c r="Q72" i="42"/>
  <c r="N72" i="42"/>
  <c r="H72" i="42"/>
  <c r="R71" i="42"/>
  <c r="Q71" i="42"/>
  <c r="N71" i="42"/>
  <c r="H71" i="42"/>
  <c r="R70" i="42"/>
  <c r="Q70" i="42"/>
  <c r="N70" i="42"/>
  <c r="H70" i="42"/>
  <c r="R69" i="42"/>
  <c r="Q69" i="42"/>
  <c r="N69" i="42"/>
  <c r="H69" i="42"/>
  <c r="R68" i="42"/>
  <c r="Q68" i="42"/>
  <c r="N68" i="42"/>
  <c r="H68" i="42"/>
  <c r="R67" i="42"/>
  <c r="Q67" i="42"/>
  <c r="N67" i="42"/>
  <c r="H67" i="42"/>
  <c r="R66" i="42"/>
  <c r="Q66" i="42"/>
  <c r="N66" i="42"/>
  <c r="H66" i="42"/>
  <c r="R65" i="42"/>
  <c r="Q65" i="42"/>
  <c r="N65" i="42"/>
  <c r="H65" i="42"/>
  <c r="R64" i="42"/>
  <c r="Q64" i="42"/>
  <c r="N64" i="42"/>
  <c r="H64" i="42"/>
  <c r="R63" i="42"/>
  <c r="Q63" i="42"/>
  <c r="N63" i="42"/>
  <c r="H63" i="42"/>
  <c r="R62" i="42"/>
  <c r="Q62" i="42"/>
  <c r="N62" i="42"/>
  <c r="H62" i="42"/>
  <c r="R61" i="42"/>
  <c r="Q61" i="42"/>
  <c r="N61" i="42"/>
  <c r="H61" i="42"/>
  <c r="R60" i="42"/>
  <c r="Q60" i="42"/>
  <c r="N60" i="42"/>
  <c r="H60" i="42"/>
  <c r="R59" i="42"/>
  <c r="Q59" i="42"/>
  <c r="N59" i="42"/>
  <c r="H59" i="42"/>
  <c r="R58" i="42"/>
  <c r="Q58" i="42"/>
  <c r="N58" i="42"/>
  <c r="H58" i="42"/>
  <c r="R57" i="42"/>
  <c r="Q57" i="42"/>
  <c r="N57" i="42"/>
  <c r="H57" i="42"/>
  <c r="R56" i="42"/>
  <c r="Q56" i="42"/>
  <c r="N56" i="42"/>
  <c r="H56" i="42"/>
  <c r="R55" i="42"/>
  <c r="Q55" i="42"/>
  <c r="N55" i="42"/>
  <c r="H55" i="42"/>
  <c r="R54" i="42"/>
  <c r="Q54" i="42"/>
  <c r="N54" i="42"/>
  <c r="H54" i="42"/>
  <c r="R53" i="42"/>
  <c r="Q53" i="42"/>
  <c r="N53" i="42"/>
  <c r="H53" i="42"/>
  <c r="R52" i="42"/>
  <c r="Q52" i="42"/>
  <c r="N52" i="42"/>
  <c r="H52" i="42"/>
  <c r="R51" i="42"/>
  <c r="Q51" i="42"/>
  <c r="N51" i="42"/>
  <c r="H51" i="42"/>
  <c r="R50" i="42"/>
  <c r="Q50" i="42"/>
  <c r="N50" i="42"/>
  <c r="H50" i="42"/>
  <c r="R49" i="42"/>
  <c r="Q49" i="42"/>
  <c r="N49" i="42"/>
  <c r="H49" i="42"/>
  <c r="R48" i="42"/>
  <c r="Q48" i="42"/>
  <c r="N48" i="42"/>
  <c r="H48" i="42"/>
  <c r="R47" i="42"/>
  <c r="Q47" i="42"/>
  <c r="N47" i="42"/>
  <c r="H47" i="42"/>
  <c r="R46" i="42"/>
  <c r="Q46" i="42"/>
  <c r="N46" i="42"/>
  <c r="H46" i="42"/>
  <c r="R45" i="42"/>
  <c r="Q45" i="42"/>
  <c r="N45" i="42"/>
  <c r="H45" i="42"/>
  <c r="R44" i="42"/>
  <c r="Q44" i="42"/>
  <c r="N44" i="42"/>
  <c r="H44" i="42"/>
  <c r="R43" i="42"/>
  <c r="Q43" i="42"/>
  <c r="N43" i="42"/>
  <c r="H43" i="42"/>
  <c r="R42" i="42"/>
  <c r="Q42" i="42"/>
  <c r="N42" i="42"/>
  <c r="H42" i="42"/>
  <c r="R41" i="42"/>
  <c r="Q41" i="42"/>
  <c r="N41" i="42"/>
  <c r="H41" i="42"/>
  <c r="R40" i="42"/>
  <c r="Q40" i="42"/>
  <c r="N40" i="42"/>
  <c r="H40" i="42"/>
  <c r="R39" i="42"/>
  <c r="Q39" i="42"/>
  <c r="N39" i="42"/>
  <c r="H39" i="42"/>
  <c r="R38" i="42"/>
  <c r="Q38" i="42"/>
  <c r="N38" i="42"/>
  <c r="H38" i="42"/>
  <c r="R37" i="42"/>
  <c r="Q37" i="42"/>
  <c r="N37" i="42"/>
  <c r="H37" i="42"/>
  <c r="R36" i="42"/>
  <c r="Q36" i="42"/>
  <c r="N36" i="42"/>
  <c r="H36" i="42"/>
  <c r="C36" i="42"/>
  <c r="R35" i="42"/>
  <c r="Q35" i="42"/>
  <c r="N35" i="42"/>
  <c r="H35" i="42"/>
  <c r="R34" i="42"/>
  <c r="Q34" i="42"/>
  <c r="N34" i="42"/>
  <c r="H34" i="42"/>
  <c r="R33" i="42"/>
  <c r="Q33" i="42"/>
  <c r="N33" i="42"/>
  <c r="H33" i="42"/>
  <c r="R32" i="42"/>
  <c r="Q32" i="42"/>
  <c r="N32" i="42"/>
  <c r="H32" i="42"/>
  <c r="R31" i="42"/>
  <c r="Q31" i="42"/>
  <c r="N31" i="42"/>
  <c r="H31" i="42"/>
  <c r="R30" i="42"/>
  <c r="Q30" i="42"/>
  <c r="N30" i="42"/>
  <c r="H30" i="42"/>
  <c r="R29" i="42"/>
  <c r="Q29" i="42"/>
  <c r="N29" i="42"/>
  <c r="H29" i="42"/>
  <c r="R28" i="42"/>
  <c r="Q28" i="42"/>
  <c r="N28" i="42"/>
  <c r="H28" i="42"/>
  <c r="R27" i="42"/>
  <c r="Q27" i="42"/>
  <c r="N27" i="42"/>
  <c r="H27" i="42"/>
  <c r="R26" i="42"/>
  <c r="Q26" i="42"/>
  <c r="N26" i="42"/>
  <c r="H26" i="42"/>
  <c r="R25" i="42"/>
  <c r="Q25" i="42"/>
  <c r="N25" i="42"/>
  <c r="H25" i="42"/>
  <c r="R24" i="42"/>
  <c r="Q24" i="42"/>
  <c r="N24" i="42"/>
  <c r="H24" i="42"/>
  <c r="R23" i="42"/>
  <c r="Q23" i="42"/>
  <c r="N23" i="42"/>
  <c r="H23" i="42"/>
  <c r="R22" i="42"/>
  <c r="Q22" i="42"/>
  <c r="N22" i="42"/>
  <c r="H22" i="42"/>
  <c r="R21" i="42"/>
  <c r="Q21" i="42"/>
  <c r="N21" i="42"/>
  <c r="H21" i="42"/>
  <c r="R20" i="42"/>
  <c r="Q20" i="42"/>
  <c r="N20" i="42"/>
  <c r="H20" i="42"/>
  <c r="R19" i="42"/>
  <c r="Q19" i="42"/>
  <c r="N19" i="42"/>
  <c r="H19" i="42"/>
  <c r="R18" i="42"/>
  <c r="Q18" i="42"/>
  <c r="N18" i="42"/>
  <c r="H18" i="42"/>
  <c r="R17" i="42"/>
  <c r="Q17" i="42"/>
  <c r="N17" i="42"/>
  <c r="H17" i="42"/>
  <c r="R16" i="42"/>
  <c r="Q16" i="42"/>
  <c r="N16" i="42"/>
  <c r="H16" i="42"/>
  <c r="R15" i="42"/>
  <c r="Q15" i="42"/>
  <c r="N15" i="42"/>
  <c r="H15" i="42"/>
  <c r="R14" i="42"/>
  <c r="Q14" i="42"/>
  <c r="N14" i="42"/>
  <c r="H14" i="42"/>
  <c r="R13" i="42"/>
  <c r="Q13" i="42"/>
  <c r="N13" i="42"/>
  <c r="H13" i="42"/>
  <c r="R12" i="42"/>
  <c r="Q12" i="42"/>
  <c r="N12" i="42"/>
  <c r="H12" i="42"/>
  <c r="R11" i="42"/>
  <c r="Q11" i="42"/>
  <c r="N11" i="42"/>
  <c r="H11" i="42"/>
  <c r="R10" i="42"/>
  <c r="Q10" i="42"/>
  <c r="N10" i="42"/>
  <c r="H10" i="42"/>
  <c r="R9" i="42"/>
  <c r="Q9" i="42"/>
  <c r="N9" i="42"/>
  <c r="H9" i="42"/>
  <c r="R8" i="42"/>
  <c r="Q8" i="42"/>
  <c r="N8" i="42"/>
  <c r="H8" i="42"/>
  <c r="R7" i="42"/>
  <c r="Q7" i="42"/>
  <c r="N7" i="42"/>
  <c r="H7" i="42"/>
  <c r="R6" i="42"/>
  <c r="Q6" i="42"/>
  <c r="N6" i="42"/>
  <c r="H6" i="42"/>
  <c r="R5" i="42"/>
  <c r="Q5" i="42"/>
  <c r="N5" i="42"/>
  <c r="M5" i="42"/>
  <c r="O5" i="42" s="1"/>
  <c r="L5" i="42"/>
  <c r="T5" i="42" s="1"/>
  <c r="I5" i="42"/>
  <c r="H5" i="42"/>
  <c r="R124" i="41"/>
  <c r="Q124" i="41"/>
  <c r="N124" i="41"/>
  <c r="H124" i="41"/>
  <c r="R123" i="41"/>
  <c r="Q123" i="41"/>
  <c r="N123" i="41"/>
  <c r="H123" i="41"/>
  <c r="R122" i="41"/>
  <c r="Q122" i="41"/>
  <c r="N122" i="41"/>
  <c r="H122" i="41"/>
  <c r="R121" i="41"/>
  <c r="Q121" i="41"/>
  <c r="N121" i="41"/>
  <c r="H121" i="41"/>
  <c r="R120" i="41"/>
  <c r="Q120" i="41"/>
  <c r="N120" i="41"/>
  <c r="H120" i="41"/>
  <c r="R119" i="41"/>
  <c r="Q119" i="41"/>
  <c r="N119" i="41"/>
  <c r="H119" i="41"/>
  <c r="R118" i="41"/>
  <c r="Q118" i="41"/>
  <c r="N118" i="41"/>
  <c r="H118" i="41"/>
  <c r="R117" i="41"/>
  <c r="Q117" i="41"/>
  <c r="N117" i="41"/>
  <c r="H117" i="41"/>
  <c r="R116" i="41"/>
  <c r="Q116" i="41"/>
  <c r="N116" i="41"/>
  <c r="H116" i="41"/>
  <c r="R115" i="41"/>
  <c r="Q115" i="41"/>
  <c r="N115" i="41"/>
  <c r="H115" i="41"/>
  <c r="R114" i="41"/>
  <c r="Q114" i="41"/>
  <c r="N114" i="41"/>
  <c r="H114" i="41"/>
  <c r="R113" i="41"/>
  <c r="Q113" i="41"/>
  <c r="N113" i="41"/>
  <c r="H113" i="41"/>
  <c r="R112" i="41"/>
  <c r="Q112" i="41"/>
  <c r="N112" i="41"/>
  <c r="H112" i="41"/>
  <c r="R111" i="41"/>
  <c r="Q111" i="41"/>
  <c r="N111" i="41"/>
  <c r="H111" i="41"/>
  <c r="R110" i="41"/>
  <c r="Q110" i="41"/>
  <c r="N110" i="41"/>
  <c r="H110" i="41"/>
  <c r="R109" i="41"/>
  <c r="Q109" i="41"/>
  <c r="N109" i="41"/>
  <c r="H109" i="41"/>
  <c r="R108" i="41"/>
  <c r="Q108" i="41"/>
  <c r="N108" i="41"/>
  <c r="H108" i="41"/>
  <c r="R107" i="41"/>
  <c r="Q107" i="41"/>
  <c r="N107" i="41"/>
  <c r="H107" i="41"/>
  <c r="R106" i="41"/>
  <c r="Q106" i="41"/>
  <c r="N106" i="41"/>
  <c r="H106" i="41"/>
  <c r="R105" i="41"/>
  <c r="Q105" i="41"/>
  <c r="N105" i="41"/>
  <c r="H105" i="41"/>
  <c r="R104" i="41"/>
  <c r="Q104" i="41"/>
  <c r="N104" i="41"/>
  <c r="H104" i="41"/>
  <c r="R103" i="41"/>
  <c r="Q103" i="41"/>
  <c r="N103" i="41"/>
  <c r="H103" i="41"/>
  <c r="R102" i="41"/>
  <c r="Q102" i="41"/>
  <c r="N102" i="41"/>
  <c r="H102" i="41"/>
  <c r="R101" i="41"/>
  <c r="Q101" i="41"/>
  <c r="N101" i="41"/>
  <c r="H101" i="41"/>
  <c r="R100" i="41"/>
  <c r="Q100" i="41"/>
  <c r="N100" i="41"/>
  <c r="H100" i="41"/>
  <c r="R99" i="41"/>
  <c r="Q99" i="41"/>
  <c r="N99" i="41"/>
  <c r="H99" i="41"/>
  <c r="R98" i="41"/>
  <c r="Q98" i="41"/>
  <c r="N98" i="41"/>
  <c r="H98" i="41"/>
  <c r="R97" i="41"/>
  <c r="Q97" i="41"/>
  <c r="N97" i="41"/>
  <c r="H97" i="41"/>
  <c r="R96" i="41"/>
  <c r="Q96" i="41"/>
  <c r="N96" i="41"/>
  <c r="H96" i="41"/>
  <c r="R95" i="41"/>
  <c r="Q95" i="41"/>
  <c r="N95" i="41"/>
  <c r="H95" i="41"/>
  <c r="R94" i="41"/>
  <c r="Q94" i="41"/>
  <c r="N94" i="41"/>
  <c r="H94" i="41"/>
  <c r="R93" i="41"/>
  <c r="Q93" i="41"/>
  <c r="N93" i="41"/>
  <c r="H93" i="41"/>
  <c r="R92" i="41"/>
  <c r="Q92" i="41"/>
  <c r="N92" i="41"/>
  <c r="H92" i="41"/>
  <c r="R91" i="41"/>
  <c r="Q91" i="41"/>
  <c r="N91" i="41"/>
  <c r="H91" i="41"/>
  <c r="R90" i="41"/>
  <c r="Q90" i="41"/>
  <c r="N90" i="41"/>
  <c r="H90" i="41"/>
  <c r="R89" i="41"/>
  <c r="Q89" i="41"/>
  <c r="N89" i="41"/>
  <c r="H89" i="41"/>
  <c r="R88" i="41"/>
  <c r="Q88" i="41"/>
  <c r="N88" i="41"/>
  <c r="H88" i="41"/>
  <c r="R87" i="41"/>
  <c r="Q87" i="41"/>
  <c r="N87" i="41"/>
  <c r="H87" i="41"/>
  <c r="R86" i="41"/>
  <c r="Q86" i="41"/>
  <c r="N86" i="41"/>
  <c r="H86" i="41"/>
  <c r="R85" i="41"/>
  <c r="Q85" i="41"/>
  <c r="N85" i="41"/>
  <c r="H85" i="41"/>
  <c r="R84" i="41"/>
  <c r="Q84" i="41"/>
  <c r="N84" i="41"/>
  <c r="H84" i="41"/>
  <c r="R83" i="41"/>
  <c r="Q83" i="41"/>
  <c r="N83" i="41"/>
  <c r="H83" i="41"/>
  <c r="R82" i="41"/>
  <c r="Q82" i="41"/>
  <c r="N82" i="41"/>
  <c r="H82" i="41"/>
  <c r="R81" i="41"/>
  <c r="Q81" i="41"/>
  <c r="N81" i="41"/>
  <c r="H81" i="41"/>
  <c r="R80" i="41"/>
  <c r="Q80" i="41"/>
  <c r="N80" i="41"/>
  <c r="H80" i="41"/>
  <c r="R79" i="41"/>
  <c r="Q79" i="41"/>
  <c r="N79" i="41"/>
  <c r="H79" i="41"/>
  <c r="R78" i="41"/>
  <c r="Q78" i="41"/>
  <c r="N78" i="41"/>
  <c r="H78" i="41"/>
  <c r="R77" i="41"/>
  <c r="Q77" i="41"/>
  <c r="N77" i="41"/>
  <c r="H77" i="41"/>
  <c r="R76" i="41"/>
  <c r="Q76" i="41"/>
  <c r="N76" i="41"/>
  <c r="H76" i="41"/>
  <c r="R75" i="41"/>
  <c r="Q75" i="41"/>
  <c r="N75" i="41"/>
  <c r="H75" i="41"/>
  <c r="R74" i="41"/>
  <c r="Q74" i="41"/>
  <c r="N74" i="41"/>
  <c r="H74" i="41"/>
  <c r="R73" i="41"/>
  <c r="Q73" i="41"/>
  <c r="N73" i="41"/>
  <c r="H73" i="41"/>
  <c r="R72" i="41"/>
  <c r="Q72" i="41"/>
  <c r="N72" i="41"/>
  <c r="H72" i="41"/>
  <c r="R71" i="41"/>
  <c r="Q71" i="41"/>
  <c r="N71" i="41"/>
  <c r="H71" i="41"/>
  <c r="R70" i="41"/>
  <c r="Q70" i="41"/>
  <c r="N70" i="41"/>
  <c r="H70" i="41"/>
  <c r="R69" i="41"/>
  <c r="Q69" i="41"/>
  <c r="N69" i="41"/>
  <c r="H69" i="41"/>
  <c r="R68" i="41"/>
  <c r="Q68" i="41"/>
  <c r="N68" i="41"/>
  <c r="H68" i="41"/>
  <c r="R67" i="41"/>
  <c r="Q67" i="41"/>
  <c r="N67" i="41"/>
  <c r="H67" i="41"/>
  <c r="R66" i="41"/>
  <c r="Q66" i="41"/>
  <c r="N66" i="41"/>
  <c r="H66" i="41"/>
  <c r="R65" i="41"/>
  <c r="Q65" i="41"/>
  <c r="N65" i="41"/>
  <c r="H65" i="41"/>
  <c r="R64" i="41"/>
  <c r="Q64" i="41"/>
  <c r="N64" i="41"/>
  <c r="H64" i="41"/>
  <c r="R63" i="41"/>
  <c r="Q63" i="41"/>
  <c r="N63" i="41"/>
  <c r="H63" i="41"/>
  <c r="R62" i="41"/>
  <c r="Q62" i="41"/>
  <c r="N62" i="41"/>
  <c r="H62" i="41"/>
  <c r="R61" i="41"/>
  <c r="Q61" i="41"/>
  <c r="N61" i="41"/>
  <c r="H61" i="41"/>
  <c r="R60" i="41"/>
  <c r="Q60" i="41"/>
  <c r="N60" i="41"/>
  <c r="H60" i="41"/>
  <c r="R59" i="41"/>
  <c r="Q59" i="41"/>
  <c r="N59" i="41"/>
  <c r="H59" i="41"/>
  <c r="R58" i="41"/>
  <c r="Q58" i="41"/>
  <c r="N58" i="41"/>
  <c r="H58" i="41"/>
  <c r="R57" i="41"/>
  <c r="Q57" i="41"/>
  <c r="N57" i="41"/>
  <c r="H57" i="41"/>
  <c r="R56" i="41"/>
  <c r="Q56" i="41"/>
  <c r="N56" i="41"/>
  <c r="H56" i="41"/>
  <c r="R55" i="41"/>
  <c r="Q55" i="41"/>
  <c r="N55" i="41"/>
  <c r="H55" i="41"/>
  <c r="R54" i="41"/>
  <c r="Q54" i="41"/>
  <c r="N54" i="41"/>
  <c r="H54" i="41"/>
  <c r="R53" i="41"/>
  <c r="Q53" i="41"/>
  <c r="N53" i="41"/>
  <c r="H53" i="41"/>
  <c r="R52" i="41"/>
  <c r="Q52" i="41"/>
  <c r="N52" i="41"/>
  <c r="H52" i="41"/>
  <c r="R51" i="41"/>
  <c r="Q51" i="41"/>
  <c r="N51" i="41"/>
  <c r="H51" i="41"/>
  <c r="R50" i="41"/>
  <c r="Q50" i="41"/>
  <c r="N50" i="41"/>
  <c r="H50" i="41"/>
  <c r="R49" i="41"/>
  <c r="Q49" i="41"/>
  <c r="N49" i="41"/>
  <c r="H49" i="41"/>
  <c r="R48" i="41"/>
  <c r="Q48" i="41"/>
  <c r="N48" i="41"/>
  <c r="H48" i="41"/>
  <c r="R47" i="41"/>
  <c r="Q47" i="41"/>
  <c r="N47" i="41"/>
  <c r="H47" i="41"/>
  <c r="R46" i="41"/>
  <c r="Q46" i="41"/>
  <c r="N46" i="41"/>
  <c r="H46" i="41"/>
  <c r="R45" i="41"/>
  <c r="Q45" i="41"/>
  <c r="N45" i="41"/>
  <c r="H45" i="41"/>
  <c r="R44" i="41"/>
  <c r="Q44" i="41"/>
  <c r="N44" i="41"/>
  <c r="H44" i="41"/>
  <c r="R43" i="41"/>
  <c r="Q43" i="41"/>
  <c r="N43" i="41"/>
  <c r="H43" i="41"/>
  <c r="R42" i="41"/>
  <c r="Q42" i="41"/>
  <c r="N42" i="41"/>
  <c r="H42" i="41"/>
  <c r="R41" i="41"/>
  <c r="Q41" i="41"/>
  <c r="N41" i="41"/>
  <c r="H41" i="41"/>
  <c r="R40" i="41"/>
  <c r="Q40" i="41"/>
  <c r="N40" i="41"/>
  <c r="H40" i="41"/>
  <c r="R39" i="41"/>
  <c r="Q39" i="41"/>
  <c r="N39" i="41"/>
  <c r="H39" i="41"/>
  <c r="R38" i="41"/>
  <c r="Q38" i="41"/>
  <c r="N38" i="41"/>
  <c r="H38" i="41"/>
  <c r="R37" i="41"/>
  <c r="Q37" i="41"/>
  <c r="N37" i="41"/>
  <c r="H37" i="41"/>
  <c r="R36" i="41"/>
  <c r="Q36" i="41"/>
  <c r="N36" i="41"/>
  <c r="H36" i="41"/>
  <c r="C36" i="41"/>
  <c r="R35" i="41"/>
  <c r="Q35" i="41"/>
  <c r="N35" i="41"/>
  <c r="H35" i="41"/>
  <c r="R34" i="41"/>
  <c r="Q34" i="41"/>
  <c r="N34" i="41"/>
  <c r="H34" i="41"/>
  <c r="R33" i="41"/>
  <c r="Q33" i="41"/>
  <c r="N33" i="41"/>
  <c r="H33" i="41"/>
  <c r="R32" i="41"/>
  <c r="Q32" i="41"/>
  <c r="N32" i="41"/>
  <c r="H32" i="41"/>
  <c r="R31" i="41"/>
  <c r="Q31" i="41"/>
  <c r="N31" i="41"/>
  <c r="H31" i="41"/>
  <c r="R30" i="41"/>
  <c r="Q30" i="41"/>
  <c r="N30" i="41"/>
  <c r="H30" i="41"/>
  <c r="R29" i="41"/>
  <c r="Q29" i="41"/>
  <c r="N29" i="41"/>
  <c r="H29" i="41"/>
  <c r="R28" i="41"/>
  <c r="Q28" i="41"/>
  <c r="N28" i="41"/>
  <c r="H28" i="41"/>
  <c r="R27" i="41"/>
  <c r="Q27" i="41"/>
  <c r="N27" i="41"/>
  <c r="H27" i="41"/>
  <c r="R26" i="41"/>
  <c r="Q26" i="41"/>
  <c r="N26" i="41"/>
  <c r="H26" i="41"/>
  <c r="R25" i="41"/>
  <c r="Q25" i="41"/>
  <c r="N25" i="41"/>
  <c r="H25" i="41"/>
  <c r="R24" i="41"/>
  <c r="Q24" i="41"/>
  <c r="N24" i="41"/>
  <c r="H24" i="41"/>
  <c r="R23" i="41"/>
  <c r="Q23" i="41"/>
  <c r="N23" i="41"/>
  <c r="H23" i="41"/>
  <c r="R22" i="41"/>
  <c r="Q22" i="41"/>
  <c r="N22" i="41"/>
  <c r="H22" i="41"/>
  <c r="R21" i="41"/>
  <c r="Q21" i="41"/>
  <c r="N21" i="41"/>
  <c r="H21" i="41"/>
  <c r="R20" i="41"/>
  <c r="Q20" i="41"/>
  <c r="N20" i="41"/>
  <c r="H20" i="41"/>
  <c r="R19" i="41"/>
  <c r="Q19" i="41"/>
  <c r="N19" i="41"/>
  <c r="H19" i="41"/>
  <c r="R18" i="41"/>
  <c r="Q18" i="41"/>
  <c r="N18" i="41"/>
  <c r="H18" i="41"/>
  <c r="R17" i="41"/>
  <c r="Q17" i="41"/>
  <c r="N17" i="41"/>
  <c r="H17" i="41"/>
  <c r="R16" i="41"/>
  <c r="Q16" i="41"/>
  <c r="N16" i="41"/>
  <c r="H16" i="41"/>
  <c r="R15" i="41"/>
  <c r="Q15" i="41"/>
  <c r="N15" i="41"/>
  <c r="H15" i="41"/>
  <c r="R14" i="41"/>
  <c r="Q14" i="41"/>
  <c r="N14" i="41"/>
  <c r="H14" i="41"/>
  <c r="R13" i="41"/>
  <c r="Q13" i="41"/>
  <c r="N13" i="41"/>
  <c r="H13" i="41"/>
  <c r="R12" i="41"/>
  <c r="Q12" i="41"/>
  <c r="N12" i="41"/>
  <c r="H12" i="41"/>
  <c r="R11" i="41"/>
  <c r="Q11" i="41"/>
  <c r="N11" i="41"/>
  <c r="H11" i="41"/>
  <c r="R10" i="41"/>
  <c r="Q10" i="41"/>
  <c r="N10" i="41"/>
  <c r="H10" i="41"/>
  <c r="R9" i="41"/>
  <c r="Q9" i="41"/>
  <c r="N9" i="41"/>
  <c r="H9" i="41"/>
  <c r="R8" i="41"/>
  <c r="Q8" i="41"/>
  <c r="N8" i="41"/>
  <c r="H8" i="41"/>
  <c r="R7" i="41"/>
  <c r="Q7" i="41"/>
  <c r="N7" i="41"/>
  <c r="H7" i="41"/>
  <c r="R6" i="41"/>
  <c r="Q6" i="41"/>
  <c r="N6" i="41"/>
  <c r="H6" i="41"/>
  <c r="R5" i="41"/>
  <c r="Q5" i="41"/>
  <c r="N5" i="41"/>
  <c r="M5" i="41"/>
  <c r="O5" i="41" s="1"/>
  <c r="L5" i="41"/>
  <c r="T5" i="41" s="1"/>
  <c r="I5" i="41"/>
  <c r="H5" i="41"/>
  <c r="W6" i="35"/>
  <c r="W7" i="35"/>
  <c r="W8" i="35"/>
  <c r="W9" i="35"/>
  <c r="W10" i="35"/>
  <c r="W11" i="35"/>
  <c r="W12" i="35"/>
  <c r="W13" i="35"/>
  <c r="W14" i="35"/>
  <c r="W15" i="35"/>
  <c r="W16" i="35"/>
  <c r="W17" i="35"/>
  <c r="W18" i="35"/>
  <c r="W19" i="35"/>
  <c r="W20" i="35"/>
  <c r="W21" i="35"/>
  <c r="W22" i="35"/>
  <c r="W23" i="35"/>
  <c r="W24" i="35"/>
  <c r="W25" i="35"/>
  <c r="W26" i="35"/>
  <c r="W27" i="35"/>
  <c r="W28" i="35"/>
  <c r="W29" i="35"/>
  <c r="W30" i="35"/>
  <c r="W31" i="35"/>
  <c r="W32" i="35"/>
  <c r="W33" i="35"/>
  <c r="W34" i="35"/>
  <c r="W35" i="35"/>
  <c r="W36" i="35"/>
  <c r="W37" i="35"/>
  <c r="W38" i="35"/>
  <c r="W39" i="35"/>
  <c r="W40" i="35"/>
  <c r="W41" i="35"/>
  <c r="W42" i="35"/>
  <c r="W43" i="35"/>
  <c r="W44" i="35"/>
  <c r="W45" i="35"/>
  <c r="W46" i="35"/>
  <c r="W47" i="35"/>
  <c r="W48" i="35"/>
  <c r="W49" i="35"/>
  <c r="W50" i="35"/>
  <c r="W51" i="35"/>
  <c r="W52" i="35"/>
  <c r="W53" i="35"/>
  <c r="W54" i="35"/>
  <c r="W55" i="35"/>
  <c r="W56" i="35"/>
  <c r="W57" i="35"/>
  <c r="W58" i="35"/>
  <c r="W59" i="35"/>
  <c r="W60" i="35"/>
  <c r="W61" i="35"/>
  <c r="W62" i="35"/>
  <c r="W63" i="35"/>
  <c r="W64" i="35"/>
  <c r="W65" i="35"/>
  <c r="W66" i="35"/>
  <c r="W67" i="35"/>
  <c r="W68" i="35"/>
  <c r="W69" i="35"/>
  <c r="W70" i="35"/>
  <c r="W71" i="35"/>
  <c r="W72" i="35"/>
  <c r="W73" i="35"/>
  <c r="W74" i="35"/>
  <c r="W75" i="35"/>
  <c r="W76" i="35"/>
  <c r="W77" i="35"/>
  <c r="W78" i="35"/>
  <c r="W79" i="35"/>
  <c r="W80" i="35"/>
  <c r="W81" i="35"/>
  <c r="W82" i="35"/>
  <c r="W83" i="35"/>
  <c r="W84" i="35"/>
  <c r="W85" i="35"/>
  <c r="W86" i="35"/>
  <c r="W87" i="35"/>
  <c r="W88" i="35"/>
  <c r="W89" i="35"/>
  <c r="W90" i="35"/>
  <c r="W91" i="35"/>
  <c r="W92" i="35"/>
  <c r="W93" i="35"/>
  <c r="W94" i="35"/>
  <c r="W95" i="35"/>
  <c r="W96" i="35"/>
  <c r="W97" i="35"/>
  <c r="W98" i="35"/>
  <c r="W99" i="35"/>
  <c r="W100" i="35"/>
  <c r="W101" i="35"/>
  <c r="W102" i="35"/>
  <c r="W103" i="35"/>
  <c r="W104" i="35"/>
  <c r="W105" i="35"/>
  <c r="W106" i="35"/>
  <c r="W107" i="35"/>
  <c r="W108" i="35"/>
  <c r="W109" i="35"/>
  <c r="W110" i="35"/>
  <c r="W111" i="35"/>
  <c r="W112" i="35"/>
  <c r="W113" i="35"/>
  <c r="W114" i="35"/>
  <c r="W115" i="35"/>
  <c r="W116" i="35"/>
  <c r="W117" i="35"/>
  <c r="W118" i="35"/>
  <c r="W119" i="35"/>
  <c r="W120" i="35"/>
  <c r="W121" i="35"/>
  <c r="W122" i="35"/>
  <c r="W123" i="35"/>
  <c r="W124" i="35"/>
  <c r="V6" i="35"/>
  <c r="V7" i="35"/>
  <c r="V8" i="35"/>
  <c r="V9" i="35"/>
  <c r="V10" i="35"/>
  <c r="V11" i="35"/>
  <c r="V12" i="35"/>
  <c r="V13" i="35"/>
  <c r="V14" i="35"/>
  <c r="V15" i="35"/>
  <c r="V16" i="35"/>
  <c r="V17" i="35"/>
  <c r="V18" i="35"/>
  <c r="V19" i="35"/>
  <c r="V20" i="35"/>
  <c r="V21" i="35"/>
  <c r="V22" i="35"/>
  <c r="V23" i="35"/>
  <c r="V24" i="35"/>
  <c r="V25" i="35"/>
  <c r="V26" i="35"/>
  <c r="V27" i="35"/>
  <c r="V28" i="35"/>
  <c r="V29" i="35"/>
  <c r="V30" i="35"/>
  <c r="V31" i="35"/>
  <c r="V32" i="35"/>
  <c r="V33" i="35"/>
  <c r="V34" i="35"/>
  <c r="V35" i="35"/>
  <c r="V36" i="35"/>
  <c r="V37" i="35"/>
  <c r="V38" i="35"/>
  <c r="V39" i="35"/>
  <c r="V40" i="35"/>
  <c r="V41" i="35"/>
  <c r="V42" i="35"/>
  <c r="V43" i="35"/>
  <c r="V44" i="35"/>
  <c r="V45" i="35"/>
  <c r="V46" i="35"/>
  <c r="V47" i="35"/>
  <c r="V48" i="35"/>
  <c r="V49" i="35"/>
  <c r="V50" i="35"/>
  <c r="V51" i="35"/>
  <c r="V52" i="35"/>
  <c r="V53" i="35"/>
  <c r="V54" i="35"/>
  <c r="V55" i="35"/>
  <c r="V56" i="35"/>
  <c r="V57" i="35"/>
  <c r="V58" i="35"/>
  <c r="V59" i="35"/>
  <c r="V60" i="35"/>
  <c r="V61" i="35"/>
  <c r="V62" i="35"/>
  <c r="V63" i="35"/>
  <c r="V64" i="35"/>
  <c r="V65" i="35"/>
  <c r="V66" i="35"/>
  <c r="V67" i="35"/>
  <c r="V68" i="35"/>
  <c r="V69" i="35"/>
  <c r="V70" i="35"/>
  <c r="V71" i="35"/>
  <c r="V72" i="35"/>
  <c r="V73" i="35"/>
  <c r="V74" i="35"/>
  <c r="V75" i="35"/>
  <c r="V76" i="35"/>
  <c r="V77" i="35"/>
  <c r="V78" i="35"/>
  <c r="V79" i="35"/>
  <c r="V80" i="35"/>
  <c r="V81" i="35"/>
  <c r="V82" i="35"/>
  <c r="V83" i="35"/>
  <c r="V84" i="35"/>
  <c r="V85" i="35"/>
  <c r="V86" i="35"/>
  <c r="V87" i="35"/>
  <c r="V88" i="35"/>
  <c r="V89" i="35"/>
  <c r="V90" i="35"/>
  <c r="V91" i="35"/>
  <c r="V92" i="35"/>
  <c r="V93" i="35"/>
  <c r="V94" i="35"/>
  <c r="V95" i="35"/>
  <c r="V96" i="35"/>
  <c r="V97" i="35"/>
  <c r="V98" i="35"/>
  <c r="V99" i="35"/>
  <c r="V100" i="35"/>
  <c r="V101" i="35"/>
  <c r="V102" i="35"/>
  <c r="V103" i="35"/>
  <c r="V104" i="35"/>
  <c r="V105" i="35"/>
  <c r="V106" i="35"/>
  <c r="V107" i="35"/>
  <c r="V108" i="35"/>
  <c r="V109" i="35"/>
  <c r="V110" i="35"/>
  <c r="V111" i="35"/>
  <c r="V112" i="35"/>
  <c r="V113" i="35"/>
  <c r="V114" i="35"/>
  <c r="V115" i="35"/>
  <c r="V116" i="35"/>
  <c r="V117" i="35"/>
  <c r="V118" i="35"/>
  <c r="V119" i="35"/>
  <c r="V120" i="35"/>
  <c r="V121" i="35"/>
  <c r="V122" i="35"/>
  <c r="V123" i="35"/>
  <c r="V124" i="35"/>
  <c r="V5" i="35"/>
  <c r="Y5" i="35"/>
  <c r="AD6" i="35"/>
  <c r="AD7" i="35"/>
  <c r="AD14" i="35"/>
  <c r="AD15" i="35"/>
  <c r="AD16" i="35"/>
  <c r="AD22" i="35"/>
  <c r="AD23" i="35"/>
  <c r="AD24" i="35"/>
  <c r="AD30" i="35"/>
  <c r="AD31" i="35"/>
  <c r="AD38" i="35"/>
  <c r="AD39" i="35"/>
  <c r="AD40" i="35"/>
  <c r="AD46" i="35"/>
  <c r="AD47" i="35"/>
  <c r="AD48" i="35"/>
  <c r="AD54" i="35"/>
  <c r="AD55" i="35"/>
  <c r="AD56" i="35"/>
  <c r="AD62" i="35"/>
  <c r="AD63" i="35"/>
  <c r="AD64" i="35"/>
  <c r="AD70" i="35"/>
  <c r="AD71" i="35"/>
  <c r="AD78" i="35"/>
  <c r="AD79" i="35"/>
  <c r="AD80" i="35"/>
  <c r="AD86" i="35"/>
  <c r="AD87" i="35"/>
  <c r="AD88" i="35"/>
  <c r="AD94" i="35"/>
  <c r="AD95" i="35"/>
  <c r="AD102" i="35"/>
  <c r="AD103" i="35"/>
  <c r="AD104" i="35"/>
  <c r="AD110" i="35"/>
  <c r="AD111" i="35"/>
  <c r="AD112" i="35"/>
  <c r="AD118" i="35"/>
  <c r="AD119" i="35"/>
  <c r="AD120" i="35"/>
  <c r="AD5" i="35"/>
  <c r="Z6" i="35"/>
  <c r="Z7" i="35"/>
  <c r="Z8" i="35"/>
  <c r="Z9" i="35"/>
  <c r="Z10" i="35"/>
  <c r="Z11" i="35"/>
  <c r="Z12" i="35"/>
  <c r="Z13" i="35"/>
  <c r="Z14" i="35"/>
  <c r="Z15" i="35"/>
  <c r="Z16" i="35"/>
  <c r="Z17" i="35"/>
  <c r="Z18" i="35"/>
  <c r="Z19" i="35"/>
  <c r="Z20" i="35"/>
  <c r="Z21" i="35"/>
  <c r="Z22" i="35"/>
  <c r="Z23" i="35"/>
  <c r="Z24" i="35"/>
  <c r="Z25" i="35"/>
  <c r="Z26" i="35"/>
  <c r="Z27" i="35"/>
  <c r="Z28" i="35"/>
  <c r="Z29" i="35"/>
  <c r="Z30" i="35"/>
  <c r="Z31" i="35"/>
  <c r="Z32" i="35"/>
  <c r="Z33" i="35"/>
  <c r="Z34" i="35"/>
  <c r="Z35" i="35"/>
  <c r="Z36" i="35"/>
  <c r="Z37" i="35"/>
  <c r="Z38" i="35"/>
  <c r="Z39" i="35"/>
  <c r="Z40" i="35"/>
  <c r="Z41" i="35"/>
  <c r="Z42" i="35"/>
  <c r="Z43" i="35"/>
  <c r="Z44" i="35"/>
  <c r="Z45" i="35"/>
  <c r="Z46" i="35"/>
  <c r="Z47" i="35"/>
  <c r="Z48" i="35"/>
  <c r="Z49" i="35"/>
  <c r="Z50" i="35"/>
  <c r="Z51" i="35"/>
  <c r="Z52" i="35"/>
  <c r="Z53" i="35"/>
  <c r="Z54" i="35"/>
  <c r="Z55" i="35"/>
  <c r="Z56" i="35"/>
  <c r="Z57" i="35"/>
  <c r="Z58" i="35"/>
  <c r="Z59" i="35"/>
  <c r="Z60" i="35"/>
  <c r="Z61" i="35"/>
  <c r="Z62" i="35"/>
  <c r="Z63" i="35"/>
  <c r="Z64" i="35"/>
  <c r="Z65" i="35"/>
  <c r="Z66" i="35"/>
  <c r="Z67" i="35"/>
  <c r="Z68" i="35"/>
  <c r="Z69" i="35"/>
  <c r="Z70" i="35"/>
  <c r="Z71" i="35"/>
  <c r="Z72" i="35"/>
  <c r="Z73" i="35"/>
  <c r="Z74" i="35"/>
  <c r="Z75" i="35"/>
  <c r="Z76" i="35"/>
  <c r="Z77" i="35"/>
  <c r="Z78" i="35"/>
  <c r="Z79" i="35"/>
  <c r="Z80" i="35"/>
  <c r="Z81" i="35"/>
  <c r="Z82" i="35"/>
  <c r="Z83" i="35"/>
  <c r="Z84" i="35"/>
  <c r="Z85" i="35"/>
  <c r="Z86" i="35"/>
  <c r="Z87" i="35"/>
  <c r="Z88" i="35"/>
  <c r="Z89" i="35"/>
  <c r="Z90" i="35"/>
  <c r="Z91" i="35"/>
  <c r="Z92" i="35"/>
  <c r="Z93" i="35"/>
  <c r="Z94" i="35"/>
  <c r="Z95" i="35"/>
  <c r="Z96" i="35"/>
  <c r="Z97" i="35"/>
  <c r="Z98" i="35"/>
  <c r="Z99" i="35"/>
  <c r="Z100" i="35"/>
  <c r="Z101" i="35"/>
  <c r="Z102" i="35"/>
  <c r="Z103" i="35"/>
  <c r="Z104" i="35"/>
  <c r="Z105" i="35"/>
  <c r="Z106" i="35"/>
  <c r="Z107" i="35"/>
  <c r="Z108" i="35"/>
  <c r="Z109" i="35"/>
  <c r="Z110" i="35"/>
  <c r="Z111" i="35"/>
  <c r="Z112" i="35"/>
  <c r="Z113" i="35"/>
  <c r="Z114" i="35"/>
  <c r="Z115" i="35"/>
  <c r="Z116" i="35"/>
  <c r="Z117" i="35"/>
  <c r="Z118" i="35"/>
  <c r="Z119" i="35"/>
  <c r="Z120" i="35"/>
  <c r="Z121" i="35"/>
  <c r="Z122" i="35"/>
  <c r="Z123" i="35"/>
  <c r="Z124" i="35"/>
  <c r="Z5" i="35"/>
  <c r="Y6" i="35"/>
  <c r="Y7" i="35"/>
  <c r="Y8" i="35"/>
  <c r="Y9" i="35"/>
  <c r="Y10" i="35"/>
  <c r="Y11" i="35"/>
  <c r="Y12" i="35"/>
  <c r="Y13" i="35"/>
  <c r="Y14" i="35"/>
  <c r="Y15" i="35"/>
  <c r="Y16" i="35"/>
  <c r="Y17" i="35"/>
  <c r="Y18" i="35"/>
  <c r="Y19" i="35"/>
  <c r="Y20" i="35"/>
  <c r="Y21" i="35"/>
  <c r="Y22" i="35"/>
  <c r="Y23" i="35"/>
  <c r="Y24" i="35"/>
  <c r="Y25" i="35"/>
  <c r="Y26" i="35"/>
  <c r="Y27" i="35"/>
  <c r="Y28" i="35"/>
  <c r="Y29" i="35"/>
  <c r="Y30" i="35"/>
  <c r="Y31" i="35"/>
  <c r="Y32" i="35"/>
  <c r="Y33" i="35"/>
  <c r="Y34" i="35"/>
  <c r="Y35" i="35"/>
  <c r="Y36" i="35"/>
  <c r="Y37" i="35"/>
  <c r="Y38" i="35"/>
  <c r="Y39" i="35"/>
  <c r="Y40" i="35"/>
  <c r="Y41" i="35"/>
  <c r="Y42" i="35"/>
  <c r="Y43" i="35"/>
  <c r="Y44" i="35"/>
  <c r="Y45" i="35"/>
  <c r="Y46" i="35"/>
  <c r="Y47" i="35"/>
  <c r="Y48" i="35"/>
  <c r="Y49" i="35"/>
  <c r="Y50" i="35"/>
  <c r="Y51" i="35"/>
  <c r="Y52" i="35"/>
  <c r="Y53" i="35"/>
  <c r="Y54" i="35"/>
  <c r="Y55" i="35"/>
  <c r="Y56" i="35"/>
  <c r="Y57" i="35"/>
  <c r="Y58" i="35"/>
  <c r="Y59" i="35"/>
  <c r="Y60" i="35"/>
  <c r="Y61" i="35"/>
  <c r="Y62" i="35"/>
  <c r="Y63" i="35"/>
  <c r="Y64" i="35"/>
  <c r="Y65" i="35"/>
  <c r="Y66" i="35"/>
  <c r="Y67" i="35"/>
  <c r="Y68" i="35"/>
  <c r="Y69" i="35"/>
  <c r="Y70" i="35"/>
  <c r="Y71" i="35"/>
  <c r="Y72" i="35"/>
  <c r="Y73" i="35"/>
  <c r="Y74" i="35"/>
  <c r="Y75" i="35"/>
  <c r="Y76" i="35"/>
  <c r="Y77" i="35"/>
  <c r="Y78" i="35"/>
  <c r="Y79" i="35"/>
  <c r="Y80" i="35"/>
  <c r="Y81" i="35"/>
  <c r="Y82" i="35"/>
  <c r="Y83" i="35"/>
  <c r="Y84" i="35"/>
  <c r="Y85" i="35"/>
  <c r="Y86" i="35"/>
  <c r="Y87" i="35"/>
  <c r="Y88" i="35"/>
  <c r="Y89" i="35"/>
  <c r="Y90" i="35"/>
  <c r="Y91" i="35"/>
  <c r="Y92" i="35"/>
  <c r="Y93" i="35"/>
  <c r="Y94" i="35"/>
  <c r="Y95" i="35"/>
  <c r="Y96" i="35"/>
  <c r="Y97" i="35"/>
  <c r="Y98" i="35"/>
  <c r="Y99" i="35"/>
  <c r="Y100" i="35"/>
  <c r="Y101" i="35"/>
  <c r="Y102" i="35"/>
  <c r="Y103" i="35"/>
  <c r="Y104" i="35"/>
  <c r="Y105" i="35"/>
  <c r="Y106" i="35"/>
  <c r="Y107" i="35"/>
  <c r="Y108" i="35"/>
  <c r="Y109" i="35"/>
  <c r="Y110" i="35"/>
  <c r="Y111" i="35"/>
  <c r="Y112" i="35"/>
  <c r="Y113" i="35"/>
  <c r="Y114" i="35"/>
  <c r="Y115" i="35"/>
  <c r="Y116" i="35"/>
  <c r="Y117" i="35"/>
  <c r="Y118" i="35"/>
  <c r="Y119" i="35"/>
  <c r="Y120" i="35"/>
  <c r="Y121" i="35"/>
  <c r="Y122" i="35"/>
  <c r="Y123" i="35"/>
  <c r="Y124" i="35"/>
  <c r="X6" i="35"/>
  <c r="X7" i="35"/>
  <c r="X8" i="35"/>
  <c r="X9" i="35"/>
  <c r="X10" i="35"/>
  <c r="X11" i="35"/>
  <c r="X12" i="35"/>
  <c r="X13" i="35"/>
  <c r="X14" i="35"/>
  <c r="X15" i="35"/>
  <c r="X16" i="35"/>
  <c r="X17" i="35"/>
  <c r="X18" i="35"/>
  <c r="X19" i="35"/>
  <c r="X20" i="35"/>
  <c r="X21" i="35"/>
  <c r="X22" i="35"/>
  <c r="X23" i="35"/>
  <c r="X24" i="35"/>
  <c r="X25" i="35"/>
  <c r="X26" i="35"/>
  <c r="X27" i="35"/>
  <c r="X28" i="35"/>
  <c r="X29" i="35"/>
  <c r="X30" i="35"/>
  <c r="X31" i="35"/>
  <c r="X32" i="35"/>
  <c r="X33" i="35"/>
  <c r="X34" i="35"/>
  <c r="X35" i="35"/>
  <c r="X36" i="35"/>
  <c r="X37" i="35"/>
  <c r="X38" i="35"/>
  <c r="X39" i="35"/>
  <c r="X40" i="35"/>
  <c r="X41" i="35"/>
  <c r="X42" i="35"/>
  <c r="X43" i="35"/>
  <c r="X44" i="35"/>
  <c r="X45" i="35"/>
  <c r="X46" i="35"/>
  <c r="X47" i="35"/>
  <c r="X48" i="35"/>
  <c r="X49" i="35"/>
  <c r="X50" i="35"/>
  <c r="X51" i="35"/>
  <c r="X52" i="35"/>
  <c r="X53" i="35"/>
  <c r="X54" i="35"/>
  <c r="X55" i="35"/>
  <c r="X56" i="35"/>
  <c r="X57" i="35"/>
  <c r="X58" i="35"/>
  <c r="X59" i="35"/>
  <c r="X60" i="35"/>
  <c r="X61" i="35"/>
  <c r="X62" i="35"/>
  <c r="X63" i="35"/>
  <c r="X64" i="35"/>
  <c r="X65" i="35"/>
  <c r="X66" i="35"/>
  <c r="X67" i="35"/>
  <c r="X68" i="35"/>
  <c r="X69" i="35"/>
  <c r="X70" i="35"/>
  <c r="X71" i="35"/>
  <c r="X72" i="35"/>
  <c r="X73" i="35"/>
  <c r="X74" i="35"/>
  <c r="X75" i="35"/>
  <c r="X76" i="35"/>
  <c r="X77" i="35"/>
  <c r="X78" i="35"/>
  <c r="X79" i="35"/>
  <c r="X80" i="35"/>
  <c r="X81" i="35"/>
  <c r="X82" i="35"/>
  <c r="X83" i="35"/>
  <c r="X84" i="35"/>
  <c r="X85" i="35"/>
  <c r="X86" i="35"/>
  <c r="X87" i="35"/>
  <c r="X88" i="35"/>
  <c r="X89" i="35"/>
  <c r="X90" i="35"/>
  <c r="X91" i="35"/>
  <c r="X92" i="35"/>
  <c r="X93" i="35"/>
  <c r="X94" i="35"/>
  <c r="X95" i="35"/>
  <c r="X96" i="35"/>
  <c r="X97" i="35"/>
  <c r="X98" i="35"/>
  <c r="X99" i="35"/>
  <c r="X100" i="35"/>
  <c r="X101" i="35"/>
  <c r="X102" i="35"/>
  <c r="X103" i="35"/>
  <c r="X104" i="35"/>
  <c r="X105" i="35"/>
  <c r="X106" i="35"/>
  <c r="X107" i="35"/>
  <c r="X108" i="35"/>
  <c r="X109" i="35"/>
  <c r="X110" i="35"/>
  <c r="X111" i="35"/>
  <c r="X112" i="35"/>
  <c r="X113" i="35"/>
  <c r="X114" i="35"/>
  <c r="X115" i="35"/>
  <c r="X116" i="35"/>
  <c r="X117" i="35"/>
  <c r="X118" i="35"/>
  <c r="X119" i="35"/>
  <c r="X120" i="35"/>
  <c r="X121" i="35"/>
  <c r="X122" i="35"/>
  <c r="X123" i="35"/>
  <c r="X124" i="35"/>
  <c r="S6" i="35"/>
  <c r="S7" i="35"/>
  <c r="S8" i="35"/>
  <c r="S9" i="35"/>
  <c r="S10" i="35"/>
  <c r="S11" i="35"/>
  <c r="S12" i="35"/>
  <c r="S13" i="35"/>
  <c r="S14" i="35"/>
  <c r="S15" i="35"/>
  <c r="S16" i="35"/>
  <c r="S17" i="35"/>
  <c r="S18" i="35"/>
  <c r="S19" i="35"/>
  <c r="S20" i="35"/>
  <c r="S21" i="35"/>
  <c r="S22" i="35"/>
  <c r="S23" i="35"/>
  <c r="S24" i="35"/>
  <c r="S25" i="35"/>
  <c r="S26" i="35"/>
  <c r="S27" i="35"/>
  <c r="S28" i="35"/>
  <c r="S29" i="35"/>
  <c r="S30" i="35"/>
  <c r="S31" i="35"/>
  <c r="S32" i="35"/>
  <c r="S33" i="35"/>
  <c r="S34" i="35"/>
  <c r="S35" i="35"/>
  <c r="S36" i="35"/>
  <c r="S37" i="35"/>
  <c r="S38" i="35"/>
  <c r="S39" i="35"/>
  <c r="S40" i="35"/>
  <c r="S41" i="35"/>
  <c r="S42" i="35"/>
  <c r="S43" i="35"/>
  <c r="S44" i="35"/>
  <c r="S45" i="35"/>
  <c r="S46" i="35"/>
  <c r="S47" i="35"/>
  <c r="S48" i="35"/>
  <c r="S49" i="35"/>
  <c r="S50" i="35"/>
  <c r="S51" i="35"/>
  <c r="S52" i="35"/>
  <c r="S53" i="35"/>
  <c r="S54" i="35"/>
  <c r="S55" i="35"/>
  <c r="S56" i="35"/>
  <c r="S57" i="35"/>
  <c r="S58" i="35"/>
  <c r="S59" i="35"/>
  <c r="S60" i="35"/>
  <c r="S61" i="35"/>
  <c r="S62" i="35"/>
  <c r="S63" i="35"/>
  <c r="S64" i="35"/>
  <c r="S65" i="35"/>
  <c r="S66" i="35"/>
  <c r="S67" i="35"/>
  <c r="S68" i="35"/>
  <c r="S69" i="35"/>
  <c r="S70" i="35"/>
  <c r="S71" i="35"/>
  <c r="S72" i="35"/>
  <c r="S73" i="35"/>
  <c r="S74" i="35"/>
  <c r="S75" i="35"/>
  <c r="S76" i="35"/>
  <c r="S77" i="35"/>
  <c r="S78" i="35"/>
  <c r="S79" i="35"/>
  <c r="S80" i="35"/>
  <c r="S81" i="35"/>
  <c r="S82" i="35"/>
  <c r="S83" i="35"/>
  <c r="S84" i="35"/>
  <c r="S85" i="35"/>
  <c r="S86" i="35"/>
  <c r="S87" i="35"/>
  <c r="S88" i="35"/>
  <c r="S89" i="35"/>
  <c r="S90" i="35"/>
  <c r="S91" i="35"/>
  <c r="S92" i="35"/>
  <c r="S93" i="35"/>
  <c r="S94" i="35"/>
  <c r="S95" i="35"/>
  <c r="S96" i="35"/>
  <c r="S97" i="35"/>
  <c r="S98" i="35"/>
  <c r="S99" i="35"/>
  <c r="S100" i="35"/>
  <c r="S101" i="35"/>
  <c r="S102" i="35"/>
  <c r="S103" i="35"/>
  <c r="S104" i="35"/>
  <c r="S105" i="35"/>
  <c r="S106" i="35"/>
  <c r="S107" i="35"/>
  <c r="S108" i="35"/>
  <c r="S109" i="35"/>
  <c r="S110" i="35"/>
  <c r="S111" i="35"/>
  <c r="S112" i="35"/>
  <c r="S113" i="35"/>
  <c r="S114" i="35"/>
  <c r="S115" i="35"/>
  <c r="S116" i="35"/>
  <c r="S117" i="35"/>
  <c r="S118" i="35"/>
  <c r="S119" i="35"/>
  <c r="S120" i="35"/>
  <c r="S121" i="35"/>
  <c r="S122" i="35"/>
  <c r="S123" i="35"/>
  <c r="S124" i="35"/>
  <c r="S5" i="35"/>
  <c r="X5" i="35" s="1"/>
  <c r="U6" i="35"/>
  <c r="U7" i="35"/>
  <c r="U8" i="35"/>
  <c r="U9" i="35"/>
  <c r="U10" i="35"/>
  <c r="U11" i="35"/>
  <c r="U12" i="35"/>
  <c r="U13" i="35"/>
  <c r="U14" i="35"/>
  <c r="U15" i="35"/>
  <c r="U16" i="35"/>
  <c r="U17" i="35"/>
  <c r="U18" i="35"/>
  <c r="U19" i="35"/>
  <c r="U20" i="35"/>
  <c r="U21" i="35"/>
  <c r="U22" i="35"/>
  <c r="U23" i="35"/>
  <c r="U24" i="35"/>
  <c r="U25" i="35"/>
  <c r="U26" i="35"/>
  <c r="U27" i="35"/>
  <c r="U28" i="35"/>
  <c r="U29" i="35"/>
  <c r="U30" i="35"/>
  <c r="U31" i="35"/>
  <c r="U32" i="35"/>
  <c r="U33" i="35"/>
  <c r="U34" i="35"/>
  <c r="U35" i="35"/>
  <c r="U36" i="35"/>
  <c r="U37" i="35"/>
  <c r="U38" i="35"/>
  <c r="U39" i="35"/>
  <c r="U40" i="35"/>
  <c r="U41" i="35"/>
  <c r="U42" i="35"/>
  <c r="U43" i="35"/>
  <c r="U44" i="35"/>
  <c r="U45" i="35"/>
  <c r="U46" i="35"/>
  <c r="U47" i="35"/>
  <c r="U48" i="35"/>
  <c r="U49" i="35"/>
  <c r="U50" i="35"/>
  <c r="U51" i="35"/>
  <c r="U52" i="35"/>
  <c r="U53" i="35"/>
  <c r="U54" i="35"/>
  <c r="U55" i="35"/>
  <c r="U56" i="35"/>
  <c r="U57" i="35"/>
  <c r="U58" i="35"/>
  <c r="U59" i="35"/>
  <c r="U60" i="35"/>
  <c r="U61" i="35"/>
  <c r="U62" i="35"/>
  <c r="U63" i="35"/>
  <c r="U64" i="35"/>
  <c r="U65" i="35"/>
  <c r="U66" i="35"/>
  <c r="U67" i="35"/>
  <c r="U68" i="35"/>
  <c r="U69" i="35"/>
  <c r="U70" i="35"/>
  <c r="U71" i="35"/>
  <c r="U72" i="35"/>
  <c r="U73" i="35"/>
  <c r="U74" i="35"/>
  <c r="U75" i="35"/>
  <c r="U76" i="35"/>
  <c r="U77" i="35"/>
  <c r="U78" i="35"/>
  <c r="U79" i="35"/>
  <c r="U80" i="35"/>
  <c r="U81" i="35"/>
  <c r="U82" i="35"/>
  <c r="U83" i="35"/>
  <c r="U84" i="35"/>
  <c r="U85" i="35"/>
  <c r="U86" i="35"/>
  <c r="U87" i="35"/>
  <c r="U88" i="35"/>
  <c r="U89" i="35"/>
  <c r="U90" i="35"/>
  <c r="U91" i="35"/>
  <c r="U92" i="35"/>
  <c r="U93" i="35"/>
  <c r="U94" i="35"/>
  <c r="U95" i="35"/>
  <c r="U96" i="35"/>
  <c r="U97" i="35"/>
  <c r="U98" i="35"/>
  <c r="U99" i="35"/>
  <c r="U100" i="35"/>
  <c r="U101" i="35"/>
  <c r="U102" i="35"/>
  <c r="U103" i="35"/>
  <c r="U104" i="35"/>
  <c r="U105" i="35"/>
  <c r="U106" i="35"/>
  <c r="U107" i="35"/>
  <c r="U108" i="35"/>
  <c r="U109" i="35"/>
  <c r="U110" i="35"/>
  <c r="U111" i="35"/>
  <c r="U112" i="35"/>
  <c r="U113" i="35"/>
  <c r="U114" i="35"/>
  <c r="U115" i="35"/>
  <c r="U116" i="35"/>
  <c r="U117" i="35"/>
  <c r="U118" i="35"/>
  <c r="U119" i="35"/>
  <c r="U120" i="35"/>
  <c r="U121" i="35"/>
  <c r="U122" i="35"/>
  <c r="U123" i="35"/>
  <c r="U124" i="35"/>
  <c r="U5" i="35"/>
  <c r="T6" i="35"/>
  <c r="T7" i="35"/>
  <c r="T8" i="35"/>
  <c r="T9" i="35"/>
  <c r="T10" i="35"/>
  <c r="T11" i="35"/>
  <c r="T12" i="35"/>
  <c r="T13" i="35"/>
  <c r="T14" i="35"/>
  <c r="T15" i="35"/>
  <c r="T16" i="35"/>
  <c r="T17" i="35"/>
  <c r="T18" i="35"/>
  <c r="T19" i="35"/>
  <c r="T20" i="35"/>
  <c r="T21" i="35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38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52" i="35"/>
  <c r="T53" i="35"/>
  <c r="T54" i="35"/>
  <c r="T55" i="35"/>
  <c r="T56" i="35"/>
  <c r="T57" i="35"/>
  <c r="T58" i="35"/>
  <c r="T59" i="35"/>
  <c r="T60" i="35"/>
  <c r="T61" i="35"/>
  <c r="T62" i="35"/>
  <c r="T63" i="35"/>
  <c r="T64" i="35"/>
  <c r="T65" i="35"/>
  <c r="T66" i="35"/>
  <c r="T67" i="35"/>
  <c r="T68" i="35"/>
  <c r="T69" i="35"/>
  <c r="T70" i="35"/>
  <c r="T71" i="35"/>
  <c r="T72" i="35"/>
  <c r="T73" i="35"/>
  <c r="T74" i="35"/>
  <c r="T75" i="35"/>
  <c r="T76" i="35"/>
  <c r="T77" i="35"/>
  <c r="T78" i="35"/>
  <c r="T79" i="35"/>
  <c r="T80" i="35"/>
  <c r="T81" i="35"/>
  <c r="T82" i="35"/>
  <c r="T83" i="35"/>
  <c r="T84" i="35"/>
  <c r="T85" i="35"/>
  <c r="T86" i="35"/>
  <c r="T87" i="35"/>
  <c r="T88" i="35"/>
  <c r="T89" i="35"/>
  <c r="T90" i="35"/>
  <c r="T91" i="35"/>
  <c r="T92" i="35"/>
  <c r="T93" i="35"/>
  <c r="T94" i="35"/>
  <c r="T95" i="35"/>
  <c r="T96" i="35"/>
  <c r="T97" i="35"/>
  <c r="T98" i="35"/>
  <c r="T99" i="35"/>
  <c r="T100" i="35"/>
  <c r="T101" i="35"/>
  <c r="T102" i="35"/>
  <c r="T103" i="35"/>
  <c r="T104" i="35"/>
  <c r="T105" i="35"/>
  <c r="T106" i="35"/>
  <c r="T107" i="35"/>
  <c r="T108" i="35"/>
  <c r="T109" i="35"/>
  <c r="T110" i="35"/>
  <c r="T111" i="35"/>
  <c r="T112" i="35"/>
  <c r="T113" i="35"/>
  <c r="T114" i="35"/>
  <c r="T115" i="35"/>
  <c r="T116" i="35"/>
  <c r="T117" i="35"/>
  <c r="T118" i="35"/>
  <c r="T119" i="35"/>
  <c r="T120" i="35"/>
  <c r="T121" i="35"/>
  <c r="T122" i="35"/>
  <c r="T123" i="35"/>
  <c r="T124" i="35"/>
  <c r="T5" i="35"/>
  <c r="R6" i="35"/>
  <c r="R7" i="35"/>
  <c r="R8" i="35"/>
  <c r="R9" i="35"/>
  <c r="R10" i="35"/>
  <c r="R11" i="35"/>
  <c r="R12" i="35"/>
  <c r="R13" i="35"/>
  <c r="R14" i="35"/>
  <c r="R15" i="35"/>
  <c r="R16" i="35"/>
  <c r="R17" i="35"/>
  <c r="R18" i="35"/>
  <c r="R19" i="35"/>
  <c r="R20" i="35"/>
  <c r="R21" i="35"/>
  <c r="R22" i="35"/>
  <c r="R23" i="35"/>
  <c r="R24" i="35"/>
  <c r="R25" i="35"/>
  <c r="R26" i="35"/>
  <c r="R27" i="35"/>
  <c r="R28" i="35"/>
  <c r="R29" i="35"/>
  <c r="R30" i="35"/>
  <c r="R31" i="35"/>
  <c r="R32" i="35"/>
  <c r="R33" i="35"/>
  <c r="R34" i="35"/>
  <c r="R35" i="35"/>
  <c r="R36" i="35"/>
  <c r="R37" i="35"/>
  <c r="R38" i="35"/>
  <c r="R39" i="35"/>
  <c r="R40" i="35"/>
  <c r="R41" i="35"/>
  <c r="R42" i="35"/>
  <c r="R43" i="35"/>
  <c r="R44" i="35"/>
  <c r="R45" i="35"/>
  <c r="R46" i="35"/>
  <c r="R47" i="35"/>
  <c r="R48" i="35"/>
  <c r="R49" i="35"/>
  <c r="R50" i="35"/>
  <c r="R51" i="35"/>
  <c r="R52" i="35"/>
  <c r="R53" i="35"/>
  <c r="R54" i="35"/>
  <c r="R55" i="35"/>
  <c r="R56" i="35"/>
  <c r="R57" i="35"/>
  <c r="R58" i="35"/>
  <c r="R59" i="35"/>
  <c r="R60" i="35"/>
  <c r="R61" i="35"/>
  <c r="R62" i="35"/>
  <c r="R63" i="35"/>
  <c r="R64" i="35"/>
  <c r="R65" i="35"/>
  <c r="R66" i="35"/>
  <c r="R67" i="35"/>
  <c r="R68" i="35"/>
  <c r="R69" i="35"/>
  <c r="R70" i="35"/>
  <c r="R71" i="35"/>
  <c r="R72" i="35"/>
  <c r="R73" i="35"/>
  <c r="R74" i="35"/>
  <c r="R75" i="35"/>
  <c r="R76" i="35"/>
  <c r="R77" i="35"/>
  <c r="R78" i="35"/>
  <c r="R79" i="35"/>
  <c r="R80" i="35"/>
  <c r="R81" i="35"/>
  <c r="R82" i="35"/>
  <c r="R83" i="35"/>
  <c r="R84" i="35"/>
  <c r="R85" i="35"/>
  <c r="R86" i="35"/>
  <c r="R87" i="35"/>
  <c r="R88" i="35"/>
  <c r="R89" i="35"/>
  <c r="R90" i="35"/>
  <c r="R91" i="35"/>
  <c r="R92" i="35"/>
  <c r="R93" i="35"/>
  <c r="R94" i="35"/>
  <c r="R95" i="35"/>
  <c r="R96" i="35"/>
  <c r="R97" i="35"/>
  <c r="R98" i="35"/>
  <c r="R99" i="35"/>
  <c r="R100" i="35"/>
  <c r="R101" i="35"/>
  <c r="R102" i="35"/>
  <c r="R103" i="35"/>
  <c r="R104" i="35"/>
  <c r="R105" i="35"/>
  <c r="R106" i="35"/>
  <c r="R107" i="35"/>
  <c r="R108" i="35"/>
  <c r="R109" i="35"/>
  <c r="R110" i="35"/>
  <c r="R111" i="35"/>
  <c r="R112" i="35"/>
  <c r="R113" i="35"/>
  <c r="R114" i="35"/>
  <c r="R115" i="35"/>
  <c r="R116" i="35"/>
  <c r="R117" i="35"/>
  <c r="R118" i="35"/>
  <c r="R119" i="35"/>
  <c r="R120" i="35"/>
  <c r="R121" i="35"/>
  <c r="R122" i="35"/>
  <c r="R123" i="35"/>
  <c r="R124" i="35"/>
  <c r="R5" i="35"/>
  <c r="Q6" i="35"/>
  <c r="Q7" i="35"/>
  <c r="Q8" i="35"/>
  <c r="Q9" i="35"/>
  <c r="Q10" i="35"/>
  <c r="Q11" i="35"/>
  <c r="Q12" i="35"/>
  <c r="Q13" i="35"/>
  <c r="Q14" i="35"/>
  <c r="Q15" i="35"/>
  <c r="Q16" i="35"/>
  <c r="Q17" i="35"/>
  <c r="Q18" i="35"/>
  <c r="Q19" i="35"/>
  <c r="Q20" i="35"/>
  <c r="Q21" i="35"/>
  <c r="Q22" i="35"/>
  <c r="Q23" i="35"/>
  <c r="Q24" i="35"/>
  <c r="Q25" i="35"/>
  <c r="Q26" i="35"/>
  <c r="Q27" i="35"/>
  <c r="Q28" i="35"/>
  <c r="Q29" i="35"/>
  <c r="Q30" i="35"/>
  <c r="Q31" i="35"/>
  <c r="Q32" i="35"/>
  <c r="Q33" i="35"/>
  <c r="Q34" i="35"/>
  <c r="Q35" i="35"/>
  <c r="Q36" i="35"/>
  <c r="Q37" i="35"/>
  <c r="Q38" i="35"/>
  <c r="Q39" i="35"/>
  <c r="Q40" i="35"/>
  <c r="Q41" i="35"/>
  <c r="Q42" i="35"/>
  <c r="Q43" i="35"/>
  <c r="Q44" i="35"/>
  <c r="Q45" i="35"/>
  <c r="Q46" i="35"/>
  <c r="Q47" i="35"/>
  <c r="Q48" i="35"/>
  <c r="Q49" i="35"/>
  <c r="Q50" i="35"/>
  <c r="Q51" i="35"/>
  <c r="Q52" i="35"/>
  <c r="Q53" i="35"/>
  <c r="Q54" i="35"/>
  <c r="Q55" i="35"/>
  <c r="Q56" i="35"/>
  <c r="Q57" i="35"/>
  <c r="Q58" i="35"/>
  <c r="Q59" i="35"/>
  <c r="Q60" i="35"/>
  <c r="Q61" i="35"/>
  <c r="Q62" i="35"/>
  <c r="Q63" i="35"/>
  <c r="Q64" i="35"/>
  <c r="Q65" i="35"/>
  <c r="Q66" i="35"/>
  <c r="Q67" i="35"/>
  <c r="Q68" i="35"/>
  <c r="Q69" i="35"/>
  <c r="Q70" i="35"/>
  <c r="Q71" i="35"/>
  <c r="Q72" i="35"/>
  <c r="Q73" i="35"/>
  <c r="Q74" i="35"/>
  <c r="Q75" i="35"/>
  <c r="Q76" i="35"/>
  <c r="Q77" i="35"/>
  <c r="Q78" i="35"/>
  <c r="Q79" i="35"/>
  <c r="Q80" i="35"/>
  <c r="Q81" i="35"/>
  <c r="Q82" i="35"/>
  <c r="Q83" i="35"/>
  <c r="Q84" i="35"/>
  <c r="Q85" i="35"/>
  <c r="Q86" i="35"/>
  <c r="Q87" i="35"/>
  <c r="Q88" i="35"/>
  <c r="Q89" i="35"/>
  <c r="Q90" i="35"/>
  <c r="Q91" i="35"/>
  <c r="Q92" i="35"/>
  <c r="Q93" i="35"/>
  <c r="Q94" i="35"/>
  <c r="Q95" i="35"/>
  <c r="Q96" i="35"/>
  <c r="Q97" i="35"/>
  <c r="Q98" i="35"/>
  <c r="Q99" i="35"/>
  <c r="Q100" i="35"/>
  <c r="Q101" i="35"/>
  <c r="Q102" i="35"/>
  <c r="Q103" i="35"/>
  <c r="Q104" i="35"/>
  <c r="Q105" i="35"/>
  <c r="Q106" i="35"/>
  <c r="Q107" i="35"/>
  <c r="Q108" i="35"/>
  <c r="Q109" i="35"/>
  <c r="Q110" i="35"/>
  <c r="Q111" i="35"/>
  <c r="Q112" i="35"/>
  <c r="Q113" i="35"/>
  <c r="Q114" i="35"/>
  <c r="Q115" i="35"/>
  <c r="Q116" i="35"/>
  <c r="Q117" i="35"/>
  <c r="Q118" i="35"/>
  <c r="Q119" i="35"/>
  <c r="Q120" i="35"/>
  <c r="Q121" i="35"/>
  <c r="Q122" i="35"/>
  <c r="Q123" i="35"/>
  <c r="Q124" i="35"/>
  <c r="Q5" i="35"/>
  <c r="P6" i="35"/>
  <c r="P7" i="35"/>
  <c r="P8" i="35"/>
  <c r="P9" i="35"/>
  <c r="P10" i="35"/>
  <c r="P11" i="35"/>
  <c r="P12" i="35"/>
  <c r="P13" i="35"/>
  <c r="P14" i="35"/>
  <c r="P15" i="35"/>
  <c r="P16" i="35"/>
  <c r="P17" i="35"/>
  <c r="P18" i="35"/>
  <c r="P19" i="35"/>
  <c r="P20" i="35"/>
  <c r="P21" i="35"/>
  <c r="P22" i="35"/>
  <c r="P23" i="35"/>
  <c r="P24" i="35"/>
  <c r="P25" i="35"/>
  <c r="P26" i="35"/>
  <c r="P27" i="35"/>
  <c r="P28" i="35"/>
  <c r="P29" i="35"/>
  <c r="P30" i="35"/>
  <c r="P31" i="35"/>
  <c r="P32" i="35"/>
  <c r="P33" i="35"/>
  <c r="P34" i="35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1" i="35"/>
  <c r="P52" i="35"/>
  <c r="P53" i="35"/>
  <c r="P54" i="35"/>
  <c r="P55" i="35"/>
  <c r="P56" i="35"/>
  <c r="P57" i="35"/>
  <c r="P58" i="35"/>
  <c r="P59" i="35"/>
  <c r="P60" i="35"/>
  <c r="P61" i="35"/>
  <c r="P62" i="35"/>
  <c r="P63" i="35"/>
  <c r="P64" i="35"/>
  <c r="P65" i="35"/>
  <c r="P66" i="35"/>
  <c r="P67" i="35"/>
  <c r="P68" i="35"/>
  <c r="P69" i="35"/>
  <c r="P70" i="35"/>
  <c r="P71" i="35"/>
  <c r="P72" i="35"/>
  <c r="P73" i="35"/>
  <c r="P74" i="35"/>
  <c r="P75" i="35"/>
  <c r="P76" i="35"/>
  <c r="P77" i="35"/>
  <c r="P78" i="35"/>
  <c r="P79" i="35"/>
  <c r="P80" i="35"/>
  <c r="P81" i="35"/>
  <c r="P82" i="35"/>
  <c r="P83" i="35"/>
  <c r="P84" i="35"/>
  <c r="P85" i="35"/>
  <c r="P86" i="35"/>
  <c r="P87" i="35"/>
  <c r="P88" i="35"/>
  <c r="P89" i="35"/>
  <c r="P90" i="35"/>
  <c r="P91" i="35"/>
  <c r="P92" i="35"/>
  <c r="P93" i="35"/>
  <c r="P94" i="35"/>
  <c r="P95" i="35"/>
  <c r="P96" i="35"/>
  <c r="P97" i="35"/>
  <c r="P98" i="35"/>
  <c r="P99" i="35"/>
  <c r="P100" i="35"/>
  <c r="P101" i="35"/>
  <c r="P102" i="35"/>
  <c r="P103" i="35"/>
  <c r="P104" i="35"/>
  <c r="P105" i="35"/>
  <c r="P106" i="35"/>
  <c r="P107" i="35"/>
  <c r="P108" i="35"/>
  <c r="P109" i="35"/>
  <c r="P110" i="35"/>
  <c r="P111" i="35"/>
  <c r="P112" i="35"/>
  <c r="P113" i="35"/>
  <c r="P114" i="35"/>
  <c r="P115" i="35"/>
  <c r="P116" i="35"/>
  <c r="P117" i="35"/>
  <c r="P118" i="35"/>
  <c r="P119" i="35"/>
  <c r="P120" i="35"/>
  <c r="P121" i="35"/>
  <c r="P122" i="35"/>
  <c r="P123" i="35"/>
  <c r="P124" i="35"/>
  <c r="P5" i="35"/>
  <c r="O6" i="35"/>
  <c r="O7" i="35"/>
  <c r="O8" i="35"/>
  <c r="O9" i="35"/>
  <c r="O10" i="35"/>
  <c r="O11" i="35"/>
  <c r="O12" i="35"/>
  <c r="O13" i="35"/>
  <c r="O14" i="35"/>
  <c r="O15" i="35"/>
  <c r="O16" i="35"/>
  <c r="O17" i="35"/>
  <c r="O18" i="35"/>
  <c r="O19" i="35"/>
  <c r="O20" i="35"/>
  <c r="O21" i="35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0" i="35"/>
  <c r="O121" i="35"/>
  <c r="O122" i="35"/>
  <c r="O123" i="35"/>
  <c r="O124" i="35"/>
  <c r="O5" i="35"/>
  <c r="G7" i="35"/>
  <c r="K6" i="35"/>
  <c r="K7" i="35"/>
  <c r="G8" i="35" s="1"/>
  <c r="J6" i="35"/>
  <c r="J7" i="35"/>
  <c r="I6" i="35"/>
  <c r="I7" i="35"/>
  <c r="H6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5" i="35"/>
  <c r="I5" i="35"/>
  <c r="L5" i="35"/>
  <c r="M5" i="35"/>
  <c r="N5" i="35"/>
  <c r="N6" i="36"/>
  <c r="N5" i="36"/>
  <c r="M5" i="36"/>
  <c r="L5" i="36"/>
  <c r="O5" i="43" l="1"/>
  <c r="P5" i="43" s="1"/>
  <c r="J5" i="42"/>
  <c r="K5" i="42" s="1"/>
  <c r="G6" i="42" s="1"/>
  <c r="I6" i="42" s="1"/>
  <c r="J6" i="42" s="1"/>
  <c r="K6" i="42" s="1"/>
  <c r="G7" i="42" s="1"/>
  <c r="S5" i="42"/>
  <c r="J5" i="41"/>
  <c r="K5" i="41" s="1"/>
  <c r="G6" i="41" s="1"/>
  <c r="M6" i="41" s="1"/>
  <c r="O6" i="41" s="1"/>
  <c r="I6" i="43"/>
  <c r="J6" i="43" s="1"/>
  <c r="K6" i="43" s="1"/>
  <c r="G7" i="43" s="1"/>
  <c r="L6" i="43"/>
  <c r="M6" i="43"/>
  <c r="O6" i="43" s="1"/>
  <c r="U5" i="43"/>
  <c r="S5" i="43"/>
  <c r="P5" i="42"/>
  <c r="X5" i="42" s="1"/>
  <c r="U5" i="42"/>
  <c r="V5" i="42"/>
  <c r="I6" i="41"/>
  <c r="J6" i="41" s="1"/>
  <c r="K6" i="41"/>
  <c r="G7" i="41" s="1"/>
  <c r="P5" i="41"/>
  <c r="X5" i="41" s="1"/>
  <c r="V5" i="41"/>
  <c r="U5" i="41"/>
  <c r="S5" i="41"/>
  <c r="I8" i="35"/>
  <c r="J8" i="35" s="1"/>
  <c r="K8" i="35" s="1"/>
  <c r="G9" i="35" s="1"/>
  <c r="J5" i="35"/>
  <c r="K5" i="35" s="1"/>
  <c r="G6" i="35" s="1"/>
  <c r="AC124" i="36"/>
  <c r="N124" i="36"/>
  <c r="H124" i="36"/>
  <c r="AC123" i="36"/>
  <c r="N123" i="36"/>
  <c r="H123" i="36"/>
  <c r="AC122" i="36"/>
  <c r="N122" i="36"/>
  <c r="H122" i="36"/>
  <c r="AC121" i="36"/>
  <c r="N121" i="36"/>
  <c r="H121" i="36"/>
  <c r="AC120" i="36"/>
  <c r="N120" i="36"/>
  <c r="H120" i="36"/>
  <c r="AC119" i="36"/>
  <c r="N119" i="36"/>
  <c r="H119" i="36"/>
  <c r="AC118" i="36"/>
  <c r="N118" i="36"/>
  <c r="H118" i="36"/>
  <c r="AC117" i="36"/>
  <c r="N117" i="36"/>
  <c r="H117" i="36"/>
  <c r="AC116" i="36"/>
  <c r="N116" i="36"/>
  <c r="H116" i="36"/>
  <c r="AC115" i="36"/>
  <c r="N115" i="36"/>
  <c r="H115" i="36"/>
  <c r="AC114" i="36"/>
  <c r="N114" i="36"/>
  <c r="H114" i="36"/>
  <c r="AC113" i="36"/>
  <c r="N113" i="36"/>
  <c r="H113" i="36"/>
  <c r="AC112" i="36"/>
  <c r="N112" i="36"/>
  <c r="H112" i="36"/>
  <c r="AC111" i="36"/>
  <c r="N111" i="36"/>
  <c r="H111" i="36"/>
  <c r="AC110" i="36"/>
  <c r="N110" i="36"/>
  <c r="H110" i="36"/>
  <c r="AC109" i="36"/>
  <c r="N109" i="36"/>
  <c r="H109" i="36"/>
  <c r="AC108" i="36"/>
  <c r="N108" i="36"/>
  <c r="H108" i="36"/>
  <c r="AC107" i="36"/>
  <c r="N107" i="36"/>
  <c r="H107" i="36"/>
  <c r="AC106" i="36"/>
  <c r="N106" i="36"/>
  <c r="H106" i="36"/>
  <c r="AC105" i="36"/>
  <c r="N105" i="36"/>
  <c r="H105" i="36"/>
  <c r="AC104" i="36"/>
  <c r="N104" i="36"/>
  <c r="H104" i="36"/>
  <c r="AC103" i="36"/>
  <c r="N103" i="36"/>
  <c r="H103" i="36"/>
  <c r="AC102" i="36"/>
  <c r="N102" i="36"/>
  <c r="H102" i="36"/>
  <c r="AC101" i="36"/>
  <c r="N101" i="36"/>
  <c r="H101" i="36"/>
  <c r="AC100" i="36"/>
  <c r="N100" i="36"/>
  <c r="H100" i="36"/>
  <c r="AC99" i="36"/>
  <c r="N99" i="36"/>
  <c r="H99" i="36"/>
  <c r="AC98" i="36"/>
  <c r="N98" i="36"/>
  <c r="H98" i="36"/>
  <c r="AC97" i="36"/>
  <c r="N97" i="36"/>
  <c r="H97" i="36"/>
  <c r="AC96" i="36"/>
  <c r="N96" i="36"/>
  <c r="H96" i="36"/>
  <c r="AC95" i="36"/>
  <c r="N95" i="36"/>
  <c r="H95" i="36"/>
  <c r="AC94" i="36"/>
  <c r="N94" i="36"/>
  <c r="H94" i="36"/>
  <c r="AC93" i="36"/>
  <c r="N93" i="36"/>
  <c r="H93" i="36"/>
  <c r="AC92" i="36"/>
  <c r="N92" i="36"/>
  <c r="H92" i="36"/>
  <c r="AC91" i="36"/>
  <c r="N91" i="36"/>
  <c r="H91" i="36"/>
  <c r="AC90" i="36"/>
  <c r="N90" i="36"/>
  <c r="H90" i="36"/>
  <c r="AC89" i="36"/>
  <c r="N89" i="36"/>
  <c r="H89" i="36"/>
  <c r="AC88" i="36"/>
  <c r="N88" i="36"/>
  <c r="H88" i="36"/>
  <c r="AC87" i="36"/>
  <c r="N87" i="36"/>
  <c r="H87" i="36"/>
  <c r="AC86" i="36"/>
  <c r="N86" i="36"/>
  <c r="H86" i="36"/>
  <c r="AC85" i="36"/>
  <c r="N85" i="36"/>
  <c r="H85" i="36"/>
  <c r="AC84" i="36"/>
  <c r="N84" i="36"/>
  <c r="H84" i="36"/>
  <c r="AC83" i="36"/>
  <c r="N83" i="36"/>
  <c r="H83" i="36"/>
  <c r="AC82" i="36"/>
  <c r="N82" i="36"/>
  <c r="H82" i="36"/>
  <c r="AC81" i="36"/>
  <c r="N81" i="36"/>
  <c r="H81" i="36"/>
  <c r="AC80" i="36"/>
  <c r="N80" i="36"/>
  <c r="H80" i="36"/>
  <c r="AC79" i="36"/>
  <c r="N79" i="36"/>
  <c r="H79" i="36"/>
  <c r="AC78" i="36"/>
  <c r="N78" i="36"/>
  <c r="H78" i="36"/>
  <c r="AC77" i="36"/>
  <c r="N77" i="36"/>
  <c r="H77" i="36"/>
  <c r="AC76" i="36"/>
  <c r="N76" i="36"/>
  <c r="H76" i="36"/>
  <c r="AC75" i="36"/>
  <c r="N75" i="36"/>
  <c r="H75" i="36"/>
  <c r="AC74" i="36"/>
  <c r="N74" i="36"/>
  <c r="H74" i="36"/>
  <c r="AC73" i="36"/>
  <c r="N73" i="36"/>
  <c r="H73" i="36"/>
  <c r="AC72" i="36"/>
  <c r="N72" i="36"/>
  <c r="H72" i="36"/>
  <c r="AC71" i="36"/>
  <c r="N71" i="36"/>
  <c r="H71" i="36"/>
  <c r="AC70" i="36"/>
  <c r="N70" i="36"/>
  <c r="H70" i="36"/>
  <c r="AC69" i="36"/>
  <c r="N69" i="36"/>
  <c r="H69" i="36"/>
  <c r="AC68" i="36"/>
  <c r="N68" i="36"/>
  <c r="H68" i="36"/>
  <c r="AC67" i="36"/>
  <c r="N67" i="36"/>
  <c r="H67" i="36"/>
  <c r="AC66" i="36"/>
  <c r="N66" i="36"/>
  <c r="H66" i="36"/>
  <c r="AC65" i="36"/>
  <c r="N65" i="36"/>
  <c r="H65" i="36"/>
  <c r="AC64" i="36"/>
  <c r="N64" i="36"/>
  <c r="H64" i="36"/>
  <c r="AC63" i="36"/>
  <c r="N63" i="36"/>
  <c r="H63" i="36"/>
  <c r="AC62" i="36"/>
  <c r="N62" i="36"/>
  <c r="H62" i="36"/>
  <c r="AC61" i="36"/>
  <c r="N61" i="36"/>
  <c r="H61" i="36"/>
  <c r="AC60" i="36"/>
  <c r="N60" i="36"/>
  <c r="H60" i="36"/>
  <c r="AC59" i="36"/>
  <c r="N59" i="36"/>
  <c r="H59" i="36"/>
  <c r="AC58" i="36"/>
  <c r="N58" i="36"/>
  <c r="H58" i="36"/>
  <c r="AC57" i="36"/>
  <c r="N57" i="36"/>
  <c r="H57" i="36"/>
  <c r="AC56" i="36"/>
  <c r="N56" i="36"/>
  <c r="H56" i="36"/>
  <c r="AC55" i="36"/>
  <c r="N55" i="36"/>
  <c r="H55" i="36"/>
  <c r="AC54" i="36"/>
  <c r="N54" i="36"/>
  <c r="H54" i="36"/>
  <c r="AC53" i="36"/>
  <c r="N53" i="36"/>
  <c r="H53" i="36"/>
  <c r="AC52" i="36"/>
  <c r="N52" i="36"/>
  <c r="H52" i="36"/>
  <c r="AC51" i="36"/>
  <c r="N51" i="36"/>
  <c r="H51" i="36"/>
  <c r="AC50" i="36"/>
  <c r="N50" i="36"/>
  <c r="H50" i="36"/>
  <c r="AC49" i="36"/>
  <c r="N49" i="36"/>
  <c r="H49" i="36"/>
  <c r="AC48" i="36"/>
  <c r="N48" i="36"/>
  <c r="H48" i="36"/>
  <c r="AC47" i="36"/>
  <c r="N47" i="36"/>
  <c r="H47" i="36"/>
  <c r="AC46" i="36"/>
  <c r="N46" i="36"/>
  <c r="H46" i="36"/>
  <c r="AC45" i="36"/>
  <c r="N45" i="36"/>
  <c r="H45" i="36"/>
  <c r="AC44" i="36"/>
  <c r="N44" i="36"/>
  <c r="H44" i="36"/>
  <c r="AC43" i="36"/>
  <c r="N43" i="36"/>
  <c r="H43" i="36"/>
  <c r="AC42" i="36"/>
  <c r="N42" i="36"/>
  <c r="H42" i="36"/>
  <c r="AC41" i="36"/>
  <c r="N41" i="36"/>
  <c r="H41" i="36"/>
  <c r="AC40" i="36"/>
  <c r="N40" i="36"/>
  <c r="H40" i="36"/>
  <c r="AC39" i="36"/>
  <c r="N39" i="36"/>
  <c r="H39" i="36"/>
  <c r="AC38" i="36"/>
  <c r="N38" i="36"/>
  <c r="H38" i="36"/>
  <c r="AC37" i="36"/>
  <c r="N37" i="36"/>
  <c r="H37" i="36"/>
  <c r="AC36" i="36"/>
  <c r="N36" i="36"/>
  <c r="H36" i="36"/>
  <c r="C36" i="36"/>
  <c r="AC35" i="36"/>
  <c r="N35" i="36"/>
  <c r="H35" i="36"/>
  <c r="AC34" i="36"/>
  <c r="N34" i="36"/>
  <c r="H34" i="36"/>
  <c r="AC33" i="36"/>
  <c r="N33" i="36"/>
  <c r="H33" i="36"/>
  <c r="AC32" i="36"/>
  <c r="N32" i="36"/>
  <c r="H32" i="36"/>
  <c r="AC31" i="36"/>
  <c r="N31" i="36"/>
  <c r="H31" i="36"/>
  <c r="AC30" i="36"/>
  <c r="N30" i="36"/>
  <c r="H30" i="36"/>
  <c r="AC29" i="36"/>
  <c r="N29" i="36"/>
  <c r="H29" i="36"/>
  <c r="AC28" i="36"/>
  <c r="N28" i="36"/>
  <c r="H28" i="36"/>
  <c r="AC27" i="36"/>
  <c r="N27" i="36"/>
  <c r="H27" i="36"/>
  <c r="AC26" i="36"/>
  <c r="N26" i="36"/>
  <c r="H26" i="36"/>
  <c r="AC25" i="36"/>
  <c r="N25" i="36"/>
  <c r="H25" i="36"/>
  <c r="AC24" i="36"/>
  <c r="N24" i="36"/>
  <c r="H24" i="36"/>
  <c r="AC23" i="36"/>
  <c r="N23" i="36"/>
  <c r="H23" i="36"/>
  <c r="AC22" i="36"/>
  <c r="N22" i="36"/>
  <c r="H22" i="36"/>
  <c r="AC21" i="36"/>
  <c r="N21" i="36"/>
  <c r="H21" i="36"/>
  <c r="AC20" i="36"/>
  <c r="N20" i="36"/>
  <c r="H20" i="36"/>
  <c r="AC19" i="36"/>
  <c r="N19" i="36"/>
  <c r="H19" i="36"/>
  <c r="AC18" i="36"/>
  <c r="N18" i="36"/>
  <c r="H18" i="36"/>
  <c r="AC17" i="36"/>
  <c r="N17" i="36"/>
  <c r="H17" i="36"/>
  <c r="AC16" i="36"/>
  <c r="N16" i="36"/>
  <c r="H16" i="36"/>
  <c r="AC15" i="36"/>
  <c r="N15" i="36"/>
  <c r="H15" i="36"/>
  <c r="AC14" i="36"/>
  <c r="N14" i="36"/>
  <c r="H14" i="36"/>
  <c r="AC13" i="36"/>
  <c r="N13" i="36"/>
  <c r="H13" i="36"/>
  <c r="AC12" i="36"/>
  <c r="N12" i="36"/>
  <c r="H12" i="36"/>
  <c r="AC11" i="36"/>
  <c r="N11" i="36"/>
  <c r="H11" i="36"/>
  <c r="AC10" i="36"/>
  <c r="N10" i="36"/>
  <c r="H10" i="36"/>
  <c r="AC9" i="36"/>
  <c r="N9" i="36"/>
  <c r="H9" i="36"/>
  <c r="AC8" i="36"/>
  <c r="N8" i="36"/>
  <c r="H8" i="36"/>
  <c r="AC7" i="36"/>
  <c r="N7" i="36"/>
  <c r="H7" i="36"/>
  <c r="AC6" i="36"/>
  <c r="H6" i="36"/>
  <c r="AC5" i="36"/>
  <c r="S5" i="36"/>
  <c r="O5" i="36"/>
  <c r="T5" i="36"/>
  <c r="I5" i="36"/>
  <c r="K5" i="36" s="1"/>
  <c r="G6" i="36" s="1"/>
  <c r="H5" i="36"/>
  <c r="J5" i="36" s="1"/>
  <c r="G5" i="36"/>
  <c r="W5" i="35"/>
  <c r="N124" i="35"/>
  <c r="N123" i="35"/>
  <c r="N122" i="35"/>
  <c r="N121" i="35"/>
  <c r="N120" i="35"/>
  <c r="N119" i="35"/>
  <c r="N118" i="35"/>
  <c r="N117" i="35"/>
  <c r="N116" i="35"/>
  <c r="N115" i="35"/>
  <c r="N114" i="35"/>
  <c r="N113" i="35"/>
  <c r="N112" i="35"/>
  <c r="N111" i="35"/>
  <c r="N110" i="35"/>
  <c r="N109" i="35"/>
  <c r="N108" i="35"/>
  <c r="N107" i="35"/>
  <c r="N106" i="35"/>
  <c r="N105" i="35"/>
  <c r="N104" i="35"/>
  <c r="N103" i="35"/>
  <c r="N102" i="35"/>
  <c r="N101" i="35"/>
  <c r="N100" i="35"/>
  <c r="N99" i="35"/>
  <c r="N98" i="35"/>
  <c r="N97" i="35"/>
  <c r="N96" i="35"/>
  <c r="N95" i="35"/>
  <c r="N94" i="35"/>
  <c r="N93" i="35"/>
  <c r="N92" i="35"/>
  <c r="N91" i="35"/>
  <c r="N90" i="35"/>
  <c r="N89" i="35"/>
  <c r="N88" i="35"/>
  <c r="N87" i="35"/>
  <c r="N86" i="35"/>
  <c r="N85" i="35"/>
  <c r="N84" i="35"/>
  <c r="N83" i="35"/>
  <c r="N82" i="35"/>
  <c r="N81" i="35"/>
  <c r="N80" i="35"/>
  <c r="N79" i="35"/>
  <c r="N78" i="35"/>
  <c r="N77" i="35"/>
  <c r="N76" i="35"/>
  <c r="N75" i="35"/>
  <c r="N74" i="35"/>
  <c r="N73" i="35"/>
  <c r="N72" i="35"/>
  <c r="N71" i="35"/>
  <c r="N70" i="35"/>
  <c r="N69" i="35"/>
  <c r="N68" i="35"/>
  <c r="N67" i="35"/>
  <c r="N66" i="35"/>
  <c r="N65" i="35"/>
  <c r="N64" i="35"/>
  <c r="N63" i="35"/>
  <c r="N62" i="35"/>
  <c r="N61" i="35"/>
  <c r="N60" i="35"/>
  <c r="N59" i="35"/>
  <c r="N58" i="35"/>
  <c r="N57" i="35"/>
  <c r="N56" i="35"/>
  <c r="N55" i="35"/>
  <c r="N54" i="35"/>
  <c r="N53" i="35"/>
  <c r="N52" i="35"/>
  <c r="N51" i="35"/>
  <c r="N50" i="35"/>
  <c r="N49" i="35"/>
  <c r="N48" i="35"/>
  <c r="N47" i="35"/>
  <c r="N46" i="35"/>
  <c r="N45" i="35"/>
  <c r="N44" i="35"/>
  <c r="N43" i="35"/>
  <c r="N42" i="35"/>
  <c r="N41" i="35"/>
  <c r="N40" i="35"/>
  <c r="N39" i="35"/>
  <c r="N38" i="35"/>
  <c r="N37" i="35"/>
  <c r="N36" i="35"/>
  <c r="C36" i="35"/>
  <c r="N35" i="35"/>
  <c r="N34" i="35"/>
  <c r="N33" i="35"/>
  <c r="N32" i="35"/>
  <c r="N31" i="35"/>
  <c r="N30" i="35"/>
  <c r="N29" i="35"/>
  <c r="N28" i="35"/>
  <c r="N27" i="35"/>
  <c r="N26" i="35"/>
  <c r="N25" i="35"/>
  <c r="N24" i="35"/>
  <c r="N23" i="35"/>
  <c r="N22" i="35"/>
  <c r="N21" i="35"/>
  <c r="N20" i="35"/>
  <c r="N19" i="35"/>
  <c r="N18" i="35"/>
  <c r="N17" i="35"/>
  <c r="N16" i="35"/>
  <c r="N15" i="35"/>
  <c r="N14" i="35"/>
  <c r="N13" i="35"/>
  <c r="N12" i="35"/>
  <c r="N11" i="35"/>
  <c r="N10" i="35"/>
  <c r="N9" i="35"/>
  <c r="M9" i="35"/>
  <c r="L9" i="35"/>
  <c r="N8" i="35"/>
  <c r="M8" i="35"/>
  <c r="L8" i="35"/>
  <c r="N7" i="35"/>
  <c r="M7" i="35"/>
  <c r="L7" i="35"/>
  <c r="N6" i="35"/>
  <c r="M6" i="35"/>
  <c r="L6" i="35"/>
  <c r="V5" i="43" l="1"/>
  <c r="W5" i="43" s="1"/>
  <c r="X5" i="43"/>
  <c r="Y5" i="43" s="1"/>
  <c r="Z5" i="43" s="1"/>
  <c r="L6" i="42"/>
  <c r="T6" i="42" s="1"/>
  <c r="M6" i="42"/>
  <c r="O6" i="42" s="1"/>
  <c r="U6" i="42" s="1"/>
  <c r="W5" i="42"/>
  <c r="AA5" i="42" s="1"/>
  <c r="P6" i="42"/>
  <c r="L6" i="41"/>
  <c r="W5" i="41"/>
  <c r="AA5" i="41" s="1"/>
  <c r="P6" i="43"/>
  <c r="U6" i="43"/>
  <c r="V6" i="43"/>
  <c r="M7" i="43"/>
  <c r="O7" i="43" s="1"/>
  <c r="L7" i="43"/>
  <c r="I7" i="43"/>
  <c r="J7" i="43" s="1"/>
  <c r="K7" i="43" s="1"/>
  <c r="G8" i="43" s="1"/>
  <c r="T6" i="43"/>
  <c r="S6" i="43"/>
  <c r="Y5" i="42"/>
  <c r="Z5" i="42" s="1"/>
  <c r="L7" i="42"/>
  <c r="M7" i="42"/>
  <c r="O7" i="42" s="1"/>
  <c r="I7" i="42"/>
  <c r="J7" i="42" s="1"/>
  <c r="K7" i="42" s="1"/>
  <c r="G8" i="42" s="1"/>
  <c r="Y5" i="41"/>
  <c r="Z5" i="41" s="1"/>
  <c r="AE5" i="41"/>
  <c r="M7" i="41"/>
  <c r="O7" i="41" s="1"/>
  <c r="I7" i="41"/>
  <c r="J7" i="41" s="1"/>
  <c r="K7" i="41" s="1"/>
  <c r="G8" i="41" s="1"/>
  <c r="L7" i="41"/>
  <c r="T6" i="41"/>
  <c r="S6" i="41"/>
  <c r="P6" i="41"/>
  <c r="X6" i="41" s="1"/>
  <c r="V6" i="41"/>
  <c r="U6" i="41"/>
  <c r="AF48" i="35"/>
  <c r="AB48" i="35"/>
  <c r="AE48" i="35"/>
  <c r="AF72" i="35"/>
  <c r="AB72" i="35"/>
  <c r="AE72" i="35"/>
  <c r="AF88" i="35"/>
  <c r="AB88" i="35"/>
  <c r="AE88" i="35"/>
  <c r="AB124" i="35"/>
  <c r="AE124" i="35"/>
  <c r="AF124" i="35"/>
  <c r="AE9" i="35"/>
  <c r="AF9" i="35"/>
  <c r="AB9" i="35"/>
  <c r="AF29" i="35"/>
  <c r="AB29" i="35"/>
  <c r="AE29" i="35"/>
  <c r="AE57" i="35"/>
  <c r="AF57" i="35"/>
  <c r="AB57" i="35"/>
  <c r="AF101" i="35"/>
  <c r="AB101" i="35"/>
  <c r="AE101" i="35"/>
  <c r="AE26" i="35"/>
  <c r="AF26" i="35"/>
  <c r="AB26" i="35"/>
  <c r="AF46" i="35"/>
  <c r="AE46" i="35"/>
  <c r="AB46" i="35"/>
  <c r="AE54" i="35"/>
  <c r="AF54" i="35"/>
  <c r="AB54" i="35"/>
  <c r="AE58" i="35"/>
  <c r="AF58" i="35"/>
  <c r="AB58" i="35"/>
  <c r="AE62" i="35"/>
  <c r="AF62" i="35"/>
  <c r="AB62" i="35"/>
  <c r="AE66" i="35"/>
  <c r="AF66" i="35"/>
  <c r="AB66" i="35"/>
  <c r="AF70" i="35"/>
  <c r="AE70" i="35"/>
  <c r="AB70" i="35"/>
  <c r="AE74" i="35"/>
  <c r="AF74" i="35"/>
  <c r="AB74" i="35"/>
  <c r="AE78" i="35"/>
  <c r="AF78" i="35"/>
  <c r="AB78" i="35"/>
  <c r="AE82" i="35"/>
  <c r="AF82" i="35"/>
  <c r="AB82" i="35"/>
  <c r="AE86" i="35"/>
  <c r="AF86" i="35"/>
  <c r="AB86" i="35"/>
  <c r="AE90" i="35"/>
  <c r="AF90" i="35"/>
  <c r="AB90" i="35"/>
  <c r="AE94" i="35"/>
  <c r="AF94" i="35"/>
  <c r="AB94" i="35"/>
  <c r="AE98" i="35"/>
  <c r="AF98" i="35"/>
  <c r="AB98" i="35"/>
  <c r="AE102" i="35"/>
  <c r="AF102" i="35"/>
  <c r="AB102" i="35"/>
  <c r="AE106" i="35"/>
  <c r="AF106" i="35"/>
  <c r="AB106" i="35"/>
  <c r="AE110" i="35"/>
  <c r="AF110" i="35"/>
  <c r="AB110" i="35"/>
  <c r="AE114" i="35"/>
  <c r="AF114" i="35"/>
  <c r="AB114" i="35"/>
  <c r="AF118" i="35"/>
  <c r="AE118" i="35"/>
  <c r="AB118" i="35"/>
  <c r="AE122" i="35"/>
  <c r="AF122" i="35"/>
  <c r="AB122" i="35"/>
  <c r="AB44" i="35"/>
  <c r="AE44" i="35"/>
  <c r="AF44" i="35"/>
  <c r="AB60" i="35"/>
  <c r="AE60" i="35"/>
  <c r="AF60" i="35"/>
  <c r="AB76" i="35"/>
  <c r="AE76" i="35"/>
  <c r="AF76" i="35"/>
  <c r="AB92" i="35"/>
  <c r="AE92" i="35"/>
  <c r="AF92" i="35"/>
  <c r="AF104" i="35"/>
  <c r="AB104" i="35"/>
  <c r="AE104" i="35"/>
  <c r="AE116" i="35"/>
  <c r="AF116" i="35"/>
  <c r="AB116" i="35"/>
  <c r="AB7" i="35"/>
  <c r="AE7" i="35"/>
  <c r="AF7" i="35"/>
  <c r="AB13" i="35"/>
  <c r="AF13" i="35"/>
  <c r="AE13" i="35"/>
  <c r="AE25" i="35"/>
  <c r="AF25" i="35"/>
  <c r="AB25" i="35"/>
  <c r="AE41" i="35"/>
  <c r="AF41" i="35"/>
  <c r="AB41" i="35"/>
  <c r="AE49" i="35"/>
  <c r="AF49" i="35"/>
  <c r="AB49" i="35"/>
  <c r="AE65" i="35"/>
  <c r="AF65" i="35"/>
  <c r="AB65" i="35"/>
  <c r="AE73" i="35"/>
  <c r="AF73" i="35"/>
  <c r="AB73" i="35"/>
  <c r="AE81" i="35"/>
  <c r="AF81" i="35"/>
  <c r="AB81" i="35"/>
  <c r="AF85" i="35"/>
  <c r="AB85" i="35"/>
  <c r="AE85" i="35"/>
  <c r="AB93" i="35"/>
  <c r="AE93" i="35"/>
  <c r="AF93" i="35"/>
  <c r="AB109" i="35"/>
  <c r="AF109" i="35"/>
  <c r="AE109" i="35"/>
  <c r="AE121" i="35"/>
  <c r="AF121" i="35"/>
  <c r="AB121" i="35"/>
  <c r="AE14" i="35"/>
  <c r="AF14" i="35"/>
  <c r="AB14" i="35"/>
  <c r="AE34" i="35"/>
  <c r="AF34" i="35"/>
  <c r="AB34" i="35"/>
  <c r="AE50" i="35"/>
  <c r="AF50" i="35"/>
  <c r="AB50" i="35"/>
  <c r="AE6" i="35"/>
  <c r="AF6" i="35"/>
  <c r="AB6" i="35"/>
  <c r="AF8" i="35"/>
  <c r="AB8" i="35"/>
  <c r="AE8" i="35"/>
  <c r="AE11" i="35"/>
  <c r="AF11" i="35"/>
  <c r="AB11" i="35"/>
  <c r="AB15" i="35"/>
  <c r="AE15" i="35"/>
  <c r="AF15" i="35"/>
  <c r="AE19" i="35"/>
  <c r="AF19" i="35"/>
  <c r="AB19" i="35"/>
  <c r="AB23" i="35"/>
  <c r="AE23" i="35"/>
  <c r="AF23" i="35"/>
  <c r="AE27" i="35"/>
  <c r="AF27" i="35"/>
  <c r="AB27" i="35"/>
  <c r="AB31" i="35"/>
  <c r="AE31" i="35"/>
  <c r="AF31" i="35"/>
  <c r="AE35" i="35"/>
  <c r="AF35" i="35"/>
  <c r="AB35" i="35"/>
  <c r="AE36" i="35"/>
  <c r="AB36" i="35"/>
  <c r="AF36" i="35"/>
  <c r="AE52" i="35"/>
  <c r="AF52" i="35"/>
  <c r="AB52" i="35"/>
  <c r="AF64" i="35"/>
  <c r="AB64" i="35"/>
  <c r="AE64" i="35"/>
  <c r="AF80" i="35"/>
  <c r="AB80" i="35"/>
  <c r="AE80" i="35"/>
  <c r="AF96" i="35"/>
  <c r="AB96" i="35"/>
  <c r="AE96" i="35"/>
  <c r="AB108" i="35"/>
  <c r="AE108" i="35"/>
  <c r="AF108" i="35"/>
  <c r="AF120" i="35"/>
  <c r="AB120" i="35"/>
  <c r="AE120" i="35"/>
  <c r="AF21" i="35"/>
  <c r="AB21" i="35"/>
  <c r="AE21" i="35"/>
  <c r="AE33" i="35"/>
  <c r="AF33" i="35"/>
  <c r="AB33" i="35"/>
  <c r="AE37" i="35"/>
  <c r="AF37" i="35"/>
  <c r="AB37" i="35"/>
  <c r="AF45" i="35"/>
  <c r="AB45" i="35"/>
  <c r="AE45" i="35"/>
  <c r="AE53" i="35"/>
  <c r="AF53" i="35"/>
  <c r="AB53" i="35"/>
  <c r="AF69" i="35"/>
  <c r="AB69" i="35"/>
  <c r="AE69" i="35"/>
  <c r="AF77" i="35"/>
  <c r="AE77" i="35"/>
  <c r="AB77" i="35"/>
  <c r="AE89" i="35"/>
  <c r="AF89" i="35"/>
  <c r="AB89" i="35"/>
  <c r="AE97" i="35"/>
  <c r="AF97" i="35"/>
  <c r="AB97" i="35"/>
  <c r="AE113" i="35"/>
  <c r="AF113" i="35"/>
  <c r="AB113" i="35"/>
  <c r="AE117" i="35"/>
  <c r="AF117" i="35"/>
  <c r="AB117" i="35"/>
  <c r="AE10" i="35"/>
  <c r="AF10" i="35"/>
  <c r="AB10" i="35"/>
  <c r="AE18" i="35"/>
  <c r="AF18" i="35"/>
  <c r="AB18" i="35"/>
  <c r="AF30" i="35"/>
  <c r="AE30" i="35"/>
  <c r="AB30" i="35"/>
  <c r="AE42" i="35"/>
  <c r="AF42" i="35"/>
  <c r="AB42" i="35"/>
  <c r="AB39" i="35"/>
  <c r="AE39" i="35"/>
  <c r="AF39" i="35"/>
  <c r="AE43" i="35"/>
  <c r="AF43" i="35"/>
  <c r="AB43" i="35"/>
  <c r="AB47" i="35"/>
  <c r="AE47" i="35"/>
  <c r="AF47" i="35"/>
  <c r="AE51" i="35"/>
  <c r="AF51" i="35"/>
  <c r="AB51" i="35"/>
  <c r="AB55" i="35"/>
  <c r="AE55" i="35"/>
  <c r="AF55" i="35"/>
  <c r="AE59" i="35"/>
  <c r="AF59" i="35"/>
  <c r="AB59" i="35"/>
  <c r="AB63" i="35"/>
  <c r="AE63" i="35"/>
  <c r="AF63" i="35"/>
  <c r="AE67" i="35"/>
  <c r="AF67" i="35"/>
  <c r="AB67" i="35"/>
  <c r="AB71" i="35"/>
  <c r="AE71" i="35"/>
  <c r="AF71" i="35"/>
  <c r="AE75" i="35"/>
  <c r="AF75" i="35"/>
  <c r="AB75" i="35"/>
  <c r="AB79" i="35"/>
  <c r="AE79" i="35"/>
  <c r="AF79" i="35"/>
  <c r="AE83" i="35"/>
  <c r="AF83" i="35"/>
  <c r="AB83" i="35"/>
  <c r="AB87" i="35"/>
  <c r="AE87" i="35"/>
  <c r="AF87" i="35"/>
  <c r="AE91" i="35"/>
  <c r="AF91" i="35"/>
  <c r="AB91" i="35"/>
  <c r="AB95" i="35"/>
  <c r="AF95" i="35"/>
  <c r="AE95" i="35"/>
  <c r="AE99" i="35"/>
  <c r="AF99" i="35"/>
  <c r="AB99" i="35"/>
  <c r="AB103" i="35"/>
  <c r="AF103" i="35"/>
  <c r="AE103" i="35"/>
  <c r="AE107" i="35"/>
  <c r="AF107" i="35"/>
  <c r="AB107" i="35"/>
  <c r="AB111" i="35"/>
  <c r="AF111" i="35"/>
  <c r="AE111" i="35"/>
  <c r="AE115" i="35"/>
  <c r="AF115" i="35"/>
  <c r="AB115" i="35"/>
  <c r="AB119" i="35"/>
  <c r="AF119" i="35"/>
  <c r="AE119" i="35"/>
  <c r="AE123" i="35"/>
  <c r="AF123" i="35"/>
  <c r="AB123" i="35"/>
  <c r="AF40" i="35"/>
  <c r="AB40" i="35"/>
  <c r="AE40" i="35"/>
  <c r="AF56" i="35"/>
  <c r="AB56" i="35"/>
  <c r="AE56" i="35"/>
  <c r="AE68" i="35"/>
  <c r="AB68" i="35"/>
  <c r="AF68" i="35"/>
  <c r="AE84" i="35"/>
  <c r="AF84" i="35"/>
  <c r="AB84" i="35"/>
  <c r="AE100" i="35"/>
  <c r="AB100" i="35"/>
  <c r="AF100" i="35"/>
  <c r="AF112" i="35"/>
  <c r="AB112" i="35"/>
  <c r="AE112" i="35"/>
  <c r="AE17" i="35"/>
  <c r="AF17" i="35"/>
  <c r="AB17" i="35"/>
  <c r="AF61" i="35"/>
  <c r="AB61" i="35"/>
  <c r="AE61" i="35"/>
  <c r="AE105" i="35"/>
  <c r="AF105" i="35"/>
  <c r="AB105" i="35"/>
  <c r="AF22" i="35"/>
  <c r="AE22" i="35"/>
  <c r="AB22" i="35"/>
  <c r="AE38" i="35"/>
  <c r="AF38" i="35"/>
  <c r="AB38" i="35"/>
  <c r="AB12" i="35"/>
  <c r="AE12" i="35"/>
  <c r="AF12" i="35"/>
  <c r="AF16" i="35"/>
  <c r="AB16" i="35"/>
  <c r="AE16" i="35"/>
  <c r="AE20" i="35"/>
  <c r="AF20" i="35"/>
  <c r="AB20" i="35"/>
  <c r="AF24" i="35"/>
  <c r="AB24" i="35"/>
  <c r="AE24" i="35"/>
  <c r="AB28" i="35"/>
  <c r="AE28" i="35"/>
  <c r="AF28" i="35"/>
  <c r="AF32" i="35"/>
  <c r="AB32" i="35"/>
  <c r="AE32" i="35"/>
  <c r="AB5" i="35"/>
  <c r="AF5" i="35"/>
  <c r="AE5" i="35"/>
  <c r="K9" i="35"/>
  <c r="G10" i="35" s="1"/>
  <c r="I9" i="35"/>
  <c r="J9" i="35" s="1"/>
  <c r="M6" i="36"/>
  <c r="O6" i="36" s="1"/>
  <c r="L6" i="36"/>
  <c r="K6" i="36"/>
  <c r="G7" i="36" s="1"/>
  <c r="I6" i="36"/>
  <c r="J6" i="36" s="1"/>
  <c r="P5" i="36"/>
  <c r="X5" i="36" s="1"/>
  <c r="V5" i="36"/>
  <c r="U5" i="36"/>
  <c r="W5" i="36" s="1"/>
  <c r="AA5" i="43" l="1"/>
  <c r="AE5" i="43"/>
  <c r="X6" i="43"/>
  <c r="V6" i="42"/>
  <c r="W6" i="42"/>
  <c r="AA6" i="42" s="1"/>
  <c r="S6" i="42"/>
  <c r="X6" i="42" s="1"/>
  <c r="Y6" i="42" s="1"/>
  <c r="Z6" i="42" s="1"/>
  <c r="AE5" i="42"/>
  <c r="Y6" i="43"/>
  <c r="Z6" i="43" s="1"/>
  <c r="M8" i="43"/>
  <c r="O8" i="43" s="1"/>
  <c r="L8" i="43"/>
  <c r="I8" i="43"/>
  <c r="J8" i="43" s="1"/>
  <c r="K8" i="43" s="1"/>
  <c r="G9" i="43" s="1"/>
  <c r="AB5" i="43"/>
  <c r="AF5" i="43"/>
  <c r="AD5" i="43"/>
  <c r="W6" i="43"/>
  <c r="AA6" i="43" s="1"/>
  <c r="T7" i="43"/>
  <c r="S7" i="43"/>
  <c r="P7" i="43"/>
  <c r="V7" i="43"/>
  <c r="U7" i="43"/>
  <c r="AB5" i="42"/>
  <c r="AF5" i="42"/>
  <c r="AD5" i="42"/>
  <c r="M8" i="42"/>
  <c r="O8" i="42" s="1"/>
  <c r="L8" i="42"/>
  <c r="I8" i="42"/>
  <c r="J8" i="42" s="1"/>
  <c r="K8" i="42" s="1"/>
  <c r="G9" i="42" s="1"/>
  <c r="T7" i="42"/>
  <c r="S7" i="42"/>
  <c r="P7" i="42"/>
  <c r="V7" i="42"/>
  <c r="U7" i="42"/>
  <c r="Y6" i="41"/>
  <c r="Z6" i="41"/>
  <c r="AD5" i="41"/>
  <c r="AB5" i="41"/>
  <c r="AF5" i="41"/>
  <c r="L8" i="41"/>
  <c r="M8" i="41"/>
  <c r="O8" i="41" s="1"/>
  <c r="I8" i="41"/>
  <c r="J8" i="41" s="1"/>
  <c r="K8" i="41" s="1"/>
  <c r="G9" i="41" s="1"/>
  <c r="V7" i="41"/>
  <c r="U7" i="41"/>
  <c r="P7" i="41"/>
  <c r="S7" i="41"/>
  <c r="T7" i="41"/>
  <c r="W6" i="41"/>
  <c r="AA6" i="41" s="1"/>
  <c r="C44" i="35"/>
  <c r="I10" i="35"/>
  <c r="J10" i="35" s="1"/>
  <c r="K10" i="35" s="1"/>
  <c r="G11" i="35" s="1"/>
  <c r="M10" i="35"/>
  <c r="L10" i="35"/>
  <c r="AE5" i="36"/>
  <c r="AA5" i="36"/>
  <c r="S6" i="36"/>
  <c r="T6" i="36"/>
  <c r="M7" i="36"/>
  <c r="O7" i="36" s="1"/>
  <c r="I7" i="36"/>
  <c r="J7" i="36" s="1"/>
  <c r="L7" i="36"/>
  <c r="K7" i="36"/>
  <c r="G8" i="36" s="1"/>
  <c r="P6" i="36"/>
  <c r="X6" i="36" s="1"/>
  <c r="V6" i="36"/>
  <c r="U6" i="36"/>
  <c r="Y5" i="36"/>
  <c r="Z5" i="36"/>
  <c r="X7" i="43" l="1"/>
  <c r="AE6" i="42"/>
  <c r="X7" i="42"/>
  <c r="X7" i="41"/>
  <c r="W7" i="41"/>
  <c r="AA7" i="41" s="1"/>
  <c r="L9" i="43"/>
  <c r="I9" i="43"/>
  <c r="J9" i="43" s="1"/>
  <c r="K9" i="43" s="1"/>
  <c r="G10" i="43" s="1"/>
  <c r="M9" i="43"/>
  <c r="O9" i="43" s="1"/>
  <c r="Y7" i="43"/>
  <c r="Z7" i="43" s="1"/>
  <c r="T8" i="43"/>
  <c r="S8" i="43"/>
  <c r="W7" i="43"/>
  <c r="AA7" i="43" s="1"/>
  <c r="V8" i="43"/>
  <c r="U8" i="43"/>
  <c r="P8" i="43"/>
  <c r="X8" i="43" s="1"/>
  <c r="AE6" i="43"/>
  <c r="AB6" i="43"/>
  <c r="AF6" i="43"/>
  <c r="AD6" i="43"/>
  <c r="Y7" i="42"/>
  <c r="Z7" i="42" s="1"/>
  <c r="L9" i="42"/>
  <c r="I9" i="42"/>
  <c r="J9" i="42" s="1"/>
  <c r="K9" i="42" s="1"/>
  <c r="G10" i="42" s="1"/>
  <c r="M9" i="42"/>
  <c r="O9" i="42" s="1"/>
  <c r="T8" i="42"/>
  <c r="W8" i="42" s="1"/>
  <c r="AA8" i="42" s="1"/>
  <c r="S8" i="42"/>
  <c r="W7" i="42"/>
  <c r="AA7" i="42" s="1"/>
  <c r="AF6" i="42"/>
  <c r="AD6" i="42"/>
  <c r="AB6" i="42"/>
  <c r="V8" i="42"/>
  <c r="U8" i="42"/>
  <c r="P8" i="42"/>
  <c r="Y7" i="41"/>
  <c r="Z7" i="41" s="1"/>
  <c r="AE6" i="41"/>
  <c r="I9" i="41"/>
  <c r="J9" i="41" s="1"/>
  <c r="K9" i="41" s="1"/>
  <c r="G10" i="41" s="1"/>
  <c r="M9" i="41"/>
  <c r="O9" i="41" s="1"/>
  <c r="L9" i="41"/>
  <c r="V8" i="41"/>
  <c r="U8" i="41"/>
  <c r="P8" i="41"/>
  <c r="T8" i="41"/>
  <c r="W8" i="41" s="1"/>
  <c r="AA8" i="41" s="1"/>
  <c r="S8" i="41"/>
  <c r="X8" i="41" s="1"/>
  <c r="AE7" i="41"/>
  <c r="AF6" i="41"/>
  <c r="AD6" i="41"/>
  <c r="AB6" i="41"/>
  <c r="I11" i="35"/>
  <c r="J11" i="35" s="1"/>
  <c r="K11" i="35"/>
  <c r="G12" i="35" s="1"/>
  <c r="M11" i="35"/>
  <c r="L11" i="35"/>
  <c r="Y6" i="36"/>
  <c r="Z6" i="36" s="1"/>
  <c r="V7" i="36"/>
  <c r="P7" i="36"/>
  <c r="X7" i="36" s="1"/>
  <c r="U7" i="36"/>
  <c r="M8" i="36"/>
  <c r="O8" i="36" s="1"/>
  <c r="L8" i="36"/>
  <c r="I8" i="36"/>
  <c r="J8" i="36" s="1"/>
  <c r="AD5" i="36"/>
  <c r="AB5" i="36"/>
  <c r="S7" i="36"/>
  <c r="T7" i="36"/>
  <c r="W7" i="36" s="1"/>
  <c r="W6" i="36"/>
  <c r="W8" i="43" l="1"/>
  <c r="AA8" i="43" s="1"/>
  <c r="X8" i="42"/>
  <c r="AF7" i="43"/>
  <c r="AD7" i="43"/>
  <c r="AB7" i="43"/>
  <c r="Y8" i="43"/>
  <c r="Z8" i="43" s="1"/>
  <c r="I10" i="43"/>
  <c r="J10" i="43" s="1"/>
  <c r="K10" i="43" s="1"/>
  <c r="G11" i="43" s="1"/>
  <c r="M10" i="43"/>
  <c r="O10" i="43" s="1"/>
  <c r="L10" i="43"/>
  <c r="V9" i="43"/>
  <c r="U9" i="43"/>
  <c r="P9" i="43"/>
  <c r="AE8" i="43"/>
  <c r="AE7" i="43"/>
  <c r="T9" i="43"/>
  <c r="S9" i="43"/>
  <c r="X9" i="43" s="1"/>
  <c r="AF7" i="42"/>
  <c r="AD7" i="42"/>
  <c r="Y8" i="42"/>
  <c r="Z8" i="42" s="1"/>
  <c r="I10" i="42"/>
  <c r="J10" i="42" s="1"/>
  <c r="K10" i="42" s="1"/>
  <c r="G11" i="42" s="1"/>
  <c r="L10" i="42"/>
  <c r="M10" i="42"/>
  <c r="O10" i="42" s="1"/>
  <c r="AE8" i="42"/>
  <c r="P9" i="42"/>
  <c r="X9" i="42" s="1"/>
  <c r="U9" i="42"/>
  <c r="V9" i="42"/>
  <c r="T9" i="42"/>
  <c r="S9" i="42"/>
  <c r="AE7" i="42"/>
  <c r="AB7" i="42"/>
  <c r="Y8" i="41"/>
  <c r="Z8" i="41" s="1"/>
  <c r="AD7" i="41"/>
  <c r="AB7" i="41"/>
  <c r="AF7" i="41"/>
  <c r="I10" i="41"/>
  <c r="J10" i="41" s="1"/>
  <c r="K10" i="41" s="1"/>
  <c r="G11" i="41" s="1"/>
  <c r="M10" i="41"/>
  <c r="O10" i="41" s="1"/>
  <c r="L10" i="41"/>
  <c r="AE8" i="41"/>
  <c r="P9" i="41"/>
  <c r="X9" i="41" s="1"/>
  <c r="V9" i="41"/>
  <c r="U9" i="41"/>
  <c r="T9" i="41"/>
  <c r="S9" i="41"/>
  <c r="I12" i="35"/>
  <c r="J12" i="35" s="1"/>
  <c r="K12" i="35" s="1"/>
  <c r="G13" i="35" s="1"/>
  <c r="M12" i="35"/>
  <c r="L12" i="35"/>
  <c r="Y7" i="36"/>
  <c r="Z7" i="36"/>
  <c r="AD6" i="36"/>
  <c r="AE6" i="36"/>
  <c r="AA6" i="36"/>
  <c r="AB6" i="36" s="1"/>
  <c r="P8" i="36"/>
  <c r="X8" i="36" s="1"/>
  <c r="V8" i="36"/>
  <c r="U8" i="36"/>
  <c r="S8" i="36"/>
  <c r="T8" i="36"/>
  <c r="AA7" i="36"/>
  <c r="AE7" i="36"/>
  <c r="AF5" i="36"/>
  <c r="K8" i="36"/>
  <c r="G9" i="36" s="1"/>
  <c r="M11" i="43" l="1"/>
  <c r="O11" i="43" s="1"/>
  <c r="I11" i="43"/>
  <c r="J11" i="43" s="1"/>
  <c r="K11" i="43" s="1"/>
  <c r="G12" i="43" s="1"/>
  <c r="L11" i="43"/>
  <c r="AD8" i="43"/>
  <c r="AB8" i="43"/>
  <c r="AF8" i="43"/>
  <c r="Y9" i="43"/>
  <c r="Z9" i="43" s="1"/>
  <c r="W9" i="43"/>
  <c r="AA9" i="43" s="1"/>
  <c r="T10" i="43"/>
  <c r="S10" i="43"/>
  <c r="P10" i="43"/>
  <c r="U10" i="43"/>
  <c r="V10" i="43"/>
  <c r="L11" i="42"/>
  <c r="M11" i="42"/>
  <c r="O11" i="42" s="1"/>
  <c r="I11" i="42"/>
  <c r="J11" i="42" s="1"/>
  <c r="K11" i="42" s="1"/>
  <c r="G12" i="42" s="1"/>
  <c r="AD8" i="42"/>
  <c r="AB8" i="42"/>
  <c r="AF8" i="42"/>
  <c r="Y9" i="42"/>
  <c r="Z9" i="42" s="1"/>
  <c r="S10" i="42"/>
  <c r="T10" i="42"/>
  <c r="V10" i="42"/>
  <c r="P10" i="42"/>
  <c r="U10" i="42"/>
  <c r="W9" i="42"/>
  <c r="AA9" i="42" s="1"/>
  <c r="M11" i="41"/>
  <c r="O11" i="41" s="1"/>
  <c r="L11" i="41"/>
  <c r="I11" i="41"/>
  <c r="J11" i="41" s="1"/>
  <c r="K11" i="41" s="1"/>
  <c r="G12" i="41" s="1"/>
  <c r="Y9" i="41"/>
  <c r="Z9" i="41" s="1"/>
  <c r="AB8" i="41"/>
  <c r="AF8" i="41"/>
  <c r="AD8" i="41"/>
  <c r="P10" i="41"/>
  <c r="X10" i="41" s="1"/>
  <c r="U10" i="41"/>
  <c r="V10" i="41"/>
  <c r="W9" i="41"/>
  <c r="AA9" i="41" s="1"/>
  <c r="T10" i="41"/>
  <c r="S10" i="41"/>
  <c r="I13" i="35"/>
  <c r="J13" i="35" s="1"/>
  <c r="K13" i="35" s="1"/>
  <c r="G14" i="35" s="1"/>
  <c r="M13" i="35"/>
  <c r="L13" i="35"/>
  <c r="W8" i="36"/>
  <c r="Y8" i="36"/>
  <c r="Z8" i="36" s="1"/>
  <c r="AE8" i="36"/>
  <c r="AA8" i="36"/>
  <c r="AF6" i="36"/>
  <c r="M9" i="36"/>
  <c r="O9" i="36" s="1"/>
  <c r="L9" i="36"/>
  <c r="I9" i="36"/>
  <c r="J9" i="36" s="1"/>
  <c r="AD7" i="36"/>
  <c r="AB7" i="36"/>
  <c r="X10" i="43" l="1"/>
  <c r="Y10" i="43" s="1"/>
  <c r="Z10" i="43" s="1"/>
  <c r="X10" i="42"/>
  <c r="M12" i="43"/>
  <c r="O12" i="43" s="1"/>
  <c r="L12" i="43"/>
  <c r="I12" i="43"/>
  <c r="J12" i="43" s="1"/>
  <c r="K12" i="43" s="1"/>
  <c r="G13" i="43" s="1"/>
  <c r="AF9" i="43"/>
  <c r="AD9" i="43"/>
  <c r="W10" i="43"/>
  <c r="AA10" i="43" s="1"/>
  <c r="T11" i="43"/>
  <c r="S11" i="43"/>
  <c r="AB9" i="43"/>
  <c r="AE9" i="43"/>
  <c r="P11" i="43"/>
  <c r="X11" i="43" s="1"/>
  <c r="V11" i="43"/>
  <c r="U11" i="43"/>
  <c r="Y10" i="42"/>
  <c r="Z10" i="42" s="1"/>
  <c r="M12" i="42"/>
  <c r="O12" i="42" s="1"/>
  <c r="L12" i="42"/>
  <c r="I12" i="42"/>
  <c r="J12" i="42" s="1"/>
  <c r="K12" i="42" s="1"/>
  <c r="G13" i="42" s="1"/>
  <c r="W10" i="42"/>
  <c r="AA10" i="42" s="1"/>
  <c r="AB9" i="42"/>
  <c r="AF9" i="42"/>
  <c r="AD9" i="42"/>
  <c r="P11" i="42"/>
  <c r="V11" i="42"/>
  <c r="U11" i="42"/>
  <c r="AE9" i="42"/>
  <c r="T11" i="42"/>
  <c r="S11" i="42"/>
  <c r="Y10" i="41"/>
  <c r="Z10" i="41" s="1"/>
  <c r="AF9" i="41"/>
  <c r="AD9" i="41"/>
  <c r="AB9" i="41"/>
  <c r="L12" i="41"/>
  <c r="M12" i="41"/>
  <c r="O12" i="41" s="1"/>
  <c r="I12" i="41"/>
  <c r="J12" i="41" s="1"/>
  <c r="K12" i="41" s="1"/>
  <c r="G13" i="41" s="1"/>
  <c r="AE9" i="41"/>
  <c r="T11" i="41"/>
  <c r="S11" i="41"/>
  <c r="W10" i="41"/>
  <c r="AA10" i="41" s="1"/>
  <c r="V11" i="41"/>
  <c r="U11" i="41"/>
  <c r="P11" i="41"/>
  <c r="I14" i="35"/>
  <c r="J14" i="35" s="1"/>
  <c r="K14" i="35" s="1"/>
  <c r="G15" i="35" s="1"/>
  <c r="M14" i="35"/>
  <c r="L14" i="35"/>
  <c r="S9" i="36"/>
  <c r="T9" i="36"/>
  <c r="AD8" i="36"/>
  <c r="AB8" i="36"/>
  <c r="P9" i="36"/>
  <c r="X9" i="36" s="1"/>
  <c r="V9" i="36"/>
  <c r="U9" i="36"/>
  <c r="AF7" i="36"/>
  <c r="K9" i="36"/>
  <c r="G10" i="36" s="1"/>
  <c r="W11" i="43" l="1"/>
  <c r="AA11" i="43" s="1"/>
  <c r="X11" i="42"/>
  <c r="X11" i="41"/>
  <c r="L13" i="43"/>
  <c r="I13" i="43"/>
  <c r="J13" i="43" s="1"/>
  <c r="K13" i="43" s="1"/>
  <c r="G14" i="43" s="1"/>
  <c r="M13" i="43"/>
  <c r="O13" i="43" s="1"/>
  <c r="AF10" i="43"/>
  <c r="AD10" i="43"/>
  <c r="AB10" i="43"/>
  <c r="Y11" i="43"/>
  <c r="Z11" i="43" s="1"/>
  <c r="AE11" i="43"/>
  <c r="AE10" i="43"/>
  <c r="T12" i="43"/>
  <c r="S12" i="43"/>
  <c r="V12" i="43"/>
  <c r="U12" i="43"/>
  <c r="P12" i="43"/>
  <c r="I13" i="42"/>
  <c r="J13" i="42" s="1"/>
  <c r="K13" i="42" s="1"/>
  <c r="G14" i="42" s="1"/>
  <c r="M13" i="42"/>
  <c r="O13" i="42" s="1"/>
  <c r="L13" i="42"/>
  <c r="Y11" i="42"/>
  <c r="Z11" i="42" s="1"/>
  <c r="AF10" i="42"/>
  <c r="AD10" i="42"/>
  <c r="AE10" i="42"/>
  <c r="AB10" i="42"/>
  <c r="W11" i="42"/>
  <c r="AA11" i="42" s="1"/>
  <c r="T12" i="42"/>
  <c r="S12" i="42"/>
  <c r="V12" i="42"/>
  <c r="U12" i="42"/>
  <c r="P12" i="42"/>
  <c r="Y11" i="41"/>
  <c r="Z11" i="41"/>
  <c r="AF10" i="41"/>
  <c r="AD10" i="41"/>
  <c r="AB10" i="41"/>
  <c r="V12" i="41"/>
  <c r="P12" i="41"/>
  <c r="U12" i="41"/>
  <c r="AE10" i="41"/>
  <c r="W11" i="41"/>
  <c r="AA11" i="41" s="1"/>
  <c r="L13" i="41"/>
  <c r="M13" i="41"/>
  <c r="O13" i="41" s="1"/>
  <c r="I13" i="41"/>
  <c r="J13" i="41" s="1"/>
  <c r="K13" i="41" s="1"/>
  <c r="G14" i="41" s="1"/>
  <c r="T12" i="41"/>
  <c r="S12" i="41"/>
  <c r="X12" i="41" s="1"/>
  <c r="I15" i="35"/>
  <c r="J15" i="35" s="1"/>
  <c r="K15" i="35"/>
  <c r="G16" i="35" s="1"/>
  <c r="M15" i="35"/>
  <c r="L15" i="35"/>
  <c r="Y9" i="36"/>
  <c r="Z9" i="36" s="1"/>
  <c r="I10" i="36"/>
  <c r="J10" i="36" s="1"/>
  <c r="M10" i="36"/>
  <c r="O10" i="36" s="1"/>
  <c r="L10" i="36"/>
  <c r="K10" i="36"/>
  <c r="G11" i="36" s="1"/>
  <c r="AF8" i="36"/>
  <c r="W9" i="36"/>
  <c r="X12" i="43" l="1"/>
  <c r="Y12" i="43" s="1"/>
  <c r="Z12" i="43" s="1"/>
  <c r="X12" i="42"/>
  <c r="Y12" i="42" s="1"/>
  <c r="Z12" i="42" s="1"/>
  <c r="AF11" i="43"/>
  <c r="AD11" i="43"/>
  <c r="AB11" i="43"/>
  <c r="I14" i="43"/>
  <c r="J14" i="43" s="1"/>
  <c r="K14" i="43" s="1"/>
  <c r="G15" i="43" s="1"/>
  <c r="M14" i="43"/>
  <c r="O14" i="43" s="1"/>
  <c r="L14" i="43"/>
  <c r="W12" i="43"/>
  <c r="AA12" i="43" s="1"/>
  <c r="V13" i="43"/>
  <c r="U13" i="43"/>
  <c r="P13" i="43"/>
  <c r="T13" i="43"/>
  <c r="W13" i="43" s="1"/>
  <c r="AA13" i="43" s="1"/>
  <c r="S13" i="43"/>
  <c r="AF11" i="42"/>
  <c r="AD11" i="42"/>
  <c r="AE11" i="42"/>
  <c r="AB11" i="42"/>
  <c r="P13" i="42"/>
  <c r="V13" i="42"/>
  <c r="U13" i="42"/>
  <c r="W12" i="42"/>
  <c r="AA12" i="42" s="1"/>
  <c r="I14" i="42"/>
  <c r="J14" i="42" s="1"/>
  <c r="K14" i="42" s="1"/>
  <c r="G15" i="42" s="1"/>
  <c r="L14" i="42"/>
  <c r="M14" i="42"/>
  <c r="O14" i="42" s="1"/>
  <c r="T13" i="42"/>
  <c r="S13" i="42"/>
  <c r="M14" i="41"/>
  <c r="O14" i="41" s="1"/>
  <c r="L14" i="41"/>
  <c r="I14" i="41"/>
  <c r="J14" i="41" s="1"/>
  <c r="K14" i="41" s="1"/>
  <c r="G15" i="41" s="1"/>
  <c r="Y12" i="41"/>
  <c r="Z12" i="41" s="1"/>
  <c r="T13" i="41"/>
  <c r="S13" i="41"/>
  <c r="AE11" i="41"/>
  <c r="AD11" i="41"/>
  <c r="AF11" i="41"/>
  <c r="AB11" i="41"/>
  <c r="V13" i="41"/>
  <c r="U13" i="41"/>
  <c r="P13" i="41"/>
  <c r="W12" i="41"/>
  <c r="AA12" i="41" s="1"/>
  <c r="I16" i="35"/>
  <c r="J16" i="35" s="1"/>
  <c r="K16" i="35" s="1"/>
  <c r="G17" i="35" s="1"/>
  <c r="M16" i="35"/>
  <c r="L16" i="35"/>
  <c r="M11" i="36"/>
  <c r="O11" i="36" s="1"/>
  <c r="L11" i="36"/>
  <c r="I11" i="36"/>
  <c r="J11" i="36" s="1"/>
  <c r="K11" i="36"/>
  <c r="G12" i="36" s="1"/>
  <c r="S10" i="36"/>
  <c r="T10" i="36"/>
  <c r="AD9" i="36"/>
  <c r="AB9" i="36"/>
  <c r="P10" i="36"/>
  <c r="X10" i="36" s="1"/>
  <c r="V10" i="36"/>
  <c r="U10" i="36"/>
  <c r="AE9" i="36"/>
  <c r="AA9" i="36"/>
  <c r="X13" i="43" l="1"/>
  <c r="Y13" i="43" s="1"/>
  <c r="Z13" i="43" s="1"/>
  <c r="X13" i="42"/>
  <c r="W13" i="41"/>
  <c r="AA13" i="41" s="1"/>
  <c r="X13" i="41"/>
  <c r="M15" i="43"/>
  <c r="O15" i="43" s="1"/>
  <c r="L15" i="43"/>
  <c r="I15" i="43"/>
  <c r="J15" i="43" s="1"/>
  <c r="K15" i="43" s="1"/>
  <c r="G16" i="43" s="1"/>
  <c r="AE13" i="43"/>
  <c r="T14" i="43"/>
  <c r="S14" i="43"/>
  <c r="P14" i="43"/>
  <c r="V14" i="43"/>
  <c r="U14" i="43"/>
  <c r="AB12" i="43"/>
  <c r="AE12" i="43"/>
  <c r="AD12" i="43"/>
  <c r="AF12" i="43"/>
  <c r="Y13" i="42"/>
  <c r="Z13" i="42" s="1"/>
  <c r="AD12" i="42"/>
  <c r="AF12" i="42"/>
  <c r="M15" i="42"/>
  <c r="O15" i="42" s="1"/>
  <c r="L15" i="42"/>
  <c r="I15" i="42"/>
  <c r="J15" i="42" s="1"/>
  <c r="K15" i="42" s="1"/>
  <c r="G16" i="42" s="1"/>
  <c r="T14" i="42"/>
  <c r="S14" i="42"/>
  <c r="AB12" i="42"/>
  <c r="AE12" i="42"/>
  <c r="W13" i="42"/>
  <c r="AA13" i="42" s="1"/>
  <c r="P14" i="42"/>
  <c r="X14" i="42" s="1"/>
  <c r="V14" i="42"/>
  <c r="U14" i="42"/>
  <c r="Y13" i="41"/>
  <c r="Z13" i="41" s="1"/>
  <c r="AD12" i="41"/>
  <c r="AF12" i="41"/>
  <c r="AE13" i="41"/>
  <c r="M15" i="41"/>
  <c r="O15" i="41" s="1"/>
  <c r="L15" i="41"/>
  <c r="I15" i="41"/>
  <c r="J15" i="41" s="1"/>
  <c r="K15" i="41" s="1"/>
  <c r="G16" i="41" s="1"/>
  <c r="AB12" i="41"/>
  <c r="AE12" i="41"/>
  <c r="T14" i="41"/>
  <c r="S14" i="41"/>
  <c r="V14" i="41"/>
  <c r="U14" i="41"/>
  <c r="P14" i="41"/>
  <c r="I17" i="35"/>
  <c r="J17" i="35" s="1"/>
  <c r="K17" i="35" s="1"/>
  <c r="G18" i="35" s="1"/>
  <c r="L17" i="35"/>
  <c r="M17" i="35"/>
  <c r="W10" i="36"/>
  <c r="Y10" i="36"/>
  <c r="Z10" i="36"/>
  <c r="I12" i="36"/>
  <c r="J12" i="36" s="1"/>
  <c r="M12" i="36"/>
  <c r="O12" i="36" s="1"/>
  <c r="L12" i="36"/>
  <c r="K12" i="36"/>
  <c r="G13" i="36" s="1"/>
  <c r="AF9" i="36"/>
  <c r="T11" i="36"/>
  <c r="S11" i="36"/>
  <c r="AA10" i="36"/>
  <c r="AE10" i="36"/>
  <c r="P11" i="36"/>
  <c r="X11" i="36" s="1"/>
  <c r="V11" i="36"/>
  <c r="U11" i="36"/>
  <c r="X14" i="43" l="1"/>
  <c r="X14" i="41"/>
  <c r="AB13" i="43"/>
  <c r="AF13" i="43"/>
  <c r="AD13" i="43"/>
  <c r="M16" i="43"/>
  <c r="O16" i="43" s="1"/>
  <c r="L16" i="43"/>
  <c r="I16" i="43"/>
  <c r="J16" i="43" s="1"/>
  <c r="K16" i="43" s="1"/>
  <c r="G17" i="43" s="1"/>
  <c r="Y14" i="43"/>
  <c r="Z14" i="43" s="1"/>
  <c r="T15" i="43"/>
  <c r="S15" i="43"/>
  <c r="W14" i="43"/>
  <c r="AA14" i="43" s="1"/>
  <c r="P15" i="43"/>
  <c r="X15" i="43" s="1"/>
  <c r="V15" i="43"/>
  <c r="U15" i="43"/>
  <c r="Y14" i="42"/>
  <c r="Z14" i="42" s="1"/>
  <c r="AF13" i="42"/>
  <c r="AB13" i="42"/>
  <c r="AD13" i="42"/>
  <c r="V15" i="42"/>
  <c r="U15" i="42"/>
  <c r="P15" i="42"/>
  <c r="T15" i="42"/>
  <c r="S15" i="42"/>
  <c r="W14" i="42"/>
  <c r="AA14" i="42" s="1"/>
  <c r="M16" i="42"/>
  <c r="O16" i="42" s="1"/>
  <c r="L16" i="42"/>
  <c r="I16" i="42"/>
  <c r="J16" i="42" s="1"/>
  <c r="K16" i="42" s="1"/>
  <c r="G17" i="42" s="1"/>
  <c r="AE13" i="42"/>
  <c r="M16" i="41"/>
  <c r="O16" i="41" s="1"/>
  <c r="I16" i="41"/>
  <c r="J16" i="41" s="1"/>
  <c r="K16" i="41" s="1"/>
  <c r="G17" i="41" s="1"/>
  <c r="L16" i="41"/>
  <c r="Y14" i="41"/>
  <c r="Z14" i="41" s="1"/>
  <c r="AB13" i="41"/>
  <c r="AD13" i="41"/>
  <c r="AF13" i="41"/>
  <c r="P15" i="41"/>
  <c r="X15" i="41" s="1"/>
  <c r="U15" i="41"/>
  <c r="V15" i="41"/>
  <c r="W14" i="41"/>
  <c r="AA14" i="41" s="1"/>
  <c r="T15" i="41"/>
  <c r="S15" i="41"/>
  <c r="I18" i="35"/>
  <c r="J18" i="35" s="1"/>
  <c r="K18" i="35" s="1"/>
  <c r="G19" i="35" s="1"/>
  <c r="M18" i="35"/>
  <c r="L18" i="35"/>
  <c r="Y11" i="36"/>
  <c r="Z11" i="36"/>
  <c r="S12" i="36"/>
  <c r="T12" i="36"/>
  <c r="M13" i="36"/>
  <c r="O13" i="36" s="1"/>
  <c r="L13" i="36"/>
  <c r="I13" i="36"/>
  <c r="J13" i="36" s="1"/>
  <c r="V12" i="36"/>
  <c r="P12" i="36"/>
  <c r="X12" i="36" s="1"/>
  <c r="U12" i="36"/>
  <c r="AD10" i="36"/>
  <c r="AB10" i="36"/>
  <c r="W11" i="36"/>
  <c r="X15" i="42" l="1"/>
  <c r="W15" i="41"/>
  <c r="AA15" i="41" s="1"/>
  <c r="L17" i="43"/>
  <c r="I17" i="43"/>
  <c r="J17" i="43" s="1"/>
  <c r="K17" i="43" s="1"/>
  <c r="G18" i="43" s="1"/>
  <c r="M17" i="43"/>
  <c r="O17" i="43" s="1"/>
  <c r="Y15" i="43"/>
  <c r="Z15" i="43" s="1"/>
  <c r="AF14" i="43"/>
  <c r="AB14" i="43"/>
  <c r="AD14" i="43"/>
  <c r="V16" i="43"/>
  <c r="U16" i="43"/>
  <c r="P16" i="43"/>
  <c r="T16" i="43"/>
  <c r="W16" i="43" s="1"/>
  <c r="AA16" i="43" s="1"/>
  <c r="S16" i="43"/>
  <c r="AE14" i="43"/>
  <c r="W15" i="43"/>
  <c r="AA15" i="43" s="1"/>
  <c r="I17" i="42"/>
  <c r="J17" i="42" s="1"/>
  <c r="K17" i="42" s="1"/>
  <c r="G18" i="42" s="1"/>
  <c r="M17" i="42"/>
  <c r="O17" i="42" s="1"/>
  <c r="L17" i="42"/>
  <c r="Y15" i="42"/>
  <c r="Z15" i="42" s="1"/>
  <c r="T16" i="42"/>
  <c r="S16" i="42"/>
  <c r="AE14" i="42"/>
  <c r="W15" i="42"/>
  <c r="AA15" i="42" s="1"/>
  <c r="AF14" i="42"/>
  <c r="AD14" i="42"/>
  <c r="AB14" i="42"/>
  <c r="U16" i="42"/>
  <c r="P16" i="42"/>
  <c r="V16" i="42"/>
  <c r="L17" i="41"/>
  <c r="M17" i="41"/>
  <c r="O17" i="41" s="1"/>
  <c r="I17" i="41"/>
  <c r="J17" i="41" s="1"/>
  <c r="K17" i="41" s="1"/>
  <c r="G18" i="41" s="1"/>
  <c r="Y15" i="41"/>
  <c r="Z15" i="41" s="1"/>
  <c r="AF14" i="41"/>
  <c r="AD14" i="41"/>
  <c r="AE15" i="41"/>
  <c r="AE14" i="41"/>
  <c r="AB14" i="41"/>
  <c r="T16" i="41"/>
  <c r="S16" i="41"/>
  <c r="X16" i="41" s="1"/>
  <c r="V16" i="41"/>
  <c r="U16" i="41"/>
  <c r="P16" i="41"/>
  <c r="I19" i="35"/>
  <c r="J19" i="35" s="1"/>
  <c r="K19" i="35"/>
  <c r="G20" i="35" s="1"/>
  <c r="M19" i="35"/>
  <c r="L19" i="35"/>
  <c r="Y12" i="36"/>
  <c r="Z12" i="36"/>
  <c r="AE11" i="36"/>
  <c r="AA11" i="36"/>
  <c r="S13" i="36"/>
  <c r="T13" i="36"/>
  <c r="W13" i="36" s="1"/>
  <c r="AF10" i="36"/>
  <c r="P13" i="36"/>
  <c r="X13" i="36" s="1"/>
  <c r="V13" i="36"/>
  <c r="U13" i="36"/>
  <c r="AD11" i="36"/>
  <c r="AB11" i="36"/>
  <c r="K13" i="36"/>
  <c r="G14" i="36" s="1"/>
  <c r="W12" i="36"/>
  <c r="X16" i="43" l="1"/>
  <c r="W16" i="42"/>
  <c r="AA16" i="42" s="1"/>
  <c r="X16" i="42"/>
  <c r="Y16" i="42" s="1"/>
  <c r="Z16" i="42" s="1"/>
  <c r="AF15" i="43"/>
  <c r="AD15" i="43"/>
  <c r="AB15" i="43"/>
  <c r="Y16" i="43"/>
  <c r="Z16" i="43" s="1"/>
  <c r="I18" i="43"/>
  <c r="J18" i="43" s="1"/>
  <c r="K18" i="43" s="1"/>
  <c r="G19" i="43" s="1"/>
  <c r="M18" i="43"/>
  <c r="O18" i="43" s="1"/>
  <c r="L18" i="43"/>
  <c r="AE16" i="43"/>
  <c r="V17" i="43"/>
  <c r="U17" i="43"/>
  <c r="P17" i="43"/>
  <c r="X17" i="43" s="1"/>
  <c r="AE15" i="43"/>
  <c r="T17" i="43"/>
  <c r="S17" i="43"/>
  <c r="AD15" i="42"/>
  <c r="AB15" i="42"/>
  <c r="AF15" i="42"/>
  <c r="I18" i="42"/>
  <c r="J18" i="42" s="1"/>
  <c r="K18" i="42" s="1"/>
  <c r="G19" i="42" s="1"/>
  <c r="M18" i="42"/>
  <c r="O18" i="42" s="1"/>
  <c r="L18" i="42"/>
  <c r="AE16" i="42"/>
  <c r="P17" i="42"/>
  <c r="U17" i="42"/>
  <c r="V17" i="42"/>
  <c r="T17" i="42"/>
  <c r="S17" i="42"/>
  <c r="AE15" i="42"/>
  <c r="I18" i="41"/>
  <c r="J18" i="41" s="1"/>
  <c r="K18" i="41"/>
  <c r="G19" i="41" s="1"/>
  <c r="M18" i="41"/>
  <c r="O18" i="41" s="1"/>
  <c r="L18" i="41"/>
  <c r="Y16" i="41"/>
  <c r="Z16" i="41" s="1"/>
  <c r="AF15" i="41"/>
  <c r="AD15" i="41"/>
  <c r="AB15" i="41"/>
  <c r="W16" i="41"/>
  <c r="AA16" i="41" s="1"/>
  <c r="U17" i="41"/>
  <c r="V17" i="41"/>
  <c r="P17" i="41"/>
  <c r="X17" i="41" s="1"/>
  <c r="T17" i="41"/>
  <c r="S17" i="41"/>
  <c r="I20" i="35"/>
  <c r="J20" i="35" s="1"/>
  <c r="K20" i="35" s="1"/>
  <c r="G21" i="35" s="1"/>
  <c r="M20" i="35"/>
  <c r="L20" i="35"/>
  <c r="AF11" i="36"/>
  <c r="Y13" i="36"/>
  <c r="Z13" i="36" s="1"/>
  <c r="AA12" i="36"/>
  <c r="AB12" i="36" s="1"/>
  <c r="AE12" i="36"/>
  <c r="AE13" i="36"/>
  <c r="AA13" i="36"/>
  <c r="AD12" i="36"/>
  <c r="I14" i="36"/>
  <c r="J14" i="36" s="1"/>
  <c r="M14" i="36"/>
  <c r="O14" i="36" s="1"/>
  <c r="L14" i="36"/>
  <c r="K14" i="36"/>
  <c r="G15" i="36" s="1"/>
  <c r="W17" i="42" l="1"/>
  <c r="AA17" i="42" s="1"/>
  <c r="X17" i="42"/>
  <c r="Y17" i="42" s="1"/>
  <c r="Z17" i="42" s="1"/>
  <c r="W17" i="41"/>
  <c r="AA17" i="41" s="1"/>
  <c r="M19" i="43"/>
  <c r="O19" i="43" s="1"/>
  <c r="L19" i="43"/>
  <c r="I19" i="43"/>
  <c r="J19" i="43" s="1"/>
  <c r="K19" i="43" s="1"/>
  <c r="G20" i="43" s="1"/>
  <c r="Y17" i="43"/>
  <c r="Z17" i="43" s="1"/>
  <c r="AD16" i="43"/>
  <c r="AB16" i="43"/>
  <c r="AF16" i="43"/>
  <c r="P18" i="43"/>
  <c r="U18" i="43"/>
  <c r="V18" i="43"/>
  <c r="T18" i="43"/>
  <c r="W18" i="43" s="1"/>
  <c r="AA18" i="43" s="1"/>
  <c r="S18" i="43"/>
  <c r="W17" i="43"/>
  <c r="AA17" i="43" s="1"/>
  <c r="M19" i="42"/>
  <c r="O19" i="42" s="1"/>
  <c r="L19" i="42"/>
  <c r="I19" i="42"/>
  <c r="J19" i="42" s="1"/>
  <c r="K19" i="42" s="1"/>
  <c r="G20" i="42" s="1"/>
  <c r="AB16" i="42"/>
  <c r="AD16" i="42"/>
  <c r="AF16" i="42"/>
  <c r="P18" i="42"/>
  <c r="X18" i="42" s="1"/>
  <c r="V18" i="42"/>
  <c r="U18" i="42"/>
  <c r="AE17" i="42"/>
  <c r="T18" i="42"/>
  <c r="S18" i="42"/>
  <c r="AD16" i="41"/>
  <c r="AF16" i="41"/>
  <c r="Y17" i="41"/>
  <c r="Z17" i="41"/>
  <c r="S18" i="41"/>
  <c r="X18" i="41" s="1"/>
  <c r="T18" i="41"/>
  <c r="V18" i="41"/>
  <c r="P18" i="41"/>
  <c r="U18" i="41"/>
  <c r="L19" i="41"/>
  <c r="M19" i="41"/>
  <c r="O19" i="41" s="1"/>
  <c r="I19" i="41"/>
  <c r="J19" i="41" s="1"/>
  <c r="K19" i="41" s="1"/>
  <c r="G20" i="41" s="1"/>
  <c r="AE17" i="41"/>
  <c r="AE16" i="41"/>
  <c r="AB16" i="41"/>
  <c r="I21" i="35"/>
  <c r="J21" i="35" s="1"/>
  <c r="K21" i="35"/>
  <c r="G22" i="35" s="1"/>
  <c r="M21" i="35"/>
  <c r="L21" i="35"/>
  <c r="AF12" i="36"/>
  <c r="AD13" i="36"/>
  <c r="AF13" i="36" s="1"/>
  <c r="AB13" i="36"/>
  <c r="M15" i="36"/>
  <c r="O15" i="36" s="1"/>
  <c r="L15" i="36"/>
  <c r="I15" i="36"/>
  <c r="J15" i="36" s="1"/>
  <c r="P14" i="36"/>
  <c r="X14" i="36"/>
  <c r="V14" i="36"/>
  <c r="U14" i="36"/>
  <c r="S14" i="36"/>
  <c r="T14" i="36"/>
  <c r="W14" i="36" s="1"/>
  <c r="X18" i="43" l="1"/>
  <c r="W18" i="42"/>
  <c r="AA18" i="42" s="1"/>
  <c r="W18" i="41"/>
  <c r="AA18" i="41" s="1"/>
  <c r="Y18" i="43"/>
  <c r="Z18" i="43" s="1"/>
  <c r="AD17" i="43"/>
  <c r="AF17" i="43"/>
  <c r="M20" i="43"/>
  <c r="O20" i="43" s="1"/>
  <c r="L20" i="43"/>
  <c r="I20" i="43"/>
  <c r="J20" i="43" s="1"/>
  <c r="K20" i="43" s="1"/>
  <c r="G21" i="43" s="1"/>
  <c r="AB17" i="43"/>
  <c r="AE17" i="43"/>
  <c r="AE18" i="43"/>
  <c r="T19" i="43"/>
  <c r="S19" i="43"/>
  <c r="P19" i="43"/>
  <c r="V19" i="43"/>
  <c r="U19" i="43"/>
  <c r="Y18" i="42"/>
  <c r="Z18" i="42" s="1"/>
  <c r="M20" i="42"/>
  <c r="O20" i="42" s="1"/>
  <c r="L20" i="42"/>
  <c r="I20" i="42"/>
  <c r="J20" i="42" s="1"/>
  <c r="K20" i="42" s="1"/>
  <c r="G21" i="42" s="1"/>
  <c r="AF17" i="42"/>
  <c r="AB17" i="42"/>
  <c r="AD17" i="42"/>
  <c r="AE18" i="42"/>
  <c r="V19" i="42"/>
  <c r="U19" i="42"/>
  <c r="P19" i="42"/>
  <c r="T19" i="42"/>
  <c r="W19" i="42" s="1"/>
  <c r="AA19" i="42" s="1"/>
  <c r="S19" i="42"/>
  <c r="X19" i="42" s="1"/>
  <c r="Y18" i="41"/>
  <c r="Z18" i="41" s="1"/>
  <c r="M20" i="41"/>
  <c r="O20" i="41" s="1"/>
  <c r="L20" i="41"/>
  <c r="I20" i="41"/>
  <c r="J20" i="41" s="1"/>
  <c r="K20" i="41" s="1"/>
  <c r="G21" i="41" s="1"/>
  <c r="AE18" i="41"/>
  <c r="P19" i="41"/>
  <c r="X19" i="41" s="1"/>
  <c r="V19" i="41"/>
  <c r="U19" i="41"/>
  <c r="AB17" i="41"/>
  <c r="AD17" i="41"/>
  <c r="AF17" i="41"/>
  <c r="T19" i="41"/>
  <c r="S19" i="41"/>
  <c r="I22" i="35"/>
  <c r="J22" i="35" s="1"/>
  <c r="K22" i="35" s="1"/>
  <c r="G23" i="35" s="1"/>
  <c r="M22" i="35"/>
  <c r="L22" i="35"/>
  <c r="Y14" i="36"/>
  <c r="Z14" i="36"/>
  <c r="S15" i="36"/>
  <c r="T15" i="36"/>
  <c r="AA14" i="36"/>
  <c r="AE14" i="36"/>
  <c r="K15" i="36"/>
  <c r="G16" i="36" s="1"/>
  <c r="X15" i="36"/>
  <c r="V15" i="36"/>
  <c r="U15" i="36"/>
  <c r="P15" i="36"/>
  <c r="W19" i="43" l="1"/>
  <c r="AA19" i="43" s="1"/>
  <c r="X19" i="43"/>
  <c r="W19" i="41"/>
  <c r="AA19" i="41" s="1"/>
  <c r="AF18" i="43"/>
  <c r="AB18" i="43"/>
  <c r="AD18" i="43"/>
  <c r="L21" i="43"/>
  <c r="I21" i="43"/>
  <c r="J21" i="43" s="1"/>
  <c r="K21" i="43" s="1"/>
  <c r="G22" i="43" s="1"/>
  <c r="M21" i="43"/>
  <c r="O21" i="43" s="1"/>
  <c r="T20" i="43"/>
  <c r="S20" i="43"/>
  <c r="AE19" i="43"/>
  <c r="Y19" i="43"/>
  <c r="Z19" i="43" s="1"/>
  <c r="V20" i="43"/>
  <c r="U20" i="43"/>
  <c r="P20" i="43"/>
  <c r="I21" i="42"/>
  <c r="J21" i="42" s="1"/>
  <c r="K21" i="42" s="1"/>
  <c r="G22" i="42" s="1"/>
  <c r="M21" i="42"/>
  <c r="O21" i="42" s="1"/>
  <c r="L21" i="42"/>
  <c r="AE19" i="42"/>
  <c r="Y19" i="42"/>
  <c r="Z19" i="42" s="1"/>
  <c r="T20" i="42"/>
  <c r="S20" i="42"/>
  <c r="AF18" i="42"/>
  <c r="AD18" i="42"/>
  <c r="AB18" i="42"/>
  <c r="U20" i="42"/>
  <c r="P20" i="42"/>
  <c r="V20" i="42"/>
  <c r="Y19" i="41"/>
  <c r="Z19" i="41"/>
  <c r="L21" i="41"/>
  <c r="I21" i="41"/>
  <c r="J21" i="41" s="1"/>
  <c r="K21" i="41" s="1"/>
  <c r="G22" i="41" s="1"/>
  <c r="M21" i="41"/>
  <c r="O21" i="41" s="1"/>
  <c r="AB18" i="41"/>
  <c r="AF18" i="41"/>
  <c r="AD18" i="41"/>
  <c r="T20" i="41"/>
  <c r="S20" i="41"/>
  <c r="AE19" i="41"/>
  <c r="V20" i="41"/>
  <c r="U20" i="41"/>
  <c r="P20" i="41"/>
  <c r="I23" i="35"/>
  <c r="J23" i="35" s="1"/>
  <c r="K23" i="35"/>
  <c r="G24" i="35" s="1"/>
  <c r="M23" i="35"/>
  <c r="L23" i="35"/>
  <c r="W15" i="36"/>
  <c r="Y15" i="36"/>
  <c r="Z15" i="36"/>
  <c r="M16" i="36"/>
  <c r="O16" i="36" s="1"/>
  <c r="L16" i="36"/>
  <c r="I16" i="36"/>
  <c r="J16" i="36" s="1"/>
  <c r="AA15" i="36"/>
  <c r="AE15" i="36"/>
  <c r="AD14" i="36"/>
  <c r="AF14" i="36" s="1"/>
  <c r="AB14" i="36"/>
  <c r="X20" i="43" l="1"/>
  <c r="W20" i="43"/>
  <c r="AA20" i="43" s="1"/>
  <c r="X20" i="42"/>
  <c r="Y20" i="42" s="1"/>
  <c r="Z20" i="42" s="1"/>
  <c r="X20" i="41"/>
  <c r="I22" i="43"/>
  <c r="J22" i="43" s="1"/>
  <c r="M22" i="43"/>
  <c r="O22" i="43" s="1"/>
  <c r="L22" i="43"/>
  <c r="K22" i="43"/>
  <c r="G23" i="43" s="1"/>
  <c r="AF19" i="43"/>
  <c r="AD19" i="43"/>
  <c r="AB19" i="43"/>
  <c r="Y20" i="43"/>
  <c r="Z20" i="43" s="1"/>
  <c r="P21" i="43"/>
  <c r="V21" i="43"/>
  <c r="U21" i="43"/>
  <c r="AE20" i="43"/>
  <c r="T21" i="43"/>
  <c r="S21" i="43"/>
  <c r="AD19" i="42"/>
  <c r="AB19" i="42"/>
  <c r="AF19" i="42"/>
  <c r="I22" i="42"/>
  <c r="J22" i="42" s="1"/>
  <c r="K22" i="42" s="1"/>
  <c r="G23" i="42" s="1"/>
  <c r="L22" i="42"/>
  <c r="M22" i="42"/>
  <c r="O22" i="42" s="1"/>
  <c r="T21" i="42"/>
  <c r="S21" i="42"/>
  <c r="P21" i="42"/>
  <c r="X21" i="42" s="1"/>
  <c r="V21" i="42"/>
  <c r="U21" i="42"/>
  <c r="W20" i="42"/>
  <c r="AA20" i="42" s="1"/>
  <c r="Y20" i="41"/>
  <c r="Z20" i="41" s="1"/>
  <c r="I22" i="41"/>
  <c r="J22" i="41" s="1"/>
  <c r="K22" i="41" s="1"/>
  <c r="G23" i="41" s="1"/>
  <c r="L22" i="41"/>
  <c r="M22" i="41"/>
  <c r="O22" i="41" s="1"/>
  <c r="V21" i="41"/>
  <c r="U21" i="41"/>
  <c r="P21" i="41"/>
  <c r="T21" i="41"/>
  <c r="S21" i="41"/>
  <c r="X21" i="41" s="1"/>
  <c r="W20" i="41"/>
  <c r="AA20" i="41" s="1"/>
  <c r="AF19" i="41"/>
  <c r="AD19" i="41"/>
  <c r="AB19" i="41"/>
  <c r="I24" i="35"/>
  <c r="J24" i="35" s="1"/>
  <c r="K24" i="35" s="1"/>
  <c r="G25" i="35" s="1"/>
  <c r="M24" i="35"/>
  <c r="L24" i="35"/>
  <c r="V16" i="36"/>
  <c r="P16" i="36"/>
  <c r="X16" i="36" s="1"/>
  <c r="U16" i="36"/>
  <c r="K16" i="36"/>
  <c r="G17" i="36" s="1"/>
  <c r="AD15" i="36"/>
  <c r="AF15" i="36" s="1"/>
  <c r="AB15" i="36"/>
  <c r="S16" i="36"/>
  <c r="T16" i="36"/>
  <c r="W21" i="43" l="1"/>
  <c r="AA21" i="43" s="1"/>
  <c r="X21" i="43"/>
  <c r="Y21" i="43" s="1"/>
  <c r="Z21" i="43" s="1"/>
  <c r="AE21" i="43"/>
  <c r="AD20" i="43"/>
  <c r="AB20" i="43"/>
  <c r="AF20" i="43"/>
  <c r="M23" i="43"/>
  <c r="O23" i="43" s="1"/>
  <c r="L23" i="43"/>
  <c r="I23" i="43"/>
  <c r="J23" i="43" s="1"/>
  <c r="K23" i="43" s="1"/>
  <c r="G24" i="43" s="1"/>
  <c r="T22" i="43"/>
  <c r="S22" i="43"/>
  <c r="P22" i="43"/>
  <c r="V22" i="43"/>
  <c r="U22" i="43"/>
  <c r="M23" i="42"/>
  <c r="O23" i="42" s="1"/>
  <c r="L23" i="42"/>
  <c r="I23" i="42"/>
  <c r="J23" i="42" s="1"/>
  <c r="K23" i="42" s="1"/>
  <c r="G24" i="42" s="1"/>
  <c r="AB20" i="42"/>
  <c r="AF20" i="42"/>
  <c r="AD20" i="42"/>
  <c r="Y21" i="42"/>
  <c r="Z21" i="42" s="1"/>
  <c r="AE20" i="42"/>
  <c r="S22" i="42"/>
  <c r="T22" i="42"/>
  <c r="W22" i="42" s="1"/>
  <c r="AA22" i="42" s="1"/>
  <c r="W21" i="42"/>
  <c r="AA21" i="42" s="1"/>
  <c r="P22" i="42"/>
  <c r="V22" i="42"/>
  <c r="U22" i="42"/>
  <c r="Y21" i="41"/>
  <c r="Z21" i="41" s="1"/>
  <c r="AD20" i="41"/>
  <c r="AF20" i="41"/>
  <c r="AB20" i="41"/>
  <c r="P22" i="41"/>
  <c r="V22" i="41"/>
  <c r="U22" i="41"/>
  <c r="W21" i="41"/>
  <c r="AA21" i="41" s="1"/>
  <c r="AE20" i="41"/>
  <c r="I23" i="41"/>
  <c r="J23" i="41" s="1"/>
  <c r="K23" i="41" s="1"/>
  <c r="G24" i="41" s="1"/>
  <c r="M23" i="41"/>
  <c r="O23" i="41" s="1"/>
  <c r="L23" i="41"/>
  <c r="T22" i="41"/>
  <c r="S22" i="41"/>
  <c r="I25" i="35"/>
  <c r="J25" i="35" s="1"/>
  <c r="K25" i="35" s="1"/>
  <c r="G26" i="35" s="1"/>
  <c r="M25" i="35"/>
  <c r="L25" i="35"/>
  <c r="Y16" i="36"/>
  <c r="Z16" i="36" s="1"/>
  <c r="M17" i="36"/>
  <c r="O17" i="36" s="1"/>
  <c r="L17" i="36"/>
  <c r="I17" i="36"/>
  <c r="J17" i="36" s="1"/>
  <c r="W16" i="36"/>
  <c r="X22" i="43" l="1"/>
  <c r="X22" i="42"/>
  <c r="X22" i="41"/>
  <c r="Y22" i="43"/>
  <c r="Z22" i="43" s="1"/>
  <c r="M24" i="43"/>
  <c r="O24" i="43" s="1"/>
  <c r="L24" i="43"/>
  <c r="I24" i="43"/>
  <c r="J24" i="43" s="1"/>
  <c r="K24" i="43" s="1"/>
  <c r="G25" i="43" s="1"/>
  <c r="AB21" i="43"/>
  <c r="AF21" i="43"/>
  <c r="AD21" i="43"/>
  <c r="P23" i="43"/>
  <c r="V23" i="43"/>
  <c r="U23" i="43"/>
  <c r="W22" i="43"/>
  <c r="AA22" i="43" s="1"/>
  <c r="T23" i="43"/>
  <c r="W23" i="43" s="1"/>
  <c r="AA23" i="43" s="1"/>
  <c r="S23" i="43"/>
  <c r="Y22" i="42"/>
  <c r="Z22" i="42" s="1"/>
  <c r="AF21" i="42"/>
  <c r="AD21" i="42"/>
  <c r="AB21" i="42"/>
  <c r="AE21" i="42"/>
  <c r="AE22" i="42"/>
  <c r="T23" i="42"/>
  <c r="S23" i="42"/>
  <c r="X23" i="42" s="1"/>
  <c r="M24" i="42"/>
  <c r="O24" i="42" s="1"/>
  <c r="L24" i="42"/>
  <c r="I24" i="42"/>
  <c r="J24" i="42" s="1"/>
  <c r="K24" i="42" s="1"/>
  <c r="G25" i="42" s="1"/>
  <c r="V23" i="42"/>
  <c r="U23" i="42"/>
  <c r="P23" i="42"/>
  <c r="Y22" i="41"/>
  <c r="Z22" i="41" s="1"/>
  <c r="AF21" i="41"/>
  <c r="AD21" i="41"/>
  <c r="P23" i="41"/>
  <c r="V23" i="41"/>
  <c r="U23" i="41"/>
  <c r="T23" i="41"/>
  <c r="S23" i="41"/>
  <c r="M24" i="41"/>
  <c r="O24" i="41" s="1"/>
  <c r="L24" i="41"/>
  <c r="I24" i="41"/>
  <c r="J24" i="41" s="1"/>
  <c r="K24" i="41" s="1"/>
  <c r="G25" i="41" s="1"/>
  <c r="AB21" i="41"/>
  <c r="AE21" i="41"/>
  <c r="W22" i="41"/>
  <c r="AA22" i="41" s="1"/>
  <c r="I26" i="35"/>
  <c r="J26" i="35" s="1"/>
  <c r="K26" i="35"/>
  <c r="G27" i="35" s="1"/>
  <c r="M26" i="35"/>
  <c r="L26" i="35"/>
  <c r="AE16" i="36"/>
  <c r="AA16" i="36"/>
  <c r="S17" i="36"/>
  <c r="T17" i="36"/>
  <c r="K17" i="36"/>
  <c r="G18" i="36" s="1"/>
  <c r="V17" i="36"/>
  <c r="P17" i="36"/>
  <c r="X17" i="36" s="1"/>
  <c r="U17" i="36"/>
  <c r="AD16" i="36"/>
  <c r="AF16" i="36" s="1"/>
  <c r="AB16" i="36"/>
  <c r="X23" i="43" l="1"/>
  <c r="X23" i="41"/>
  <c r="Y23" i="43"/>
  <c r="Z23" i="43" s="1"/>
  <c r="L25" i="43"/>
  <c r="I25" i="43"/>
  <c r="J25" i="43" s="1"/>
  <c r="K25" i="43" s="1"/>
  <c r="G26" i="43" s="1"/>
  <c r="M25" i="43"/>
  <c r="O25" i="43" s="1"/>
  <c r="AF22" i="43"/>
  <c r="AD22" i="43"/>
  <c r="AE22" i="43"/>
  <c r="AB22" i="43"/>
  <c r="T24" i="43"/>
  <c r="S24" i="43"/>
  <c r="AE23" i="43"/>
  <c r="V24" i="43"/>
  <c r="U24" i="43"/>
  <c r="P24" i="43"/>
  <c r="X24" i="43" s="1"/>
  <c r="I25" i="42"/>
  <c r="J25" i="42" s="1"/>
  <c r="K25" i="42" s="1"/>
  <c r="G26" i="42" s="1"/>
  <c r="M25" i="42"/>
  <c r="O25" i="42" s="1"/>
  <c r="L25" i="42"/>
  <c r="T24" i="42"/>
  <c r="S24" i="42"/>
  <c r="X24" i="42" s="1"/>
  <c r="W23" i="42"/>
  <c r="AA23" i="42" s="1"/>
  <c r="AF22" i="42"/>
  <c r="AD22" i="42"/>
  <c r="AB22" i="42"/>
  <c r="U24" i="42"/>
  <c r="V24" i="42"/>
  <c r="P24" i="42"/>
  <c r="Y23" i="42"/>
  <c r="Z23" i="42" s="1"/>
  <c r="Y23" i="41"/>
  <c r="Z23" i="41"/>
  <c r="L25" i="41"/>
  <c r="M25" i="41"/>
  <c r="O25" i="41" s="1"/>
  <c r="I25" i="41"/>
  <c r="J25" i="41" s="1"/>
  <c r="K25" i="41" s="1"/>
  <c r="G26" i="41" s="1"/>
  <c r="AF22" i="41"/>
  <c r="AD22" i="41"/>
  <c r="T24" i="41"/>
  <c r="S24" i="41"/>
  <c r="W23" i="41"/>
  <c r="AA23" i="41" s="1"/>
  <c r="V24" i="41"/>
  <c r="U24" i="41"/>
  <c r="P24" i="41"/>
  <c r="AE22" i="41"/>
  <c r="AB22" i="41"/>
  <c r="I27" i="35"/>
  <c r="J27" i="35" s="1"/>
  <c r="K27" i="35"/>
  <c r="G28" i="35" s="1"/>
  <c r="M27" i="35"/>
  <c r="L27" i="35"/>
  <c r="Y17" i="36"/>
  <c r="Z17" i="36"/>
  <c r="M18" i="36"/>
  <c r="O18" i="36" s="1"/>
  <c r="L18" i="36"/>
  <c r="I18" i="36"/>
  <c r="J18" i="36" s="1"/>
  <c r="W17" i="36"/>
  <c r="W24" i="42" l="1"/>
  <c r="AA24" i="42" s="1"/>
  <c r="X24" i="41"/>
  <c r="Y24" i="43"/>
  <c r="Z24" i="43" s="1"/>
  <c r="I26" i="43"/>
  <c r="J26" i="43" s="1"/>
  <c r="M26" i="43"/>
  <c r="O26" i="43" s="1"/>
  <c r="L26" i="43"/>
  <c r="K26" i="43"/>
  <c r="G27" i="43" s="1"/>
  <c r="AF23" i="43"/>
  <c r="AD23" i="43"/>
  <c r="AB23" i="43"/>
  <c r="P25" i="43"/>
  <c r="V25" i="43"/>
  <c r="U25" i="43"/>
  <c r="W24" i="43"/>
  <c r="AA24" i="43" s="1"/>
  <c r="T25" i="43"/>
  <c r="W25" i="43" s="1"/>
  <c r="AA25" i="43" s="1"/>
  <c r="S25" i="43"/>
  <c r="Y24" i="42"/>
  <c r="Z24" i="42" s="1"/>
  <c r="I26" i="42"/>
  <c r="J26" i="42" s="1"/>
  <c r="M26" i="42"/>
  <c r="O26" i="42" s="1"/>
  <c r="L26" i="42"/>
  <c r="K26" i="42"/>
  <c r="G27" i="42" s="1"/>
  <c r="AD23" i="42"/>
  <c r="AB23" i="42"/>
  <c r="AF23" i="42"/>
  <c r="AE24" i="42"/>
  <c r="T25" i="42"/>
  <c r="S25" i="42"/>
  <c r="AE23" i="42"/>
  <c r="P25" i="42"/>
  <c r="X25" i="42" s="1"/>
  <c r="U25" i="42"/>
  <c r="V25" i="42"/>
  <c r="Y24" i="41"/>
  <c r="Z24" i="41" s="1"/>
  <c r="I26" i="41"/>
  <c r="J26" i="41" s="1"/>
  <c r="M26" i="41"/>
  <c r="O26" i="41" s="1"/>
  <c r="L26" i="41"/>
  <c r="K26" i="41"/>
  <c r="G27" i="41" s="1"/>
  <c r="P25" i="41"/>
  <c r="V25" i="41"/>
  <c r="U25" i="41"/>
  <c r="AF23" i="41"/>
  <c r="AD23" i="41"/>
  <c r="AE23" i="41"/>
  <c r="AB23" i="41"/>
  <c r="T25" i="41"/>
  <c r="S25" i="41"/>
  <c r="W24" i="41"/>
  <c r="AA24" i="41" s="1"/>
  <c r="I28" i="35"/>
  <c r="J28" i="35" s="1"/>
  <c r="K28" i="35" s="1"/>
  <c r="G29" i="35" s="1"/>
  <c r="M28" i="35"/>
  <c r="L28" i="35"/>
  <c r="AA17" i="36"/>
  <c r="AB17" i="36" s="1"/>
  <c r="AE17" i="36"/>
  <c r="P18" i="36"/>
  <c r="X18" i="36" s="1"/>
  <c r="V18" i="36"/>
  <c r="U18" i="36"/>
  <c r="K18" i="36"/>
  <c r="G19" i="36" s="1"/>
  <c r="AD17" i="36"/>
  <c r="AF17" i="36" s="1"/>
  <c r="S18" i="36"/>
  <c r="T18" i="36"/>
  <c r="X25" i="43" l="1"/>
  <c r="W25" i="42"/>
  <c r="AA25" i="42" s="1"/>
  <c r="X25" i="41"/>
  <c r="W25" i="41"/>
  <c r="AA25" i="41" s="1"/>
  <c r="Y25" i="43"/>
  <c r="Z25" i="43" s="1"/>
  <c r="AD24" i="43"/>
  <c r="AB24" i="43"/>
  <c r="AF24" i="43"/>
  <c r="AE25" i="43"/>
  <c r="T26" i="43"/>
  <c r="S26" i="43"/>
  <c r="AE24" i="43"/>
  <c r="M27" i="43"/>
  <c r="O27" i="43" s="1"/>
  <c r="L27" i="43"/>
  <c r="I27" i="43"/>
  <c r="J27" i="43" s="1"/>
  <c r="K27" i="43" s="1"/>
  <c r="G28" i="43" s="1"/>
  <c r="X26" i="43"/>
  <c r="P26" i="43"/>
  <c r="V26" i="43"/>
  <c r="U26" i="43"/>
  <c r="AB24" i="42"/>
  <c r="AF24" i="42"/>
  <c r="AD24" i="42"/>
  <c r="M27" i="42"/>
  <c r="O27" i="42" s="1"/>
  <c r="L27" i="42"/>
  <c r="I27" i="42"/>
  <c r="J27" i="42" s="1"/>
  <c r="K27" i="42" s="1"/>
  <c r="G28" i="42" s="1"/>
  <c r="Y25" i="42"/>
  <c r="Z25" i="42" s="1"/>
  <c r="P26" i="42"/>
  <c r="V26" i="42"/>
  <c r="U26" i="42"/>
  <c r="T26" i="42"/>
  <c r="W26" i="42" s="1"/>
  <c r="AA26" i="42" s="1"/>
  <c r="S26" i="42"/>
  <c r="AE25" i="42"/>
  <c r="Y25" i="41"/>
  <c r="Z25" i="41" s="1"/>
  <c r="AD24" i="41"/>
  <c r="AF24" i="41"/>
  <c r="M27" i="41"/>
  <c r="O27" i="41" s="1"/>
  <c r="L27" i="41"/>
  <c r="I27" i="41"/>
  <c r="J27" i="41" s="1"/>
  <c r="K27" i="41" s="1"/>
  <c r="G28" i="41" s="1"/>
  <c r="U26" i="41"/>
  <c r="P26" i="41"/>
  <c r="X26" i="41" s="1"/>
  <c r="V26" i="41"/>
  <c r="AE24" i="41"/>
  <c r="AB24" i="41"/>
  <c r="T26" i="41"/>
  <c r="S26" i="41"/>
  <c r="I29" i="35"/>
  <c r="J29" i="35" s="1"/>
  <c r="K29" i="35" s="1"/>
  <c r="G30" i="35" s="1"/>
  <c r="M29" i="35"/>
  <c r="L29" i="35"/>
  <c r="Y18" i="36"/>
  <c r="Z18" i="36" s="1"/>
  <c r="M19" i="36"/>
  <c r="O19" i="36" s="1"/>
  <c r="L19" i="36"/>
  <c r="I19" i="36"/>
  <c r="J19" i="36" s="1"/>
  <c r="W18" i="36"/>
  <c r="W26" i="43" l="1"/>
  <c r="AA26" i="43" s="1"/>
  <c r="X26" i="42"/>
  <c r="AE25" i="41"/>
  <c r="M28" i="43"/>
  <c r="O28" i="43" s="1"/>
  <c r="L28" i="43"/>
  <c r="I28" i="43"/>
  <c r="J28" i="43" s="1"/>
  <c r="K28" i="43" s="1"/>
  <c r="G29" i="43" s="1"/>
  <c r="AB25" i="43"/>
  <c r="AF25" i="43"/>
  <c r="AD25" i="43"/>
  <c r="P27" i="43"/>
  <c r="V27" i="43"/>
  <c r="U27" i="43"/>
  <c r="Y26" i="43"/>
  <c r="Z26" i="43" s="1"/>
  <c r="T27" i="43"/>
  <c r="W27" i="43" s="1"/>
  <c r="AA27" i="43" s="1"/>
  <c r="S27" i="43"/>
  <c r="Y26" i="42"/>
  <c r="Z26" i="42" s="1"/>
  <c r="M28" i="42"/>
  <c r="O28" i="42" s="1"/>
  <c r="L28" i="42"/>
  <c r="I28" i="42"/>
  <c r="J28" i="42" s="1"/>
  <c r="K28" i="42" s="1"/>
  <c r="G29" i="42" s="1"/>
  <c r="V27" i="42"/>
  <c r="U27" i="42"/>
  <c r="P27" i="42"/>
  <c r="X27" i="42" s="1"/>
  <c r="AF25" i="42"/>
  <c r="AD25" i="42"/>
  <c r="AB25" i="42"/>
  <c r="AE26" i="42"/>
  <c r="T27" i="42"/>
  <c r="S27" i="42"/>
  <c r="Y26" i="41"/>
  <c r="Z26" i="41" s="1"/>
  <c r="M28" i="41"/>
  <c r="O28" i="41" s="1"/>
  <c r="I28" i="41"/>
  <c r="J28" i="41" s="1"/>
  <c r="K28" i="41" s="1"/>
  <c r="G29" i="41" s="1"/>
  <c r="L28" i="41"/>
  <c r="AB25" i="41"/>
  <c r="AF25" i="41"/>
  <c r="AD25" i="41"/>
  <c r="T27" i="41"/>
  <c r="S27" i="41"/>
  <c r="P27" i="41"/>
  <c r="X27" i="41" s="1"/>
  <c r="V27" i="41"/>
  <c r="U27" i="41"/>
  <c r="W26" i="41"/>
  <c r="AA26" i="41" s="1"/>
  <c r="I30" i="35"/>
  <c r="J30" i="35" s="1"/>
  <c r="K30" i="35"/>
  <c r="G31" i="35" s="1"/>
  <c r="M30" i="35"/>
  <c r="L30" i="35"/>
  <c r="K19" i="36"/>
  <c r="G20" i="36" s="1"/>
  <c r="S19" i="36"/>
  <c r="T19" i="36"/>
  <c r="W19" i="36" s="1"/>
  <c r="AD18" i="36"/>
  <c r="AE18" i="36"/>
  <c r="AA18" i="36"/>
  <c r="AB18" i="36" s="1"/>
  <c r="P19" i="36"/>
  <c r="X19" i="36" s="1"/>
  <c r="V19" i="36"/>
  <c r="U19" i="36"/>
  <c r="AE26" i="43" l="1"/>
  <c r="X27" i="43"/>
  <c r="W27" i="42"/>
  <c r="AA27" i="42" s="1"/>
  <c r="AF26" i="43"/>
  <c r="AD26" i="43"/>
  <c r="AB26" i="43"/>
  <c r="L29" i="43"/>
  <c r="I29" i="43"/>
  <c r="J29" i="43" s="1"/>
  <c r="K29" i="43" s="1"/>
  <c r="G30" i="43" s="1"/>
  <c r="M29" i="43"/>
  <c r="O29" i="43" s="1"/>
  <c r="Y27" i="43"/>
  <c r="Z27" i="43" s="1"/>
  <c r="AE27" i="43"/>
  <c r="T28" i="43"/>
  <c r="S28" i="43"/>
  <c r="V28" i="43"/>
  <c r="U28" i="43"/>
  <c r="X28" i="43"/>
  <c r="P28" i="43"/>
  <c r="Y27" i="42"/>
  <c r="Z27" i="42" s="1"/>
  <c r="I29" i="42"/>
  <c r="J29" i="42" s="1"/>
  <c r="K29" i="42" s="1"/>
  <c r="G30" i="42" s="1"/>
  <c r="M29" i="42"/>
  <c r="O29" i="42" s="1"/>
  <c r="L29" i="42"/>
  <c r="T28" i="42"/>
  <c r="S28" i="42"/>
  <c r="U28" i="42"/>
  <c r="V28" i="42"/>
  <c r="P28" i="42"/>
  <c r="AE27" i="42"/>
  <c r="AF26" i="42"/>
  <c r="AD26" i="42"/>
  <c r="AB26" i="42"/>
  <c r="Y27" i="41"/>
  <c r="Z27" i="41" s="1"/>
  <c r="AD26" i="41"/>
  <c r="AF26" i="41"/>
  <c r="L29" i="41"/>
  <c r="M29" i="41"/>
  <c r="O29" i="41" s="1"/>
  <c r="I29" i="41"/>
  <c r="J29" i="41" s="1"/>
  <c r="K29" i="41" s="1"/>
  <c r="G30" i="41" s="1"/>
  <c r="AE26" i="41"/>
  <c r="AB26" i="41"/>
  <c r="T28" i="41"/>
  <c r="S28" i="41"/>
  <c r="V28" i="41"/>
  <c r="U28" i="41"/>
  <c r="P28" i="41"/>
  <c r="W27" i="41"/>
  <c r="AA27" i="41" s="1"/>
  <c r="I31" i="35"/>
  <c r="J31" i="35" s="1"/>
  <c r="K31" i="35"/>
  <c r="G32" i="35" s="1"/>
  <c r="M31" i="35"/>
  <c r="L31" i="35"/>
  <c r="Y19" i="36"/>
  <c r="Z19" i="36"/>
  <c r="AE19" i="36"/>
  <c r="AA19" i="36"/>
  <c r="AF18" i="36"/>
  <c r="L20" i="36"/>
  <c r="I20" i="36"/>
  <c r="J20" i="36" s="1"/>
  <c r="M20" i="36"/>
  <c r="O20" i="36" s="1"/>
  <c r="W28" i="42" l="1"/>
  <c r="AA28" i="42" s="1"/>
  <c r="X28" i="42"/>
  <c r="X28" i="41"/>
  <c r="I30" i="43"/>
  <c r="J30" i="43" s="1"/>
  <c r="M30" i="43"/>
  <c r="O30" i="43" s="1"/>
  <c r="L30" i="43"/>
  <c r="K30" i="43"/>
  <c r="G31" i="43" s="1"/>
  <c r="Y28" i="43"/>
  <c r="Z28" i="43" s="1"/>
  <c r="AF27" i="43"/>
  <c r="AD27" i="43"/>
  <c r="AB27" i="43"/>
  <c r="W28" i="43"/>
  <c r="AA28" i="43" s="1"/>
  <c r="P29" i="43"/>
  <c r="V29" i="43"/>
  <c r="U29" i="43"/>
  <c r="T29" i="43"/>
  <c r="W29" i="43" s="1"/>
  <c r="AA29" i="43" s="1"/>
  <c r="S29" i="43"/>
  <c r="I30" i="42"/>
  <c r="J30" i="42" s="1"/>
  <c r="K30" i="42" s="1"/>
  <c r="G31" i="42" s="1"/>
  <c r="L30" i="42"/>
  <c r="M30" i="42"/>
  <c r="O30" i="42" s="1"/>
  <c r="Y28" i="42"/>
  <c r="Z28" i="42" s="1"/>
  <c r="T29" i="42"/>
  <c r="W29" i="42" s="1"/>
  <c r="AA29" i="42" s="1"/>
  <c r="S29" i="42"/>
  <c r="AD27" i="42"/>
  <c r="AB27" i="42"/>
  <c r="AF27" i="42"/>
  <c r="AE28" i="42"/>
  <c r="P29" i="42"/>
  <c r="V29" i="42"/>
  <c r="U29" i="42"/>
  <c r="AF27" i="41"/>
  <c r="AD27" i="41"/>
  <c r="Y28" i="41"/>
  <c r="Z28" i="41" s="1"/>
  <c r="T29" i="41"/>
  <c r="S29" i="41"/>
  <c r="I30" i="41"/>
  <c r="J30" i="41" s="1"/>
  <c r="K30" i="41" s="1"/>
  <c r="G31" i="41" s="1"/>
  <c r="M30" i="41"/>
  <c r="O30" i="41" s="1"/>
  <c r="L30" i="41"/>
  <c r="W28" i="41"/>
  <c r="AA28" i="41" s="1"/>
  <c r="AE27" i="41"/>
  <c r="AB27" i="41"/>
  <c r="V29" i="41"/>
  <c r="P29" i="41"/>
  <c r="U29" i="41"/>
  <c r="I32" i="35"/>
  <c r="J32" i="35" s="1"/>
  <c r="K32" i="35" s="1"/>
  <c r="G33" i="35" s="1"/>
  <c r="M32" i="35"/>
  <c r="L32" i="35"/>
  <c r="T20" i="36"/>
  <c r="S20" i="36"/>
  <c r="K20" i="36"/>
  <c r="G21" i="36" s="1"/>
  <c r="AB19" i="36"/>
  <c r="AD19" i="36"/>
  <c r="AF19" i="36" s="1"/>
  <c r="U20" i="36"/>
  <c r="V20" i="36"/>
  <c r="P20" i="36"/>
  <c r="X20" i="36" s="1"/>
  <c r="X29" i="43" l="1"/>
  <c r="X29" i="42"/>
  <c r="X29" i="41"/>
  <c r="AD28" i="43"/>
  <c r="AF28" i="43"/>
  <c r="Y29" i="43"/>
  <c r="Z29" i="43" s="1"/>
  <c r="T30" i="43"/>
  <c r="W30" i="43" s="1"/>
  <c r="AA30" i="43" s="1"/>
  <c r="S30" i="43"/>
  <c r="X30" i="43" s="1"/>
  <c r="P30" i="43"/>
  <c r="V30" i="43"/>
  <c r="U30" i="43"/>
  <c r="AE29" i="43"/>
  <c r="I31" i="43"/>
  <c r="J31" i="43" s="1"/>
  <c r="K31" i="43" s="1"/>
  <c r="G32" i="43" s="1"/>
  <c r="M31" i="43"/>
  <c r="O31" i="43" s="1"/>
  <c r="L31" i="43"/>
  <c r="AB28" i="43"/>
  <c r="AE28" i="43"/>
  <c r="Y29" i="42"/>
  <c r="Z29" i="42" s="1"/>
  <c r="AB28" i="42"/>
  <c r="AF28" i="42"/>
  <c r="AD28" i="42"/>
  <c r="AE29" i="42"/>
  <c r="M31" i="42"/>
  <c r="O31" i="42" s="1"/>
  <c r="L31" i="42"/>
  <c r="I31" i="42"/>
  <c r="J31" i="42" s="1"/>
  <c r="K31" i="42" s="1"/>
  <c r="G32" i="42" s="1"/>
  <c r="T30" i="42"/>
  <c r="S30" i="42"/>
  <c r="P30" i="42"/>
  <c r="X30" i="42" s="1"/>
  <c r="V30" i="42"/>
  <c r="U30" i="42"/>
  <c r="Y29" i="41"/>
  <c r="Z29" i="41" s="1"/>
  <c r="M31" i="41"/>
  <c r="O31" i="41" s="1"/>
  <c r="L31" i="41"/>
  <c r="I31" i="41"/>
  <c r="J31" i="41" s="1"/>
  <c r="K31" i="41" s="1"/>
  <c r="G32" i="41" s="1"/>
  <c r="W29" i="41"/>
  <c r="AA29" i="41" s="1"/>
  <c r="AB28" i="41"/>
  <c r="AE28" i="41"/>
  <c r="AD28" i="41"/>
  <c r="AF28" i="41"/>
  <c r="T30" i="41"/>
  <c r="W30" i="41" s="1"/>
  <c r="AA30" i="41" s="1"/>
  <c r="S30" i="41"/>
  <c r="P30" i="41"/>
  <c r="V30" i="41"/>
  <c r="U30" i="41"/>
  <c r="I33" i="35"/>
  <c r="J33" i="35" s="1"/>
  <c r="K33" i="35" s="1"/>
  <c r="G34" i="35" s="1"/>
  <c r="L33" i="35"/>
  <c r="M33" i="35"/>
  <c r="Y20" i="36"/>
  <c r="Z20" i="36" s="1"/>
  <c r="I21" i="36"/>
  <c r="J21" i="36" s="1"/>
  <c r="L21" i="36"/>
  <c r="M21" i="36"/>
  <c r="O21" i="36" s="1"/>
  <c r="W20" i="36"/>
  <c r="X30" i="41" l="1"/>
  <c r="M32" i="43"/>
  <c r="O32" i="43" s="1"/>
  <c r="L32" i="43"/>
  <c r="I32" i="43"/>
  <c r="J32" i="43" s="1"/>
  <c r="K32" i="43" s="1"/>
  <c r="G33" i="43" s="1"/>
  <c r="AB29" i="43"/>
  <c r="AF29" i="43"/>
  <c r="AD29" i="43"/>
  <c r="T31" i="43"/>
  <c r="W31" i="43" s="1"/>
  <c r="AA31" i="43" s="1"/>
  <c r="S31" i="43"/>
  <c r="P31" i="43"/>
  <c r="X31" i="43" s="1"/>
  <c r="V31" i="43"/>
  <c r="U31" i="43"/>
  <c r="Y30" i="43"/>
  <c r="Z30" i="43" s="1"/>
  <c r="AE30" i="43"/>
  <c r="Y30" i="42"/>
  <c r="Z30" i="42"/>
  <c r="M32" i="42"/>
  <c r="O32" i="42" s="1"/>
  <c r="L32" i="42"/>
  <c r="I32" i="42"/>
  <c r="J32" i="42" s="1"/>
  <c r="K32" i="42" s="1"/>
  <c r="G33" i="42" s="1"/>
  <c r="AF29" i="42"/>
  <c r="AB29" i="42"/>
  <c r="AD29" i="42"/>
  <c r="V31" i="42"/>
  <c r="U31" i="42"/>
  <c r="P31" i="42"/>
  <c r="W30" i="42"/>
  <c r="AA30" i="42" s="1"/>
  <c r="T31" i="42"/>
  <c r="S31" i="42"/>
  <c r="Y30" i="41"/>
  <c r="Z30" i="41" s="1"/>
  <c r="M32" i="41"/>
  <c r="O32" i="41" s="1"/>
  <c r="I32" i="41"/>
  <c r="J32" i="41" s="1"/>
  <c r="K32" i="41" s="1"/>
  <c r="G33" i="41" s="1"/>
  <c r="L32" i="41"/>
  <c r="AB29" i="41"/>
  <c r="AF29" i="41"/>
  <c r="AD29" i="41"/>
  <c r="AE29" i="41"/>
  <c r="T31" i="41"/>
  <c r="S31" i="41"/>
  <c r="AE30" i="41"/>
  <c r="X31" i="41"/>
  <c r="P31" i="41"/>
  <c r="U31" i="41"/>
  <c r="V31" i="41"/>
  <c r="I34" i="35"/>
  <c r="J34" i="35" s="1"/>
  <c r="K34" i="35"/>
  <c r="G35" i="35" s="1"/>
  <c r="M34" i="35"/>
  <c r="L34" i="35"/>
  <c r="AA20" i="36"/>
  <c r="AE20" i="36"/>
  <c r="T21" i="36"/>
  <c r="S21" i="36"/>
  <c r="K21" i="36"/>
  <c r="G22" i="36" s="1"/>
  <c r="U21" i="36"/>
  <c r="V21" i="36"/>
  <c r="P21" i="36"/>
  <c r="X21" i="36" s="1"/>
  <c r="AB20" i="36"/>
  <c r="AD20" i="36"/>
  <c r="AF20" i="36" s="1"/>
  <c r="W31" i="42" l="1"/>
  <c r="AA31" i="42" s="1"/>
  <c r="X31" i="42"/>
  <c r="AF30" i="43"/>
  <c r="AD30" i="43"/>
  <c r="AB30" i="43"/>
  <c r="L33" i="43"/>
  <c r="M33" i="43"/>
  <c r="O33" i="43" s="1"/>
  <c r="I33" i="43"/>
  <c r="J33" i="43" s="1"/>
  <c r="K33" i="43" s="1"/>
  <c r="G34" i="43" s="1"/>
  <c r="Y31" i="43"/>
  <c r="Z31" i="43" s="1"/>
  <c r="AE31" i="43"/>
  <c r="T32" i="43"/>
  <c r="S32" i="43"/>
  <c r="V32" i="43"/>
  <c r="U32" i="43"/>
  <c r="P32" i="43"/>
  <c r="X32" i="43" s="1"/>
  <c r="I33" i="42"/>
  <c r="J33" i="42" s="1"/>
  <c r="K33" i="42" s="1"/>
  <c r="G34" i="42" s="1"/>
  <c r="M33" i="42"/>
  <c r="O33" i="42" s="1"/>
  <c r="L33" i="42"/>
  <c r="Y31" i="42"/>
  <c r="Z31" i="42" s="1"/>
  <c r="T32" i="42"/>
  <c r="S32" i="42"/>
  <c r="X32" i="42" s="1"/>
  <c r="AE31" i="42"/>
  <c r="AE30" i="42"/>
  <c r="AB30" i="42"/>
  <c r="U32" i="42"/>
  <c r="P32" i="42"/>
  <c r="V32" i="42"/>
  <c r="AF30" i="42"/>
  <c r="AD30" i="42"/>
  <c r="L33" i="41"/>
  <c r="I33" i="41"/>
  <c r="J33" i="41" s="1"/>
  <c r="K33" i="41" s="1"/>
  <c r="G34" i="41" s="1"/>
  <c r="M33" i="41"/>
  <c r="O33" i="41" s="1"/>
  <c r="AB30" i="41"/>
  <c r="AF30" i="41"/>
  <c r="AD30" i="41"/>
  <c r="T32" i="41"/>
  <c r="S32" i="41"/>
  <c r="X32" i="41" s="1"/>
  <c r="Y31" i="41"/>
  <c r="Z31" i="41" s="1"/>
  <c r="W31" i="41"/>
  <c r="AA31" i="41" s="1"/>
  <c r="V32" i="41"/>
  <c r="U32" i="41"/>
  <c r="P32" i="41"/>
  <c r="I35" i="35"/>
  <c r="J35" i="35" s="1"/>
  <c r="K35" i="35" s="1"/>
  <c r="G36" i="35" s="1"/>
  <c r="M35" i="35"/>
  <c r="L35" i="35"/>
  <c r="Y21" i="36"/>
  <c r="Z21" i="36" s="1"/>
  <c r="I22" i="36"/>
  <c r="J22" i="36" s="1"/>
  <c r="L22" i="36"/>
  <c r="M22" i="36"/>
  <c r="O22" i="36" s="1"/>
  <c r="W21" i="36"/>
  <c r="W32" i="41" l="1"/>
  <c r="AA32" i="41" s="1"/>
  <c r="I34" i="43"/>
  <c r="J34" i="43" s="1"/>
  <c r="M34" i="43"/>
  <c r="O34" i="43" s="1"/>
  <c r="L34" i="43"/>
  <c r="K34" i="43"/>
  <c r="G35" i="43" s="1"/>
  <c r="AF31" i="43"/>
  <c r="AD31" i="43"/>
  <c r="AB31" i="43"/>
  <c r="Y32" i="43"/>
  <c r="Z32" i="43" s="1"/>
  <c r="W32" i="43"/>
  <c r="AA32" i="43" s="1"/>
  <c r="V33" i="43"/>
  <c r="U33" i="43"/>
  <c r="P33" i="43"/>
  <c r="T33" i="43"/>
  <c r="W33" i="43" s="1"/>
  <c r="AA33" i="43" s="1"/>
  <c r="S33" i="43"/>
  <c r="X33" i="43" s="1"/>
  <c r="Y32" i="42"/>
  <c r="Z32" i="42" s="1"/>
  <c r="AD31" i="42"/>
  <c r="AB31" i="42"/>
  <c r="AF31" i="42"/>
  <c r="I34" i="42"/>
  <c r="J34" i="42" s="1"/>
  <c r="K34" i="42" s="1"/>
  <c r="G35" i="42" s="1"/>
  <c r="M34" i="42"/>
  <c r="O34" i="42" s="1"/>
  <c r="L34" i="42"/>
  <c r="P33" i="42"/>
  <c r="X33" i="42" s="1"/>
  <c r="U33" i="42"/>
  <c r="V33" i="42"/>
  <c r="W32" i="42"/>
  <c r="AA32" i="42" s="1"/>
  <c r="T33" i="42"/>
  <c r="S33" i="42"/>
  <c r="I34" i="41"/>
  <c r="J34" i="41" s="1"/>
  <c r="L34" i="41"/>
  <c r="K34" i="41"/>
  <c r="G35" i="41" s="1"/>
  <c r="M34" i="41"/>
  <c r="O34" i="41" s="1"/>
  <c r="AF31" i="41"/>
  <c r="AD31" i="41"/>
  <c r="AB31" i="41"/>
  <c r="AE31" i="41"/>
  <c r="AE32" i="41"/>
  <c r="Y32" i="41"/>
  <c r="Z32" i="41" s="1"/>
  <c r="P33" i="41"/>
  <c r="X33" i="41" s="1"/>
  <c r="V33" i="41"/>
  <c r="U33" i="41"/>
  <c r="T33" i="41"/>
  <c r="S33" i="41"/>
  <c r="I36" i="35"/>
  <c r="J36" i="35" s="1"/>
  <c r="K36" i="35" s="1"/>
  <c r="G37" i="35" s="1"/>
  <c r="M36" i="35"/>
  <c r="L36" i="35"/>
  <c r="AD21" i="36"/>
  <c r="U22" i="36"/>
  <c r="V22" i="36"/>
  <c r="P22" i="36"/>
  <c r="X22" i="36" s="1"/>
  <c r="AA21" i="36"/>
  <c r="AB21" i="36" s="1"/>
  <c r="AE21" i="36"/>
  <c r="T22" i="36"/>
  <c r="S22" i="36"/>
  <c r="K22" i="36"/>
  <c r="G23" i="36" s="1"/>
  <c r="W33" i="42" l="1"/>
  <c r="AA33" i="42" s="1"/>
  <c r="Y33" i="43"/>
  <c r="Z33" i="43" s="1"/>
  <c r="T34" i="43"/>
  <c r="W34" i="43" s="1"/>
  <c r="AA34" i="43" s="1"/>
  <c r="S34" i="43"/>
  <c r="AD32" i="43"/>
  <c r="AB32" i="43"/>
  <c r="AF32" i="43"/>
  <c r="X34" i="43"/>
  <c r="P34" i="43"/>
  <c r="V34" i="43"/>
  <c r="U34" i="43"/>
  <c r="AE33" i="43"/>
  <c r="M35" i="43"/>
  <c r="O35" i="43" s="1"/>
  <c r="I35" i="43"/>
  <c r="J35" i="43" s="1"/>
  <c r="K35" i="43" s="1"/>
  <c r="G36" i="43" s="1"/>
  <c r="L35" i="43"/>
  <c r="AE32" i="43"/>
  <c r="Y33" i="42"/>
  <c r="Z33" i="42" s="1"/>
  <c r="M35" i="42"/>
  <c r="O35" i="42" s="1"/>
  <c r="L35" i="42"/>
  <c r="I35" i="42"/>
  <c r="J35" i="42" s="1"/>
  <c r="K35" i="42" s="1"/>
  <c r="G36" i="42" s="1"/>
  <c r="AB32" i="42"/>
  <c r="AD32" i="42"/>
  <c r="AF32" i="42"/>
  <c r="P34" i="42"/>
  <c r="X34" i="42" s="1"/>
  <c r="V34" i="42"/>
  <c r="U34" i="42"/>
  <c r="AE33" i="42"/>
  <c r="T34" i="42"/>
  <c r="S34" i="42"/>
  <c r="AE32" i="42"/>
  <c r="AD32" i="41"/>
  <c r="AF32" i="41"/>
  <c r="AB32" i="41"/>
  <c r="M35" i="41"/>
  <c r="O35" i="41" s="1"/>
  <c r="L35" i="41"/>
  <c r="I35" i="41"/>
  <c r="J35" i="41" s="1"/>
  <c r="K35" i="41" s="1"/>
  <c r="G36" i="41" s="1"/>
  <c r="T34" i="41"/>
  <c r="S34" i="41"/>
  <c r="Y33" i="41"/>
  <c r="Z33" i="41" s="1"/>
  <c r="P34" i="41"/>
  <c r="X34" i="41" s="1"/>
  <c r="U34" i="41"/>
  <c r="V34" i="41"/>
  <c r="W33" i="41"/>
  <c r="AA33" i="41" s="1"/>
  <c r="I37" i="35"/>
  <c r="J37" i="35" s="1"/>
  <c r="K37" i="35"/>
  <c r="G38" i="35" s="1"/>
  <c r="M37" i="35"/>
  <c r="L37" i="35"/>
  <c r="Y22" i="36"/>
  <c r="Z22" i="36"/>
  <c r="I23" i="36"/>
  <c r="J23" i="36" s="1"/>
  <c r="M23" i="36"/>
  <c r="O23" i="36" s="1"/>
  <c r="L23" i="36"/>
  <c r="AF21" i="36"/>
  <c r="W22" i="36"/>
  <c r="W34" i="42" l="1"/>
  <c r="AA34" i="42" s="1"/>
  <c r="W34" i="41"/>
  <c r="AA34" i="41" s="1"/>
  <c r="M36" i="43"/>
  <c r="O36" i="43" s="1"/>
  <c r="L36" i="43"/>
  <c r="I36" i="43"/>
  <c r="J36" i="43" s="1"/>
  <c r="K36" i="43" s="1"/>
  <c r="G37" i="43" s="1"/>
  <c r="AB33" i="43"/>
  <c r="AF33" i="43"/>
  <c r="AD33" i="43"/>
  <c r="Y34" i="43"/>
  <c r="Z34" i="43" s="1"/>
  <c r="AE34" i="43"/>
  <c r="T35" i="43"/>
  <c r="S35" i="43"/>
  <c r="P35" i="43"/>
  <c r="V35" i="43"/>
  <c r="U35" i="43"/>
  <c r="Y34" i="42"/>
  <c r="Z34" i="42" s="1"/>
  <c r="L36" i="42"/>
  <c r="I36" i="42"/>
  <c r="J36" i="42" s="1"/>
  <c r="K36" i="42" s="1"/>
  <c r="G37" i="42" s="1"/>
  <c r="M36" i="42"/>
  <c r="O36" i="42" s="1"/>
  <c r="AF33" i="42"/>
  <c r="AB33" i="42"/>
  <c r="AD33" i="42"/>
  <c r="AE34" i="42"/>
  <c r="T35" i="42"/>
  <c r="S35" i="42"/>
  <c r="V35" i="42"/>
  <c r="U35" i="42"/>
  <c r="P35" i="42"/>
  <c r="X35" i="42" s="1"/>
  <c r="M36" i="41"/>
  <c r="O36" i="41" s="1"/>
  <c r="L36" i="41"/>
  <c r="I36" i="41"/>
  <c r="J36" i="41" s="1"/>
  <c r="K36" i="41" s="1"/>
  <c r="G37" i="41" s="1"/>
  <c r="AD33" i="41"/>
  <c r="AF33" i="41"/>
  <c r="AE34" i="41"/>
  <c r="Y34" i="41"/>
  <c r="Z34" i="41" s="1"/>
  <c r="T35" i="41"/>
  <c r="S35" i="41"/>
  <c r="AB33" i="41"/>
  <c r="AE33" i="41"/>
  <c r="P35" i="41"/>
  <c r="V35" i="41"/>
  <c r="U35" i="41"/>
  <c r="I38" i="35"/>
  <c r="J38" i="35" s="1"/>
  <c r="K38" i="35"/>
  <c r="G39" i="35" s="1"/>
  <c r="M38" i="35"/>
  <c r="L38" i="35"/>
  <c r="AA22" i="36"/>
  <c r="AB22" i="36" s="1"/>
  <c r="AE22" i="36"/>
  <c r="T23" i="36"/>
  <c r="S23" i="36"/>
  <c r="AD22" i="36"/>
  <c r="AF22" i="36" s="1"/>
  <c r="U23" i="36"/>
  <c r="X23" i="36"/>
  <c r="V23" i="36"/>
  <c r="P23" i="36"/>
  <c r="K23" i="36"/>
  <c r="G24" i="36" s="1"/>
  <c r="X35" i="43" l="1"/>
  <c r="X35" i="41"/>
  <c r="W35" i="41"/>
  <c r="AA35" i="41" s="1"/>
  <c r="Y35" i="43"/>
  <c r="Z35" i="43" s="1"/>
  <c r="I37" i="43"/>
  <c r="J37" i="43" s="1"/>
  <c r="K37" i="43" s="1"/>
  <c r="G38" i="43" s="1"/>
  <c r="M37" i="43"/>
  <c r="O37" i="43" s="1"/>
  <c r="L37" i="43"/>
  <c r="AF34" i="43"/>
  <c r="AD34" i="43"/>
  <c r="AB34" i="43"/>
  <c r="T36" i="43"/>
  <c r="S36" i="43"/>
  <c r="W35" i="43"/>
  <c r="AA35" i="43" s="1"/>
  <c r="U36" i="43"/>
  <c r="V36" i="43"/>
  <c r="P36" i="43"/>
  <c r="Y35" i="42"/>
  <c r="Z35" i="42"/>
  <c r="I37" i="42"/>
  <c r="J37" i="42" s="1"/>
  <c r="M37" i="42"/>
  <c r="O37" i="42" s="1"/>
  <c r="L37" i="42"/>
  <c r="K37" i="42"/>
  <c r="G38" i="42" s="1"/>
  <c r="T36" i="42"/>
  <c r="W36" i="42" s="1"/>
  <c r="AA36" i="42" s="1"/>
  <c r="S36" i="42"/>
  <c r="X36" i="42" s="1"/>
  <c r="AF34" i="42"/>
  <c r="AD34" i="42"/>
  <c r="AB34" i="42"/>
  <c r="P36" i="42"/>
  <c r="V36" i="42"/>
  <c r="U36" i="42"/>
  <c r="W35" i="42"/>
  <c r="AA35" i="42" s="1"/>
  <c r="AF34" i="41"/>
  <c r="AB34" i="41"/>
  <c r="AD34" i="41"/>
  <c r="I37" i="41"/>
  <c r="J37" i="41" s="1"/>
  <c r="K37" i="41" s="1"/>
  <c r="G38" i="41" s="1"/>
  <c r="M37" i="41"/>
  <c r="O37" i="41" s="1"/>
  <c r="L37" i="41"/>
  <c r="T36" i="41"/>
  <c r="W36" i="41" s="1"/>
  <c r="AA36" i="41" s="1"/>
  <c r="S36" i="41"/>
  <c r="Y35" i="41"/>
  <c r="Z35" i="41" s="1"/>
  <c r="U36" i="41"/>
  <c r="P36" i="41"/>
  <c r="V36" i="41"/>
  <c r="I39" i="35"/>
  <c r="J39" i="35" s="1"/>
  <c r="K39" i="35"/>
  <c r="G40" i="35" s="1"/>
  <c r="M39" i="35"/>
  <c r="L39" i="35"/>
  <c r="Y23" i="36"/>
  <c r="Z23" i="36" s="1"/>
  <c r="I24" i="36"/>
  <c r="J24" i="36" s="1"/>
  <c r="M24" i="36"/>
  <c r="O24" i="36" s="1"/>
  <c r="L24" i="36"/>
  <c r="W23" i="36"/>
  <c r="X36" i="43" l="1"/>
  <c r="AE35" i="41"/>
  <c r="X36" i="41"/>
  <c r="Y36" i="41" s="1"/>
  <c r="Z36" i="41" s="1"/>
  <c r="I38" i="43"/>
  <c r="J38" i="43" s="1"/>
  <c r="M38" i="43"/>
  <c r="O38" i="43" s="1"/>
  <c r="L38" i="43"/>
  <c r="K38" i="43"/>
  <c r="G39" i="43" s="1"/>
  <c r="AF35" i="43"/>
  <c r="AD35" i="43"/>
  <c r="AB35" i="43"/>
  <c r="Y36" i="43"/>
  <c r="Z36" i="43" s="1"/>
  <c r="T37" i="43"/>
  <c r="S37" i="43"/>
  <c r="AE35" i="43"/>
  <c r="P37" i="43"/>
  <c r="X37" i="43" s="1"/>
  <c r="U37" i="43"/>
  <c r="V37" i="43"/>
  <c r="W36" i="43"/>
  <c r="AA36" i="43" s="1"/>
  <c r="Y36" i="42"/>
  <c r="Z36" i="42" s="1"/>
  <c r="AE36" i="42"/>
  <c r="M38" i="42"/>
  <c r="O38" i="42" s="1"/>
  <c r="L38" i="42"/>
  <c r="I38" i="42"/>
  <c r="J38" i="42" s="1"/>
  <c r="K38" i="42" s="1"/>
  <c r="G39" i="42" s="1"/>
  <c r="P37" i="42"/>
  <c r="X37" i="42" s="1"/>
  <c r="V37" i="42"/>
  <c r="U37" i="42"/>
  <c r="AD35" i="42"/>
  <c r="AB35" i="42"/>
  <c r="AF35" i="42"/>
  <c r="AE35" i="42"/>
  <c r="S37" i="42"/>
  <c r="T37" i="42"/>
  <c r="I38" i="41"/>
  <c r="J38" i="41" s="1"/>
  <c r="M38" i="41"/>
  <c r="O38" i="41" s="1"/>
  <c r="L38" i="41"/>
  <c r="K38" i="41"/>
  <c r="G39" i="41" s="1"/>
  <c r="AF35" i="41"/>
  <c r="AD35" i="41"/>
  <c r="AB35" i="41"/>
  <c r="T37" i="41"/>
  <c r="S37" i="41"/>
  <c r="AE36" i="41"/>
  <c r="P37" i="41"/>
  <c r="X37" i="41" s="1"/>
  <c r="U37" i="41"/>
  <c r="V37" i="41"/>
  <c r="I40" i="35"/>
  <c r="J40" i="35" s="1"/>
  <c r="K40" i="35" s="1"/>
  <c r="G41" i="35" s="1"/>
  <c r="M40" i="35"/>
  <c r="L40" i="35"/>
  <c r="AD23" i="36"/>
  <c r="U24" i="36"/>
  <c r="V24" i="36"/>
  <c r="P24" i="36"/>
  <c r="X24" i="36" s="1"/>
  <c r="T24" i="36"/>
  <c r="W24" i="36" s="1"/>
  <c r="S24" i="36"/>
  <c r="K24" i="36"/>
  <c r="G25" i="36" s="1"/>
  <c r="AA23" i="36"/>
  <c r="AB23" i="36" s="1"/>
  <c r="AE23" i="36"/>
  <c r="Y37" i="43" l="1"/>
  <c r="Z37" i="43" s="1"/>
  <c r="W37" i="43"/>
  <c r="AA37" i="43" s="1"/>
  <c r="AF36" i="43"/>
  <c r="AD36" i="43"/>
  <c r="M39" i="43"/>
  <c r="O39" i="43" s="1"/>
  <c r="L39" i="43"/>
  <c r="I39" i="43"/>
  <c r="J39" i="43" s="1"/>
  <c r="K39" i="43" s="1"/>
  <c r="G40" i="43" s="1"/>
  <c r="T38" i="43"/>
  <c r="W38" i="43" s="1"/>
  <c r="AA38" i="43" s="1"/>
  <c r="S38" i="43"/>
  <c r="AB36" i="43"/>
  <c r="AE36" i="43"/>
  <c r="P38" i="43"/>
  <c r="X38" i="43" s="1"/>
  <c r="V38" i="43"/>
  <c r="U38" i="43"/>
  <c r="Y37" i="42"/>
  <c r="Z37" i="42" s="1"/>
  <c r="M39" i="42"/>
  <c r="O39" i="42" s="1"/>
  <c r="L39" i="42"/>
  <c r="I39" i="42"/>
  <c r="J39" i="42" s="1"/>
  <c r="K39" i="42" s="1"/>
  <c r="G40" i="42" s="1"/>
  <c r="AB36" i="42"/>
  <c r="AD36" i="42"/>
  <c r="AF36" i="42"/>
  <c r="S38" i="42"/>
  <c r="T38" i="42"/>
  <c r="W37" i="42"/>
  <c r="AA37" i="42" s="1"/>
  <c r="P38" i="42"/>
  <c r="V38" i="42"/>
  <c r="U38" i="42"/>
  <c r="Y37" i="41"/>
  <c r="Z37" i="41" s="1"/>
  <c r="AB36" i="41"/>
  <c r="AD36" i="41"/>
  <c r="AF36" i="41"/>
  <c r="T38" i="41"/>
  <c r="S38" i="41"/>
  <c r="W37" i="41"/>
  <c r="AA37" i="41" s="1"/>
  <c r="M39" i="41"/>
  <c r="O39" i="41" s="1"/>
  <c r="L39" i="41"/>
  <c r="I39" i="41"/>
  <c r="J39" i="41" s="1"/>
  <c r="K39" i="41" s="1"/>
  <c r="G40" i="41" s="1"/>
  <c r="P38" i="41"/>
  <c r="X38" i="41" s="1"/>
  <c r="V38" i="41"/>
  <c r="U38" i="41"/>
  <c r="I41" i="35"/>
  <c r="J41" i="35" s="1"/>
  <c r="K41" i="35" s="1"/>
  <c r="G42" i="35" s="1"/>
  <c r="M41" i="35"/>
  <c r="L41" i="35"/>
  <c r="Y24" i="36"/>
  <c r="Z24" i="36" s="1"/>
  <c r="AA24" i="36"/>
  <c r="AE24" i="36"/>
  <c r="AF23" i="36"/>
  <c r="I25" i="36"/>
  <c r="J25" i="36" s="1"/>
  <c r="M25" i="36"/>
  <c r="O25" i="36" s="1"/>
  <c r="L25" i="36"/>
  <c r="X38" i="42" l="1"/>
  <c r="Y38" i="42" s="1"/>
  <c r="Z38" i="42" s="1"/>
  <c r="AF37" i="43"/>
  <c r="AD37" i="43"/>
  <c r="AB37" i="43"/>
  <c r="M40" i="43"/>
  <c r="O40" i="43" s="1"/>
  <c r="L40" i="43"/>
  <c r="I40" i="43"/>
  <c r="J40" i="43" s="1"/>
  <c r="K40" i="43" s="1"/>
  <c r="G41" i="43" s="1"/>
  <c r="Y38" i="43"/>
  <c r="Z38" i="43" s="1"/>
  <c r="AE38" i="43"/>
  <c r="T39" i="43"/>
  <c r="S39" i="43"/>
  <c r="V39" i="43"/>
  <c r="U39" i="43"/>
  <c r="P39" i="43"/>
  <c r="X39" i="43" s="1"/>
  <c r="AE37" i="43"/>
  <c r="L40" i="42"/>
  <c r="I40" i="42"/>
  <c r="J40" i="42" s="1"/>
  <c r="K40" i="42" s="1"/>
  <c r="G41" i="42" s="1"/>
  <c r="M40" i="42"/>
  <c r="O40" i="42" s="1"/>
  <c r="AF37" i="42"/>
  <c r="AD37" i="42"/>
  <c r="W38" i="42"/>
  <c r="AA38" i="42" s="1"/>
  <c r="AE37" i="42"/>
  <c r="AB37" i="42"/>
  <c r="T39" i="42"/>
  <c r="S39" i="42"/>
  <c r="V39" i="42"/>
  <c r="U39" i="42"/>
  <c r="P39" i="42"/>
  <c r="Y38" i="41"/>
  <c r="Z38" i="41"/>
  <c r="M40" i="41"/>
  <c r="O40" i="41" s="1"/>
  <c r="L40" i="41"/>
  <c r="I40" i="41"/>
  <c r="J40" i="41" s="1"/>
  <c r="K40" i="41" s="1"/>
  <c r="G41" i="41" s="1"/>
  <c r="AF37" i="41"/>
  <c r="AB37" i="41"/>
  <c r="AD37" i="41"/>
  <c r="AE37" i="41"/>
  <c r="T39" i="41"/>
  <c r="S39" i="41"/>
  <c r="X39" i="41" s="1"/>
  <c r="W38" i="41"/>
  <c r="AA38" i="41" s="1"/>
  <c r="V39" i="41"/>
  <c r="U39" i="41"/>
  <c r="P39" i="41"/>
  <c r="I42" i="35"/>
  <c r="J42" i="35" s="1"/>
  <c r="K42" i="35"/>
  <c r="G43" i="35" s="1"/>
  <c r="M42" i="35"/>
  <c r="L42" i="35"/>
  <c r="AB24" i="36"/>
  <c r="AD24" i="36"/>
  <c r="AF24" i="36" s="1"/>
  <c r="K25" i="36"/>
  <c r="G26" i="36" s="1"/>
  <c r="U25" i="36"/>
  <c r="V25" i="36"/>
  <c r="P25" i="36"/>
  <c r="X25" i="36" s="1"/>
  <c r="T25" i="36"/>
  <c r="S25" i="36"/>
  <c r="X39" i="42" l="1"/>
  <c r="Y39" i="42" s="1"/>
  <c r="Z39" i="42" s="1"/>
  <c r="AF38" i="43"/>
  <c r="AD38" i="43"/>
  <c r="AB38" i="43"/>
  <c r="I41" i="43"/>
  <c r="J41" i="43" s="1"/>
  <c r="K41" i="43" s="1"/>
  <c r="G42" i="43" s="1"/>
  <c r="M41" i="43"/>
  <c r="O41" i="43" s="1"/>
  <c r="L41" i="43"/>
  <c r="T40" i="43"/>
  <c r="W40" i="43" s="1"/>
  <c r="AA40" i="43" s="1"/>
  <c r="S40" i="43"/>
  <c r="Y39" i="43"/>
  <c r="Z39" i="43" s="1"/>
  <c r="W39" i="43"/>
  <c r="AA39" i="43" s="1"/>
  <c r="U40" i="43"/>
  <c r="P40" i="43"/>
  <c r="V40" i="43"/>
  <c r="AF38" i="42"/>
  <c r="AD38" i="42"/>
  <c r="I41" i="42"/>
  <c r="J41" i="42" s="1"/>
  <c r="K41" i="42" s="1"/>
  <c r="G42" i="42" s="1"/>
  <c r="L41" i="42"/>
  <c r="M41" i="42"/>
  <c r="O41" i="42" s="1"/>
  <c r="W39" i="42"/>
  <c r="AA39" i="42" s="1"/>
  <c r="AE38" i="42"/>
  <c r="AB38" i="42"/>
  <c r="U40" i="42"/>
  <c r="P40" i="42"/>
  <c r="V40" i="42"/>
  <c r="T40" i="42"/>
  <c r="S40" i="42"/>
  <c r="Y39" i="41"/>
  <c r="Z39" i="41"/>
  <c r="I41" i="41"/>
  <c r="J41" i="41" s="1"/>
  <c r="K41" i="41" s="1"/>
  <c r="G42" i="41" s="1"/>
  <c r="M41" i="41"/>
  <c r="O41" i="41" s="1"/>
  <c r="L41" i="41"/>
  <c r="W39" i="41"/>
  <c r="AA39" i="41" s="1"/>
  <c r="AE38" i="41"/>
  <c r="T40" i="41"/>
  <c r="S40" i="41"/>
  <c r="U40" i="41"/>
  <c r="P40" i="41"/>
  <c r="X40" i="41"/>
  <c r="V40" i="41"/>
  <c r="AF38" i="41"/>
  <c r="AD38" i="41"/>
  <c r="AB38" i="41"/>
  <c r="I43" i="35"/>
  <c r="J43" i="35" s="1"/>
  <c r="K43" i="35"/>
  <c r="G44" i="35" s="1"/>
  <c r="M43" i="35"/>
  <c r="L43" i="35"/>
  <c r="W25" i="36"/>
  <c r="Y25" i="36"/>
  <c r="Z25" i="36" s="1"/>
  <c r="I26" i="36"/>
  <c r="J26" i="36" s="1"/>
  <c r="L26" i="36"/>
  <c r="M26" i="36"/>
  <c r="O26" i="36" s="1"/>
  <c r="AA25" i="36"/>
  <c r="AE25" i="36"/>
  <c r="X40" i="43" l="1"/>
  <c r="Y40" i="43" s="1"/>
  <c r="Z40" i="43" s="1"/>
  <c r="X40" i="42"/>
  <c r="Y40" i="42" s="1"/>
  <c r="Z40" i="42" s="1"/>
  <c r="I42" i="43"/>
  <c r="J42" i="43" s="1"/>
  <c r="M42" i="43"/>
  <c r="O42" i="43" s="1"/>
  <c r="L42" i="43"/>
  <c r="K42" i="43"/>
  <c r="G43" i="43" s="1"/>
  <c r="AD39" i="43"/>
  <c r="AB39" i="43"/>
  <c r="AF39" i="43"/>
  <c r="AE40" i="43"/>
  <c r="P41" i="43"/>
  <c r="V41" i="43"/>
  <c r="U41" i="43"/>
  <c r="T41" i="43"/>
  <c r="W41" i="43" s="1"/>
  <c r="AA41" i="43" s="1"/>
  <c r="S41" i="43"/>
  <c r="AE39" i="43"/>
  <c r="M42" i="42"/>
  <c r="O42" i="42" s="1"/>
  <c r="I42" i="42"/>
  <c r="J42" i="42" s="1"/>
  <c r="K42" i="42" s="1"/>
  <c r="G43" i="42" s="1"/>
  <c r="L42" i="42"/>
  <c r="AD39" i="42"/>
  <c r="AF39" i="42"/>
  <c r="T41" i="42"/>
  <c r="S41" i="42"/>
  <c r="P41" i="42"/>
  <c r="U41" i="42"/>
  <c r="V41" i="42"/>
  <c r="AB39" i="42"/>
  <c r="AE39" i="42"/>
  <c r="W40" i="42"/>
  <c r="AA40" i="42" s="1"/>
  <c r="I42" i="41"/>
  <c r="J42" i="41" s="1"/>
  <c r="K42" i="41" s="1"/>
  <c r="G43" i="41" s="1"/>
  <c r="L42" i="41"/>
  <c r="M42" i="41"/>
  <c r="O42" i="41" s="1"/>
  <c r="AE39" i="41"/>
  <c r="AB39" i="41"/>
  <c r="P41" i="41"/>
  <c r="X41" i="41" s="1"/>
  <c r="V41" i="41"/>
  <c r="U41" i="41"/>
  <c r="W40" i="41"/>
  <c r="AA40" i="41" s="1"/>
  <c r="Y40" i="41"/>
  <c r="Z40" i="41" s="1"/>
  <c r="T41" i="41"/>
  <c r="S41" i="41"/>
  <c r="AD39" i="41"/>
  <c r="AF39" i="41"/>
  <c r="I44" i="35"/>
  <c r="J44" i="35" s="1"/>
  <c r="K44" i="35"/>
  <c r="G45" i="35" s="1"/>
  <c r="M44" i="35"/>
  <c r="L44" i="35"/>
  <c r="AB25" i="36"/>
  <c r="AD25" i="36"/>
  <c r="AF25" i="36" s="1"/>
  <c r="U26" i="36"/>
  <c r="V26" i="36"/>
  <c r="P26" i="36"/>
  <c r="X26" i="36" s="1"/>
  <c r="K26" i="36"/>
  <c r="G27" i="36" s="1"/>
  <c r="T26" i="36"/>
  <c r="S26" i="36"/>
  <c r="X41" i="43" l="1"/>
  <c r="W41" i="42"/>
  <c r="AA41" i="42" s="1"/>
  <c r="X41" i="42"/>
  <c r="Y41" i="42" s="1"/>
  <c r="Z41" i="42" s="1"/>
  <c r="W41" i="41"/>
  <c r="AA41" i="41" s="1"/>
  <c r="Y41" i="43"/>
  <c r="Z41" i="43" s="1"/>
  <c r="AB40" i="43"/>
  <c r="AF40" i="43"/>
  <c r="AD40" i="43"/>
  <c r="AE41" i="43"/>
  <c r="M43" i="43"/>
  <c r="O43" i="43" s="1"/>
  <c r="L43" i="43"/>
  <c r="I43" i="43"/>
  <c r="J43" i="43" s="1"/>
  <c r="K43" i="43" s="1"/>
  <c r="G44" i="43" s="1"/>
  <c r="T42" i="43"/>
  <c r="S42" i="43"/>
  <c r="P42" i="43"/>
  <c r="X42" i="43" s="1"/>
  <c r="V42" i="43"/>
  <c r="U42" i="43"/>
  <c r="AF40" i="42"/>
  <c r="AD40" i="42"/>
  <c r="M43" i="42"/>
  <c r="O43" i="42" s="1"/>
  <c r="L43" i="42"/>
  <c r="I43" i="42"/>
  <c r="J43" i="42" s="1"/>
  <c r="K43" i="42" s="1"/>
  <c r="G44" i="42" s="1"/>
  <c r="T42" i="42"/>
  <c r="S42" i="42"/>
  <c r="AB40" i="42"/>
  <c r="AE40" i="42"/>
  <c r="P42" i="42"/>
  <c r="V42" i="42"/>
  <c r="U42" i="42"/>
  <c r="Y41" i="41"/>
  <c r="Z41" i="41" s="1"/>
  <c r="AF40" i="41"/>
  <c r="AD40" i="41"/>
  <c r="AE41" i="41"/>
  <c r="M43" i="41"/>
  <c r="O43" i="41" s="1"/>
  <c r="L43" i="41"/>
  <c r="I43" i="41"/>
  <c r="J43" i="41" s="1"/>
  <c r="K43" i="41" s="1"/>
  <c r="G44" i="41" s="1"/>
  <c r="P42" i="41"/>
  <c r="X42" i="41" s="1"/>
  <c r="V42" i="41"/>
  <c r="U42" i="41"/>
  <c r="AB40" i="41"/>
  <c r="AE40" i="41"/>
  <c r="T42" i="41"/>
  <c r="S42" i="41"/>
  <c r="I45" i="35"/>
  <c r="J45" i="35" s="1"/>
  <c r="K45" i="35"/>
  <c r="G46" i="35" s="1"/>
  <c r="M45" i="35"/>
  <c r="L45" i="35"/>
  <c r="W26" i="36"/>
  <c r="Y26" i="36"/>
  <c r="Z26" i="36" s="1"/>
  <c r="AA26" i="36"/>
  <c r="AE26" i="36"/>
  <c r="I27" i="36"/>
  <c r="J27" i="36" s="1"/>
  <c r="M27" i="36"/>
  <c r="O27" i="36" s="1"/>
  <c r="L27" i="36"/>
  <c r="AE41" i="42" l="1"/>
  <c r="X42" i="42"/>
  <c r="Y42" i="42" s="1"/>
  <c r="Y42" i="43"/>
  <c r="Z42" i="43" s="1"/>
  <c r="I44" i="43"/>
  <c r="J44" i="43" s="1"/>
  <c r="K44" i="43" s="1"/>
  <c r="G45" i="43" s="1"/>
  <c r="M44" i="43"/>
  <c r="O44" i="43" s="1"/>
  <c r="L44" i="43"/>
  <c r="AF41" i="43"/>
  <c r="AD41" i="43"/>
  <c r="AB41" i="43"/>
  <c r="V43" i="43"/>
  <c r="U43" i="43"/>
  <c r="P43" i="43"/>
  <c r="W42" i="43"/>
  <c r="AA42" i="43" s="1"/>
  <c r="T43" i="43"/>
  <c r="W43" i="43" s="1"/>
  <c r="AA43" i="43" s="1"/>
  <c r="S43" i="43"/>
  <c r="AF41" i="42"/>
  <c r="AB41" i="42"/>
  <c r="AD41" i="42"/>
  <c r="T43" i="42"/>
  <c r="S43" i="42"/>
  <c r="U43" i="42"/>
  <c r="V43" i="42"/>
  <c r="P43" i="42"/>
  <c r="W42" i="42"/>
  <c r="AA42" i="42" s="1"/>
  <c r="I44" i="42"/>
  <c r="J44" i="42" s="1"/>
  <c r="K44" i="42"/>
  <c r="G45" i="42" s="1"/>
  <c r="M44" i="42"/>
  <c r="O44" i="42" s="1"/>
  <c r="L44" i="42"/>
  <c r="I44" i="41"/>
  <c r="J44" i="41" s="1"/>
  <c r="K44" i="41" s="1"/>
  <c r="G45" i="41" s="1"/>
  <c r="M44" i="41"/>
  <c r="O44" i="41" s="1"/>
  <c r="L44" i="41"/>
  <c r="Y42" i="41"/>
  <c r="Z42" i="41"/>
  <c r="AF41" i="41"/>
  <c r="AD41" i="41"/>
  <c r="AB41" i="41"/>
  <c r="V43" i="41"/>
  <c r="U43" i="41"/>
  <c r="P43" i="41"/>
  <c r="W42" i="41"/>
  <c r="AA42" i="41" s="1"/>
  <c r="T43" i="41"/>
  <c r="S43" i="41"/>
  <c r="I46" i="35"/>
  <c r="J46" i="35" s="1"/>
  <c r="K46" i="35" s="1"/>
  <c r="G47" i="35" s="1"/>
  <c r="M46" i="35"/>
  <c r="L46" i="35"/>
  <c r="AB26" i="36"/>
  <c r="AD26" i="36"/>
  <c r="AF26" i="36" s="1"/>
  <c r="T27" i="36"/>
  <c r="S27" i="36"/>
  <c r="K27" i="36"/>
  <c r="G28" i="36" s="1"/>
  <c r="U27" i="36"/>
  <c r="P27" i="36"/>
  <c r="X27" i="36" s="1"/>
  <c r="V27" i="36"/>
  <c r="X43" i="43" l="1"/>
  <c r="Z42" i="42"/>
  <c r="X43" i="42"/>
  <c r="X43" i="41"/>
  <c r="W43" i="41"/>
  <c r="AA43" i="41" s="1"/>
  <c r="Y43" i="43"/>
  <c r="Z43" i="43" s="1"/>
  <c r="I45" i="43"/>
  <c r="J45" i="43" s="1"/>
  <c r="K45" i="43" s="1"/>
  <c r="G46" i="43" s="1"/>
  <c r="M45" i="43"/>
  <c r="O45" i="43" s="1"/>
  <c r="L45" i="43"/>
  <c r="P44" i="43"/>
  <c r="V44" i="43"/>
  <c r="U44" i="43"/>
  <c r="T44" i="43"/>
  <c r="W44" i="43" s="1"/>
  <c r="AA44" i="43" s="1"/>
  <c r="S44" i="43"/>
  <c r="AE43" i="43"/>
  <c r="AE42" i="43"/>
  <c r="AB42" i="43"/>
  <c r="AF42" i="43"/>
  <c r="AD42" i="43"/>
  <c r="Y43" i="42"/>
  <c r="Z43" i="42" s="1"/>
  <c r="M45" i="42"/>
  <c r="O45" i="42" s="1"/>
  <c r="I45" i="42"/>
  <c r="J45" i="42" s="1"/>
  <c r="L45" i="42"/>
  <c r="K45" i="42"/>
  <c r="G46" i="42" s="1"/>
  <c r="P44" i="42"/>
  <c r="V44" i="42"/>
  <c r="U44" i="42"/>
  <c r="W43" i="42"/>
  <c r="AA43" i="42" s="1"/>
  <c r="AF42" i="42"/>
  <c r="AD42" i="42"/>
  <c r="AB42" i="42"/>
  <c r="T44" i="42"/>
  <c r="W44" i="42" s="1"/>
  <c r="AA44" i="42" s="1"/>
  <c r="S44" i="42"/>
  <c r="AE42" i="42"/>
  <c r="Y43" i="41"/>
  <c r="Z43" i="41" s="1"/>
  <c r="AE43" i="41"/>
  <c r="AF42" i="41"/>
  <c r="AD42" i="41"/>
  <c r="AB42" i="41"/>
  <c r="P44" i="41"/>
  <c r="V44" i="41"/>
  <c r="U44" i="41"/>
  <c r="AE42" i="41"/>
  <c r="T44" i="41"/>
  <c r="S44" i="41"/>
  <c r="I45" i="41"/>
  <c r="J45" i="41" s="1"/>
  <c r="K45" i="41" s="1"/>
  <c r="G46" i="41" s="1"/>
  <c r="L45" i="41"/>
  <c r="M45" i="41"/>
  <c r="O45" i="41" s="1"/>
  <c r="I47" i="35"/>
  <c r="J47" i="35" s="1"/>
  <c r="K47" i="35"/>
  <c r="G48" i="35" s="1"/>
  <c r="M47" i="35"/>
  <c r="L47" i="35"/>
  <c r="Y27" i="36"/>
  <c r="Z27" i="36" s="1"/>
  <c r="I28" i="36"/>
  <c r="J28" i="36" s="1"/>
  <c r="L28" i="36"/>
  <c r="M28" i="36"/>
  <c r="O28" i="36" s="1"/>
  <c r="W27" i="36"/>
  <c r="X44" i="43" l="1"/>
  <c r="X44" i="42"/>
  <c r="Y44" i="42" s="1"/>
  <c r="Z44" i="42" s="1"/>
  <c r="X44" i="41"/>
  <c r="W44" i="41"/>
  <c r="AA44" i="41" s="1"/>
  <c r="Y44" i="43"/>
  <c r="Z44" i="43" s="1"/>
  <c r="AD43" i="43"/>
  <c r="AB43" i="43"/>
  <c r="AF43" i="43"/>
  <c r="P45" i="43"/>
  <c r="V45" i="43"/>
  <c r="U45" i="43"/>
  <c r="T45" i="43"/>
  <c r="S45" i="43"/>
  <c r="AE44" i="43"/>
  <c r="M46" i="43"/>
  <c r="O46" i="43" s="1"/>
  <c r="L46" i="43"/>
  <c r="I46" i="43"/>
  <c r="J46" i="43" s="1"/>
  <c r="K46" i="43" s="1"/>
  <c r="G47" i="43" s="1"/>
  <c r="AD43" i="42"/>
  <c r="AF43" i="42"/>
  <c r="AE44" i="42"/>
  <c r="AB43" i="42"/>
  <c r="AE43" i="42"/>
  <c r="M46" i="42"/>
  <c r="O46" i="42" s="1"/>
  <c r="L46" i="42"/>
  <c r="I46" i="42"/>
  <c r="J46" i="42" s="1"/>
  <c r="K46" i="42" s="1"/>
  <c r="G47" i="42" s="1"/>
  <c r="T45" i="42"/>
  <c r="S45" i="42"/>
  <c r="P45" i="42"/>
  <c r="V45" i="42"/>
  <c r="U45" i="42"/>
  <c r="M46" i="41"/>
  <c r="O46" i="41" s="1"/>
  <c r="L46" i="41"/>
  <c r="I46" i="41"/>
  <c r="J46" i="41" s="1"/>
  <c r="K46" i="41" s="1"/>
  <c r="G47" i="41" s="1"/>
  <c r="Y44" i="41"/>
  <c r="Z44" i="41" s="1"/>
  <c r="AE44" i="41"/>
  <c r="P45" i="41"/>
  <c r="X45" i="41" s="1"/>
  <c r="V45" i="41"/>
  <c r="U45" i="41"/>
  <c r="T45" i="41"/>
  <c r="W45" i="41" s="1"/>
  <c r="AA45" i="41" s="1"/>
  <c r="S45" i="41"/>
  <c r="AD43" i="41"/>
  <c r="AB43" i="41"/>
  <c r="AF43" i="41"/>
  <c r="I48" i="35"/>
  <c r="J48" i="35" s="1"/>
  <c r="K48" i="35" s="1"/>
  <c r="G49" i="35" s="1"/>
  <c r="M48" i="35"/>
  <c r="L48" i="35"/>
  <c r="AD27" i="36"/>
  <c r="AA27" i="36"/>
  <c r="AB27" i="36" s="1"/>
  <c r="AE27" i="36"/>
  <c r="K28" i="36"/>
  <c r="G29" i="36" s="1"/>
  <c r="T28" i="36"/>
  <c r="S28" i="36"/>
  <c r="U28" i="36"/>
  <c r="V28" i="36"/>
  <c r="P28" i="36"/>
  <c r="X28" i="36" s="1"/>
  <c r="X45" i="43" l="1"/>
  <c r="X45" i="42"/>
  <c r="W45" i="42"/>
  <c r="AA45" i="42" s="1"/>
  <c r="AF44" i="43"/>
  <c r="AD44" i="43"/>
  <c r="AB44" i="43"/>
  <c r="V46" i="43"/>
  <c r="U46" i="43"/>
  <c r="P46" i="43"/>
  <c r="T46" i="43"/>
  <c r="S46" i="43"/>
  <c r="X46" i="43" s="1"/>
  <c r="W45" i="43"/>
  <c r="AA45" i="43" s="1"/>
  <c r="M47" i="43"/>
  <c r="O47" i="43" s="1"/>
  <c r="L47" i="43"/>
  <c r="I47" i="43"/>
  <c r="J47" i="43" s="1"/>
  <c r="K47" i="43" s="1"/>
  <c r="G48" i="43" s="1"/>
  <c r="L47" i="42"/>
  <c r="I47" i="42"/>
  <c r="J47" i="42" s="1"/>
  <c r="K47" i="42" s="1"/>
  <c r="G48" i="42" s="1"/>
  <c r="M47" i="42"/>
  <c r="O47" i="42" s="1"/>
  <c r="AF44" i="42"/>
  <c r="AB44" i="42"/>
  <c r="AD44" i="42"/>
  <c r="T46" i="42"/>
  <c r="W46" i="42" s="1"/>
  <c r="AA46" i="42" s="1"/>
  <c r="S46" i="42"/>
  <c r="AE45" i="42"/>
  <c r="Y45" i="42"/>
  <c r="Z45" i="42" s="1"/>
  <c r="V46" i="42"/>
  <c r="U46" i="42"/>
  <c r="P46" i="42"/>
  <c r="Y45" i="41"/>
  <c r="Z45" i="41"/>
  <c r="AF44" i="41"/>
  <c r="AD44" i="41"/>
  <c r="AB44" i="41"/>
  <c r="M47" i="41"/>
  <c r="O47" i="41" s="1"/>
  <c r="L47" i="41"/>
  <c r="I47" i="41"/>
  <c r="J47" i="41" s="1"/>
  <c r="K47" i="41" s="1"/>
  <c r="G48" i="41" s="1"/>
  <c r="T46" i="41"/>
  <c r="S46" i="41"/>
  <c r="AE45" i="41"/>
  <c r="V46" i="41"/>
  <c r="U46" i="41"/>
  <c r="P46" i="41"/>
  <c r="I49" i="35"/>
  <c r="J49" i="35" s="1"/>
  <c r="K49" i="35" s="1"/>
  <c r="G50" i="35" s="1"/>
  <c r="M49" i="35"/>
  <c r="L49" i="35"/>
  <c r="W28" i="36"/>
  <c r="Y28" i="36"/>
  <c r="Z28" i="36"/>
  <c r="AA28" i="36"/>
  <c r="AE28" i="36"/>
  <c r="I29" i="36"/>
  <c r="J29" i="36" s="1"/>
  <c r="M29" i="36"/>
  <c r="O29" i="36" s="1"/>
  <c r="L29" i="36"/>
  <c r="AF27" i="36"/>
  <c r="Y45" i="43" l="1"/>
  <c r="Z45" i="43" s="1"/>
  <c r="X46" i="42"/>
  <c r="X46" i="41"/>
  <c r="I48" i="43"/>
  <c r="J48" i="43" s="1"/>
  <c r="K48" i="43" s="1"/>
  <c r="G49" i="43" s="1"/>
  <c r="M48" i="43"/>
  <c r="O48" i="43" s="1"/>
  <c r="L48" i="43"/>
  <c r="Y46" i="43"/>
  <c r="Z46" i="43" s="1"/>
  <c r="T47" i="43"/>
  <c r="W47" i="43" s="1"/>
  <c r="AA47" i="43" s="1"/>
  <c r="S47" i="43"/>
  <c r="U47" i="43"/>
  <c r="P47" i="43"/>
  <c r="V47" i="43"/>
  <c r="AE45" i="43"/>
  <c r="W46" i="43"/>
  <c r="AA46" i="43" s="1"/>
  <c r="AF45" i="42"/>
  <c r="AD45" i="42"/>
  <c r="AB45" i="42"/>
  <c r="I48" i="42"/>
  <c r="J48" i="42" s="1"/>
  <c r="L48" i="42"/>
  <c r="K48" i="42"/>
  <c r="G49" i="42" s="1"/>
  <c r="M48" i="42"/>
  <c r="O48" i="42" s="1"/>
  <c r="Y46" i="42"/>
  <c r="Z46" i="42" s="1"/>
  <c r="V47" i="42"/>
  <c r="U47" i="42"/>
  <c r="P47" i="42"/>
  <c r="AE46" i="42"/>
  <c r="T47" i="42"/>
  <c r="W47" i="42" s="1"/>
  <c r="AA47" i="42" s="1"/>
  <c r="S47" i="42"/>
  <c r="Y46" i="41"/>
  <c r="Z46" i="41" s="1"/>
  <c r="I48" i="41"/>
  <c r="J48" i="41" s="1"/>
  <c r="K48" i="41" s="1"/>
  <c r="G49" i="41" s="1"/>
  <c r="L48" i="41"/>
  <c r="M48" i="41"/>
  <c r="O48" i="41" s="1"/>
  <c r="U47" i="41"/>
  <c r="P47" i="41"/>
  <c r="V47" i="41"/>
  <c r="W46" i="41"/>
  <c r="AA46" i="41" s="1"/>
  <c r="AF45" i="41"/>
  <c r="AD45" i="41"/>
  <c r="AB45" i="41"/>
  <c r="T47" i="41"/>
  <c r="S47" i="41"/>
  <c r="I50" i="35"/>
  <c r="J50" i="35" s="1"/>
  <c r="K50" i="35" s="1"/>
  <c r="G51" i="35" s="1"/>
  <c r="M50" i="35"/>
  <c r="L50" i="35"/>
  <c r="T29" i="36"/>
  <c r="S29" i="36"/>
  <c r="AB28" i="36"/>
  <c r="AD28" i="36"/>
  <c r="AF28" i="36" s="1"/>
  <c r="U29" i="36"/>
  <c r="V29" i="36"/>
  <c r="P29" i="36"/>
  <c r="X29" i="36" s="1"/>
  <c r="K29" i="36"/>
  <c r="G30" i="36" s="1"/>
  <c r="AF45" i="43" l="1"/>
  <c r="AD45" i="43"/>
  <c r="AB45" i="43"/>
  <c r="X47" i="43"/>
  <c r="X47" i="42"/>
  <c r="X47" i="41"/>
  <c r="W47" i="41"/>
  <c r="AA47" i="41" s="1"/>
  <c r="Y47" i="43"/>
  <c r="Z47" i="43" s="1"/>
  <c r="AD46" i="43"/>
  <c r="AB46" i="43"/>
  <c r="AF46" i="43"/>
  <c r="I49" i="43"/>
  <c r="J49" i="43" s="1"/>
  <c r="K49" i="43" s="1"/>
  <c r="G50" i="43" s="1"/>
  <c r="M49" i="43"/>
  <c r="O49" i="43" s="1"/>
  <c r="L49" i="43"/>
  <c r="AE46" i="43"/>
  <c r="AE47" i="43"/>
  <c r="T48" i="43"/>
  <c r="S48" i="43"/>
  <c r="P48" i="43"/>
  <c r="X48" i="43" s="1"/>
  <c r="V48" i="43"/>
  <c r="U48" i="43"/>
  <c r="Y47" i="42"/>
  <c r="Z47" i="42" s="1"/>
  <c r="AD46" i="42"/>
  <c r="AB46" i="42"/>
  <c r="AF46" i="42"/>
  <c r="T48" i="42"/>
  <c r="S48" i="42"/>
  <c r="AE47" i="42"/>
  <c r="M49" i="42"/>
  <c r="O49" i="42" s="1"/>
  <c r="I49" i="42"/>
  <c r="J49" i="42" s="1"/>
  <c r="K49" i="42" s="1"/>
  <c r="G50" i="42" s="1"/>
  <c r="L49" i="42"/>
  <c r="P48" i="42"/>
  <c r="V48" i="42"/>
  <c r="U48" i="42"/>
  <c r="Y47" i="41"/>
  <c r="Z47" i="41" s="1"/>
  <c r="I49" i="41"/>
  <c r="J49" i="41" s="1"/>
  <c r="K49" i="41" s="1"/>
  <c r="G50" i="41" s="1"/>
  <c r="L49" i="41"/>
  <c r="M49" i="41"/>
  <c r="O49" i="41" s="1"/>
  <c r="AD46" i="41"/>
  <c r="AB46" i="41"/>
  <c r="AF46" i="41"/>
  <c r="T48" i="41"/>
  <c r="S48" i="41"/>
  <c r="AE47" i="41"/>
  <c r="P48" i="41"/>
  <c r="V48" i="41"/>
  <c r="U48" i="41"/>
  <c r="AE46" i="41"/>
  <c r="I51" i="35"/>
  <c r="J51" i="35" s="1"/>
  <c r="K51" i="35" s="1"/>
  <c r="G52" i="35" s="1"/>
  <c r="M51" i="35"/>
  <c r="L51" i="35"/>
  <c r="Y29" i="36"/>
  <c r="Z29" i="36"/>
  <c r="I30" i="36"/>
  <c r="J30" i="36" s="1"/>
  <c r="M30" i="36"/>
  <c r="O30" i="36" s="1"/>
  <c r="L30" i="36"/>
  <c r="W29" i="36"/>
  <c r="W48" i="43" l="1"/>
  <c r="AA48" i="43" s="1"/>
  <c r="X48" i="42"/>
  <c r="X48" i="41"/>
  <c r="Y48" i="41" s="1"/>
  <c r="Z48" i="41" s="1"/>
  <c r="M50" i="43"/>
  <c r="O50" i="43" s="1"/>
  <c r="L50" i="43"/>
  <c r="I50" i="43"/>
  <c r="J50" i="43" s="1"/>
  <c r="K50" i="43" s="1"/>
  <c r="G51" i="43" s="1"/>
  <c r="AB47" i="43"/>
  <c r="AF47" i="43"/>
  <c r="AD47" i="43"/>
  <c r="Y48" i="43"/>
  <c r="Z48" i="43" s="1"/>
  <c r="P49" i="43"/>
  <c r="V49" i="43"/>
  <c r="U49" i="43"/>
  <c r="T49" i="43"/>
  <c r="W49" i="43" s="1"/>
  <c r="AA49" i="43" s="1"/>
  <c r="S49" i="43"/>
  <c r="AE48" i="43"/>
  <c r="Y48" i="42"/>
  <c r="Z48" i="42" s="1"/>
  <c r="M50" i="42"/>
  <c r="O50" i="42" s="1"/>
  <c r="L50" i="42"/>
  <c r="I50" i="42"/>
  <c r="J50" i="42" s="1"/>
  <c r="K50" i="42" s="1"/>
  <c r="G51" i="42" s="1"/>
  <c r="AB47" i="42"/>
  <c r="AD47" i="42"/>
  <c r="AF47" i="42"/>
  <c r="W48" i="42"/>
  <c r="AA48" i="42" s="1"/>
  <c r="P49" i="42"/>
  <c r="V49" i="42"/>
  <c r="U49" i="42"/>
  <c r="T49" i="42"/>
  <c r="W49" i="42" s="1"/>
  <c r="AA49" i="42" s="1"/>
  <c r="S49" i="42"/>
  <c r="AB47" i="41"/>
  <c r="AF47" i="41"/>
  <c r="AD47" i="41"/>
  <c r="P49" i="41"/>
  <c r="V49" i="41"/>
  <c r="U49" i="41"/>
  <c r="I50" i="41"/>
  <c r="J50" i="41" s="1"/>
  <c r="L50" i="41"/>
  <c r="M50" i="41"/>
  <c r="O50" i="41" s="1"/>
  <c r="K50" i="41"/>
  <c r="G51" i="41" s="1"/>
  <c r="T49" i="41"/>
  <c r="S49" i="41"/>
  <c r="W48" i="41"/>
  <c r="AA48" i="41" s="1"/>
  <c r="I52" i="35"/>
  <c r="J52" i="35" s="1"/>
  <c r="K52" i="35"/>
  <c r="G53" i="35" s="1"/>
  <c r="M52" i="35"/>
  <c r="L52" i="35"/>
  <c r="T30" i="36"/>
  <c r="S30" i="36"/>
  <c r="AA29" i="36"/>
  <c r="AB29" i="36" s="1"/>
  <c r="AE29" i="36"/>
  <c r="U30" i="36"/>
  <c r="V30" i="36"/>
  <c r="P30" i="36"/>
  <c r="X30" i="36" s="1"/>
  <c r="K30" i="36"/>
  <c r="G31" i="36" s="1"/>
  <c r="AD29" i="36"/>
  <c r="X49" i="43" l="1"/>
  <c r="Y49" i="43" s="1"/>
  <c r="Z49" i="43" s="1"/>
  <c r="X49" i="42"/>
  <c r="X49" i="41"/>
  <c r="M51" i="43"/>
  <c r="O51" i="43" s="1"/>
  <c r="L51" i="43"/>
  <c r="I51" i="43"/>
  <c r="J51" i="43" s="1"/>
  <c r="K51" i="43" s="1"/>
  <c r="G52" i="43" s="1"/>
  <c r="AE49" i="43"/>
  <c r="AF48" i="43"/>
  <c r="AD48" i="43"/>
  <c r="AB48" i="43"/>
  <c r="T50" i="43"/>
  <c r="S50" i="43"/>
  <c r="V50" i="43"/>
  <c r="U50" i="43"/>
  <c r="P50" i="43"/>
  <c r="L51" i="42"/>
  <c r="I51" i="42"/>
  <c r="J51" i="42" s="1"/>
  <c r="K51" i="42" s="1"/>
  <c r="G52" i="42" s="1"/>
  <c r="M51" i="42"/>
  <c r="O51" i="42" s="1"/>
  <c r="Y49" i="42"/>
  <c r="Z49" i="42" s="1"/>
  <c r="AF48" i="42"/>
  <c r="AD48" i="42"/>
  <c r="AE49" i="42"/>
  <c r="T50" i="42"/>
  <c r="S50" i="42"/>
  <c r="V50" i="42"/>
  <c r="U50" i="42"/>
  <c r="P50" i="42"/>
  <c r="X50" i="42" s="1"/>
  <c r="AE48" i="42"/>
  <c r="AB48" i="42"/>
  <c r="Y49" i="41"/>
  <c r="Z49" i="41" s="1"/>
  <c r="AF48" i="41"/>
  <c r="AD48" i="41"/>
  <c r="T50" i="41"/>
  <c r="S50" i="41"/>
  <c r="AB48" i="41"/>
  <c r="AE48" i="41"/>
  <c r="V50" i="41"/>
  <c r="P50" i="41"/>
  <c r="U50" i="41"/>
  <c r="W49" i="41"/>
  <c r="AA49" i="41" s="1"/>
  <c r="L51" i="41"/>
  <c r="I51" i="41"/>
  <c r="J51" i="41" s="1"/>
  <c r="K51" i="41" s="1"/>
  <c r="G52" i="41" s="1"/>
  <c r="M51" i="41"/>
  <c r="O51" i="41" s="1"/>
  <c r="I53" i="35"/>
  <c r="J53" i="35" s="1"/>
  <c r="K53" i="35" s="1"/>
  <c r="G54" i="35" s="1"/>
  <c r="M53" i="35"/>
  <c r="L53" i="35"/>
  <c r="Y30" i="36"/>
  <c r="Z30" i="36"/>
  <c r="AF29" i="36"/>
  <c r="I31" i="36"/>
  <c r="J31" i="36" s="1"/>
  <c r="M31" i="36"/>
  <c r="O31" i="36" s="1"/>
  <c r="L31" i="36"/>
  <c r="W30" i="36"/>
  <c r="X50" i="43" l="1"/>
  <c r="Y50" i="43" s="1"/>
  <c r="Z50" i="43" s="1"/>
  <c r="W50" i="41"/>
  <c r="AA50" i="41" s="1"/>
  <c r="X50" i="41"/>
  <c r="I52" i="43"/>
  <c r="J52" i="43" s="1"/>
  <c r="K52" i="43" s="1"/>
  <c r="G53" i="43" s="1"/>
  <c r="M52" i="43"/>
  <c r="O52" i="43" s="1"/>
  <c r="L52" i="43"/>
  <c r="W50" i="43"/>
  <c r="AA50" i="43" s="1"/>
  <c r="AF49" i="43"/>
  <c r="AD49" i="43"/>
  <c r="AB49" i="43"/>
  <c r="T51" i="43"/>
  <c r="S51" i="43"/>
  <c r="U51" i="43"/>
  <c r="P51" i="43"/>
  <c r="X51" i="43" s="1"/>
  <c r="V51" i="43"/>
  <c r="AF49" i="42"/>
  <c r="AD49" i="42"/>
  <c r="AB49" i="42"/>
  <c r="I52" i="42"/>
  <c r="J52" i="42" s="1"/>
  <c r="M52" i="42"/>
  <c r="O52" i="42" s="1"/>
  <c r="L52" i="42"/>
  <c r="K52" i="42"/>
  <c r="G53" i="42" s="1"/>
  <c r="W50" i="42"/>
  <c r="AA50" i="42" s="1"/>
  <c r="Y50" i="42"/>
  <c r="Z50" i="42" s="1"/>
  <c r="V51" i="42"/>
  <c r="U51" i="42"/>
  <c r="P51" i="42"/>
  <c r="T51" i="42"/>
  <c r="W51" i="42" s="1"/>
  <c r="AA51" i="42" s="1"/>
  <c r="S51" i="42"/>
  <c r="Y50" i="41"/>
  <c r="Z50" i="41" s="1"/>
  <c r="AF49" i="41"/>
  <c r="AD49" i="41"/>
  <c r="AE49" i="41"/>
  <c r="AB49" i="41"/>
  <c r="T51" i="41"/>
  <c r="S51" i="41"/>
  <c r="V51" i="41"/>
  <c r="U51" i="41"/>
  <c r="P51" i="41"/>
  <c r="X51" i="41"/>
  <c r="I52" i="41"/>
  <c r="J52" i="41" s="1"/>
  <c r="K52" i="41" s="1"/>
  <c r="G53" i="41" s="1"/>
  <c r="L52" i="41"/>
  <c r="M52" i="41"/>
  <c r="O52" i="41" s="1"/>
  <c r="AE50" i="41"/>
  <c r="I54" i="35"/>
  <c r="J54" i="35" s="1"/>
  <c r="K54" i="35"/>
  <c r="G55" i="35" s="1"/>
  <c r="M54" i="35"/>
  <c r="L54" i="35"/>
  <c r="AA30" i="36"/>
  <c r="AB30" i="36" s="1"/>
  <c r="AE30" i="36"/>
  <c r="U31" i="36"/>
  <c r="V31" i="36"/>
  <c r="P31" i="36"/>
  <c r="X31" i="36" s="1"/>
  <c r="AD30" i="36"/>
  <c r="T31" i="36"/>
  <c r="S31" i="36"/>
  <c r="K31" i="36"/>
  <c r="G32" i="36" s="1"/>
  <c r="X51" i="42" l="1"/>
  <c r="W51" i="41"/>
  <c r="AA51" i="41" s="1"/>
  <c r="AD50" i="43"/>
  <c r="AF50" i="43"/>
  <c r="Y51" i="43"/>
  <c r="Z51" i="43" s="1"/>
  <c r="I53" i="43"/>
  <c r="J53" i="43" s="1"/>
  <c r="K53" i="43" s="1"/>
  <c r="G54" i="43" s="1"/>
  <c r="M53" i="43"/>
  <c r="O53" i="43" s="1"/>
  <c r="L53" i="43"/>
  <c r="W51" i="43"/>
  <c r="AA51" i="43" s="1"/>
  <c r="AE50" i="43"/>
  <c r="AB50" i="43"/>
  <c r="T52" i="43"/>
  <c r="S52" i="43"/>
  <c r="P52" i="43"/>
  <c r="X52" i="43" s="1"/>
  <c r="V52" i="43"/>
  <c r="U52" i="43"/>
  <c r="Y51" i="42"/>
  <c r="Z51" i="42" s="1"/>
  <c r="AD50" i="42"/>
  <c r="AF50" i="42"/>
  <c r="AB50" i="42"/>
  <c r="AE50" i="42"/>
  <c r="AE51" i="42"/>
  <c r="P52" i="42"/>
  <c r="X52" i="42" s="1"/>
  <c r="V52" i="42"/>
  <c r="U52" i="42"/>
  <c r="S52" i="42"/>
  <c r="T52" i="42"/>
  <c r="M53" i="42"/>
  <c r="O53" i="42" s="1"/>
  <c r="L53" i="42"/>
  <c r="I53" i="42"/>
  <c r="J53" i="42" s="1"/>
  <c r="K53" i="42" s="1"/>
  <c r="G54" i="42" s="1"/>
  <c r="M53" i="41"/>
  <c r="O53" i="41" s="1"/>
  <c r="L53" i="41"/>
  <c r="I53" i="41"/>
  <c r="J53" i="41" s="1"/>
  <c r="K53" i="41" s="1"/>
  <c r="G54" i="41" s="1"/>
  <c r="AD50" i="41"/>
  <c r="AB50" i="41"/>
  <c r="AF50" i="41"/>
  <c r="P52" i="41"/>
  <c r="U52" i="41"/>
  <c r="V52" i="41"/>
  <c r="AE51" i="41"/>
  <c r="S52" i="41"/>
  <c r="X52" i="41" s="1"/>
  <c r="T52" i="41"/>
  <c r="Y51" i="41"/>
  <c r="Z51" i="41" s="1"/>
  <c r="I55" i="35"/>
  <c r="J55" i="35" s="1"/>
  <c r="K55" i="35" s="1"/>
  <c r="G56" i="35" s="1"/>
  <c r="M55" i="35"/>
  <c r="L55" i="35"/>
  <c r="AF30" i="36"/>
  <c r="Y31" i="36"/>
  <c r="Z31" i="36"/>
  <c r="I32" i="36"/>
  <c r="J32" i="36" s="1"/>
  <c r="M32" i="36"/>
  <c r="O32" i="36" s="1"/>
  <c r="L32" i="36"/>
  <c r="W31" i="36"/>
  <c r="W52" i="43" l="1"/>
  <c r="AA52" i="43" s="1"/>
  <c r="W52" i="42"/>
  <c r="AA52" i="42" s="1"/>
  <c r="W52" i="41"/>
  <c r="AA52" i="41" s="1"/>
  <c r="Y52" i="43"/>
  <c r="Z52" i="43" s="1"/>
  <c r="I54" i="43"/>
  <c r="J54" i="43" s="1"/>
  <c r="K54" i="43" s="1"/>
  <c r="G55" i="43" s="1"/>
  <c r="M54" i="43"/>
  <c r="O54" i="43" s="1"/>
  <c r="L54" i="43"/>
  <c r="AB51" i="43"/>
  <c r="AF51" i="43"/>
  <c r="AD51" i="43"/>
  <c r="T53" i="43"/>
  <c r="S53" i="43"/>
  <c r="P53" i="43"/>
  <c r="V53" i="43"/>
  <c r="U53" i="43"/>
  <c r="AE52" i="43"/>
  <c r="AE51" i="43"/>
  <c r="Y52" i="42"/>
  <c r="Z52" i="42" s="1"/>
  <c r="M54" i="42"/>
  <c r="O54" i="42" s="1"/>
  <c r="L54" i="42"/>
  <c r="I54" i="42"/>
  <c r="J54" i="42" s="1"/>
  <c r="K54" i="42" s="1"/>
  <c r="G55" i="42" s="1"/>
  <c r="AB51" i="42"/>
  <c r="AF51" i="42"/>
  <c r="AD51" i="42"/>
  <c r="P53" i="42"/>
  <c r="X53" i="42" s="1"/>
  <c r="V53" i="42"/>
  <c r="U53" i="42"/>
  <c r="AE52" i="42"/>
  <c r="T53" i="42"/>
  <c r="S53" i="42"/>
  <c r="Y52" i="41"/>
  <c r="Z52" i="41" s="1"/>
  <c r="M54" i="41"/>
  <c r="O54" i="41" s="1"/>
  <c r="L54" i="41"/>
  <c r="I54" i="41"/>
  <c r="J54" i="41" s="1"/>
  <c r="K54" i="41" s="1"/>
  <c r="G55" i="41" s="1"/>
  <c r="AE52" i="41"/>
  <c r="T53" i="41"/>
  <c r="S53" i="41"/>
  <c r="AB51" i="41"/>
  <c r="AF51" i="41"/>
  <c r="AD51" i="41"/>
  <c r="P53" i="41"/>
  <c r="X53" i="41" s="1"/>
  <c r="V53" i="41"/>
  <c r="U53" i="41"/>
  <c r="I56" i="35"/>
  <c r="J56" i="35" s="1"/>
  <c r="K56" i="35" s="1"/>
  <c r="G57" i="35" s="1"/>
  <c r="M56" i="35"/>
  <c r="L56" i="35"/>
  <c r="T32" i="36"/>
  <c r="S32" i="36"/>
  <c r="AA31" i="36"/>
  <c r="AE31" i="36"/>
  <c r="AB31" i="36"/>
  <c r="AD31" i="36"/>
  <c r="AF31" i="36" s="1"/>
  <c r="U32" i="36"/>
  <c r="P32" i="36"/>
  <c r="X32" i="36" s="1"/>
  <c r="V32" i="36"/>
  <c r="K32" i="36"/>
  <c r="G33" i="36" s="1"/>
  <c r="X53" i="43" l="1"/>
  <c r="W53" i="42"/>
  <c r="AA53" i="42" s="1"/>
  <c r="Y53" i="43"/>
  <c r="Z53" i="43" s="1"/>
  <c r="M55" i="43"/>
  <c r="O55" i="43" s="1"/>
  <c r="L55" i="43"/>
  <c r="I55" i="43"/>
  <c r="J55" i="43" s="1"/>
  <c r="K55" i="43" s="1"/>
  <c r="G56" i="43" s="1"/>
  <c r="AF52" i="43"/>
  <c r="AD52" i="43"/>
  <c r="AB52" i="43"/>
  <c r="T54" i="43"/>
  <c r="S54" i="43"/>
  <c r="V54" i="43"/>
  <c r="P54" i="43"/>
  <c r="X54" i="43"/>
  <c r="U54" i="43"/>
  <c r="W53" i="43"/>
  <c r="AA53" i="43" s="1"/>
  <c r="Y53" i="42"/>
  <c r="Z53" i="42" s="1"/>
  <c r="L55" i="42"/>
  <c r="I55" i="42"/>
  <c r="J55" i="42" s="1"/>
  <c r="K55" i="42" s="1"/>
  <c r="G56" i="42" s="1"/>
  <c r="M55" i="42"/>
  <c r="O55" i="42" s="1"/>
  <c r="AF52" i="42"/>
  <c r="AB52" i="42"/>
  <c r="AD52" i="42"/>
  <c r="AE53" i="42"/>
  <c r="V54" i="42"/>
  <c r="U54" i="42"/>
  <c r="P54" i="42"/>
  <c r="T54" i="42"/>
  <c r="S54" i="42"/>
  <c r="X54" i="42" s="1"/>
  <c r="Y53" i="41"/>
  <c r="Z53" i="41" s="1"/>
  <c r="AF52" i="41"/>
  <c r="AB52" i="41"/>
  <c r="AD52" i="41"/>
  <c r="L55" i="41"/>
  <c r="M55" i="41"/>
  <c r="O55" i="41" s="1"/>
  <c r="I55" i="41"/>
  <c r="J55" i="41" s="1"/>
  <c r="K55" i="41" s="1"/>
  <c r="G56" i="41" s="1"/>
  <c r="T54" i="41"/>
  <c r="S54" i="41"/>
  <c r="V54" i="41"/>
  <c r="U54" i="41"/>
  <c r="P54" i="41"/>
  <c r="W53" i="41"/>
  <c r="AA53" i="41" s="1"/>
  <c r="I57" i="35"/>
  <c r="J57" i="35" s="1"/>
  <c r="K57" i="35" s="1"/>
  <c r="G58" i="35" s="1"/>
  <c r="M57" i="35"/>
  <c r="L57" i="35"/>
  <c r="Y32" i="36"/>
  <c r="Z32" i="36" s="1"/>
  <c r="I33" i="36"/>
  <c r="J33" i="36" s="1"/>
  <c r="M33" i="36"/>
  <c r="O33" i="36" s="1"/>
  <c r="L33" i="36"/>
  <c r="W32" i="36"/>
  <c r="W54" i="42" l="1"/>
  <c r="AA54" i="42" s="1"/>
  <c r="X54" i="41"/>
  <c r="I56" i="43"/>
  <c r="J56" i="43" s="1"/>
  <c r="K56" i="43" s="1"/>
  <c r="G57" i="43" s="1"/>
  <c r="M56" i="43"/>
  <c r="O56" i="43" s="1"/>
  <c r="L56" i="43"/>
  <c r="AF53" i="43"/>
  <c r="AD53" i="43"/>
  <c r="AB53" i="43"/>
  <c r="Y54" i="43"/>
  <c r="Z54" i="43" s="1"/>
  <c r="AE53" i="43"/>
  <c r="T55" i="43"/>
  <c r="S55" i="43"/>
  <c r="U55" i="43"/>
  <c r="P55" i="43"/>
  <c r="X55" i="43"/>
  <c r="V55" i="43"/>
  <c r="W54" i="43"/>
  <c r="AA54" i="43" s="1"/>
  <c r="I56" i="42"/>
  <c r="J56" i="42" s="1"/>
  <c r="K56" i="42" s="1"/>
  <c r="G57" i="42" s="1"/>
  <c r="M56" i="42"/>
  <c r="O56" i="42" s="1"/>
  <c r="L56" i="42"/>
  <c r="AF53" i="42"/>
  <c r="AD53" i="42"/>
  <c r="AB53" i="42"/>
  <c r="AE54" i="42"/>
  <c r="Y54" i="42"/>
  <c r="Z54" i="42" s="1"/>
  <c r="P55" i="42"/>
  <c r="V55" i="42"/>
  <c r="U55" i="42"/>
  <c r="T55" i="42"/>
  <c r="S55" i="42"/>
  <c r="X55" i="42" s="1"/>
  <c r="AF53" i="41"/>
  <c r="AD53" i="41"/>
  <c r="Y54" i="41"/>
  <c r="Z54" i="41" s="1"/>
  <c r="AE53" i="41"/>
  <c r="AB53" i="41"/>
  <c r="I56" i="41"/>
  <c r="J56" i="41" s="1"/>
  <c r="K56" i="41" s="1"/>
  <c r="G57" i="41" s="1"/>
  <c r="M56" i="41"/>
  <c r="O56" i="41" s="1"/>
  <c r="L56" i="41"/>
  <c r="W54" i="41"/>
  <c r="AA54" i="41" s="1"/>
  <c r="P55" i="41"/>
  <c r="V55" i="41"/>
  <c r="U55" i="41"/>
  <c r="T55" i="41"/>
  <c r="S55" i="41"/>
  <c r="X55" i="41" s="1"/>
  <c r="I58" i="35"/>
  <c r="J58" i="35" s="1"/>
  <c r="K58" i="35"/>
  <c r="G59" i="35" s="1"/>
  <c r="M58" i="35"/>
  <c r="L58" i="35"/>
  <c r="AD32" i="36"/>
  <c r="AA32" i="36"/>
  <c r="AB32" i="36" s="1"/>
  <c r="AE32" i="36"/>
  <c r="U33" i="36"/>
  <c r="P33" i="36"/>
  <c r="X33" i="36" s="1"/>
  <c r="V33" i="36"/>
  <c r="T33" i="36"/>
  <c r="S33" i="36"/>
  <c r="K33" i="36"/>
  <c r="G34" i="36" s="1"/>
  <c r="W55" i="42" l="1"/>
  <c r="AA55" i="42" s="1"/>
  <c r="I57" i="43"/>
  <c r="J57" i="43" s="1"/>
  <c r="K57" i="43" s="1"/>
  <c r="G58" i="43" s="1"/>
  <c r="M57" i="43"/>
  <c r="O57" i="43" s="1"/>
  <c r="L57" i="43"/>
  <c r="Y55" i="43"/>
  <c r="Z55" i="43" s="1"/>
  <c r="W55" i="43"/>
  <c r="AA55" i="43" s="1"/>
  <c r="AE54" i="43"/>
  <c r="AD54" i="43"/>
  <c r="AF54" i="43"/>
  <c r="AB54" i="43"/>
  <c r="T56" i="43"/>
  <c r="S56" i="43"/>
  <c r="P56" i="43"/>
  <c r="X56" i="43" s="1"/>
  <c r="V56" i="43"/>
  <c r="U56" i="43"/>
  <c r="AD54" i="42"/>
  <c r="AB54" i="42"/>
  <c r="AF54" i="42"/>
  <c r="AE55" i="42"/>
  <c r="P56" i="42"/>
  <c r="V56" i="42"/>
  <c r="U56" i="42"/>
  <c r="S56" i="42"/>
  <c r="T56" i="42"/>
  <c r="M57" i="42"/>
  <c r="O57" i="42" s="1"/>
  <c r="L57" i="42"/>
  <c r="I57" i="42"/>
  <c r="J57" i="42" s="1"/>
  <c r="K57" i="42" s="1"/>
  <c r="G58" i="42" s="1"/>
  <c r="Y55" i="42"/>
  <c r="Z55" i="42" s="1"/>
  <c r="M57" i="41"/>
  <c r="O57" i="41" s="1"/>
  <c r="L57" i="41"/>
  <c r="I57" i="41"/>
  <c r="J57" i="41" s="1"/>
  <c r="K57" i="41" s="1"/>
  <c r="G58" i="41" s="1"/>
  <c r="AD54" i="41"/>
  <c r="AB54" i="41"/>
  <c r="AF54" i="41"/>
  <c r="Y55" i="41"/>
  <c r="Z55" i="41" s="1"/>
  <c r="AE54" i="41"/>
  <c r="T56" i="41"/>
  <c r="W56" i="41" s="1"/>
  <c r="AA56" i="41" s="1"/>
  <c r="S56" i="41"/>
  <c r="W55" i="41"/>
  <c r="AA55" i="41" s="1"/>
  <c r="P56" i="41"/>
  <c r="U56" i="41"/>
  <c r="V56" i="41"/>
  <c r="I59" i="35"/>
  <c r="J59" i="35" s="1"/>
  <c r="K59" i="35"/>
  <c r="G60" i="35" s="1"/>
  <c r="M59" i="35"/>
  <c r="L59" i="35"/>
  <c r="I34" i="36"/>
  <c r="J34" i="36" s="1"/>
  <c r="M34" i="36"/>
  <c r="O34" i="36" s="1"/>
  <c r="L34" i="36"/>
  <c r="Y33" i="36"/>
  <c r="Z33" i="36" s="1"/>
  <c r="AF32" i="36"/>
  <c r="W33" i="36"/>
  <c r="W56" i="43" l="1"/>
  <c r="AA56" i="43" s="1"/>
  <c r="X56" i="42"/>
  <c r="X56" i="41"/>
  <c r="AF55" i="43"/>
  <c r="AD55" i="43"/>
  <c r="Y56" i="43"/>
  <c r="Z56" i="43" s="1"/>
  <c r="AE55" i="43"/>
  <c r="AB55" i="43"/>
  <c r="AE56" i="43"/>
  <c r="M58" i="43"/>
  <c r="O58" i="43" s="1"/>
  <c r="L58" i="43"/>
  <c r="I58" i="43"/>
  <c r="J58" i="43" s="1"/>
  <c r="K58" i="43" s="1"/>
  <c r="G59" i="43" s="1"/>
  <c r="T57" i="43"/>
  <c r="S57" i="43"/>
  <c r="P57" i="43"/>
  <c r="X57" i="43" s="1"/>
  <c r="V57" i="43"/>
  <c r="U57" i="43"/>
  <c r="Y56" i="42"/>
  <c r="Z56" i="42" s="1"/>
  <c r="M58" i="42"/>
  <c r="O58" i="42" s="1"/>
  <c r="L58" i="42"/>
  <c r="I58" i="42"/>
  <c r="J58" i="42" s="1"/>
  <c r="K58" i="42" s="1"/>
  <c r="G59" i="42" s="1"/>
  <c r="AB55" i="42"/>
  <c r="AD55" i="42"/>
  <c r="AF55" i="42"/>
  <c r="W56" i="42"/>
  <c r="AA56" i="42" s="1"/>
  <c r="P57" i="42"/>
  <c r="V57" i="42"/>
  <c r="U57" i="42"/>
  <c r="S57" i="42"/>
  <c r="T57" i="42"/>
  <c r="W57" i="42" s="1"/>
  <c r="AA57" i="42" s="1"/>
  <c r="Y56" i="41"/>
  <c r="Z56" i="41" s="1"/>
  <c r="M58" i="41"/>
  <c r="O58" i="41" s="1"/>
  <c r="L58" i="41"/>
  <c r="I58" i="41"/>
  <c r="J58" i="41" s="1"/>
  <c r="K58" i="41" s="1"/>
  <c r="G59" i="41" s="1"/>
  <c r="AB55" i="41"/>
  <c r="AF55" i="41"/>
  <c r="AD55" i="41"/>
  <c r="AE55" i="41"/>
  <c r="P57" i="41"/>
  <c r="X57" i="41" s="1"/>
  <c r="V57" i="41"/>
  <c r="U57" i="41"/>
  <c r="AE56" i="41"/>
  <c r="T57" i="41"/>
  <c r="S57" i="41"/>
  <c r="I60" i="35"/>
  <c r="J60" i="35" s="1"/>
  <c r="K60" i="35" s="1"/>
  <c r="G61" i="35" s="1"/>
  <c r="M60" i="35"/>
  <c r="L60" i="35"/>
  <c r="AD33" i="36"/>
  <c r="AA33" i="36"/>
  <c r="AB33" i="36" s="1"/>
  <c r="AE33" i="36"/>
  <c r="T34" i="36"/>
  <c r="S34" i="36"/>
  <c r="U34" i="36"/>
  <c r="P34" i="36"/>
  <c r="X34" i="36" s="1"/>
  <c r="V34" i="36"/>
  <c r="K34" i="36"/>
  <c r="G35" i="36" s="1"/>
  <c r="W57" i="43" l="1"/>
  <c r="AA57" i="43" s="1"/>
  <c r="X57" i="42"/>
  <c r="AD56" i="43"/>
  <c r="AB56" i="43"/>
  <c r="AF56" i="43"/>
  <c r="M59" i="43"/>
  <c r="O59" i="43" s="1"/>
  <c r="L59" i="43"/>
  <c r="I59" i="43"/>
  <c r="J59" i="43" s="1"/>
  <c r="K59" i="43" s="1"/>
  <c r="G60" i="43" s="1"/>
  <c r="Y57" i="43"/>
  <c r="Z57" i="43" s="1"/>
  <c r="AE57" i="43"/>
  <c r="T58" i="43"/>
  <c r="S58" i="43"/>
  <c r="V58" i="43"/>
  <c r="P58" i="43"/>
  <c r="X58" i="43"/>
  <c r="U58" i="43"/>
  <c r="L59" i="42"/>
  <c r="I59" i="42"/>
  <c r="J59" i="42" s="1"/>
  <c r="K59" i="42" s="1"/>
  <c r="G60" i="42" s="1"/>
  <c r="M59" i="42"/>
  <c r="O59" i="42" s="1"/>
  <c r="Y57" i="42"/>
  <c r="Z57" i="42" s="1"/>
  <c r="AF56" i="42"/>
  <c r="AD56" i="42"/>
  <c r="V58" i="42"/>
  <c r="U58" i="42"/>
  <c r="P58" i="42"/>
  <c r="X58" i="42" s="1"/>
  <c r="AE56" i="42"/>
  <c r="AB56" i="42"/>
  <c r="AE57" i="42"/>
  <c r="T58" i="42"/>
  <c r="S58" i="42"/>
  <c r="L59" i="41"/>
  <c r="M59" i="41"/>
  <c r="O59" i="41" s="1"/>
  <c r="I59" i="41"/>
  <c r="J59" i="41" s="1"/>
  <c r="K59" i="41" s="1"/>
  <c r="G60" i="41" s="1"/>
  <c r="Y57" i="41"/>
  <c r="Z57" i="41" s="1"/>
  <c r="AF56" i="41"/>
  <c r="AD56" i="41"/>
  <c r="AB56" i="41"/>
  <c r="W57" i="41"/>
  <c r="AA57" i="41" s="1"/>
  <c r="T58" i="41"/>
  <c r="S58" i="41"/>
  <c r="X58" i="41" s="1"/>
  <c r="V58" i="41"/>
  <c r="U58" i="41"/>
  <c r="P58" i="41"/>
  <c r="I61" i="35"/>
  <c r="J61" i="35" s="1"/>
  <c r="K61" i="35"/>
  <c r="G62" i="35" s="1"/>
  <c r="M61" i="35"/>
  <c r="L61" i="35"/>
  <c r="Y34" i="36"/>
  <c r="Z34" i="36" s="1"/>
  <c r="I35" i="36"/>
  <c r="J35" i="36" s="1"/>
  <c r="M35" i="36"/>
  <c r="O35" i="36" s="1"/>
  <c r="L35" i="36"/>
  <c r="W34" i="36"/>
  <c r="AF33" i="36"/>
  <c r="AF57" i="43" l="1"/>
  <c r="AD57" i="43"/>
  <c r="AB57" i="43"/>
  <c r="M60" i="43"/>
  <c r="O60" i="43" s="1"/>
  <c r="L60" i="43"/>
  <c r="I60" i="43"/>
  <c r="J60" i="43" s="1"/>
  <c r="K60" i="43" s="1"/>
  <c r="G61" i="43" s="1"/>
  <c r="T59" i="43"/>
  <c r="W59" i="43" s="1"/>
  <c r="AA59" i="43" s="1"/>
  <c r="S59" i="43"/>
  <c r="X59" i="43" s="1"/>
  <c r="Y58" i="43"/>
  <c r="Z58" i="43" s="1"/>
  <c r="U59" i="43"/>
  <c r="V59" i="43"/>
  <c r="P59" i="43"/>
  <c r="W58" i="43"/>
  <c r="AA58" i="43" s="1"/>
  <c r="AF57" i="42"/>
  <c r="AD57" i="42"/>
  <c r="AB57" i="42"/>
  <c r="L60" i="42"/>
  <c r="I60" i="42"/>
  <c r="J60" i="42" s="1"/>
  <c r="K60" i="42" s="1"/>
  <c r="G61" i="42" s="1"/>
  <c r="M60" i="42"/>
  <c r="O60" i="42" s="1"/>
  <c r="Y58" i="42"/>
  <c r="Z58" i="42" s="1"/>
  <c r="V59" i="42"/>
  <c r="U59" i="42"/>
  <c r="P59" i="42"/>
  <c r="W58" i="42"/>
  <c r="AA58" i="42" s="1"/>
  <c r="T59" i="42"/>
  <c r="S59" i="42"/>
  <c r="AF57" i="41"/>
  <c r="AD57" i="41"/>
  <c r="I60" i="41"/>
  <c r="J60" i="41" s="1"/>
  <c r="K60" i="41" s="1"/>
  <c r="G61" i="41" s="1"/>
  <c r="M60" i="41"/>
  <c r="O60" i="41" s="1"/>
  <c r="L60" i="41"/>
  <c r="Y58" i="41"/>
  <c r="Z58" i="41" s="1"/>
  <c r="W58" i="41"/>
  <c r="AA58" i="41" s="1"/>
  <c r="U59" i="41"/>
  <c r="P59" i="41"/>
  <c r="V59" i="41"/>
  <c r="X59" i="41"/>
  <c r="AE57" i="41"/>
  <c r="AB57" i="41"/>
  <c r="T59" i="41"/>
  <c r="S59" i="41"/>
  <c r="K62" i="35"/>
  <c r="G63" i="35" s="1"/>
  <c r="I62" i="35"/>
  <c r="J62" i="35" s="1"/>
  <c r="M62" i="35"/>
  <c r="L62" i="35"/>
  <c r="AD34" i="36"/>
  <c r="U35" i="36"/>
  <c r="P35" i="36"/>
  <c r="X35" i="36" s="1"/>
  <c r="V35" i="36"/>
  <c r="T35" i="36"/>
  <c r="W35" i="36" s="1"/>
  <c r="S35" i="36"/>
  <c r="K35" i="36"/>
  <c r="G36" i="36" s="1"/>
  <c r="AA34" i="36"/>
  <c r="AB34" i="36" s="1"/>
  <c r="AE34" i="36"/>
  <c r="X59" i="42" l="1"/>
  <c r="W59" i="42"/>
  <c r="AA59" i="42" s="1"/>
  <c r="I61" i="43"/>
  <c r="J61" i="43" s="1"/>
  <c r="M61" i="43"/>
  <c r="O61" i="43" s="1"/>
  <c r="L61" i="43"/>
  <c r="K61" i="43"/>
  <c r="G62" i="43" s="1"/>
  <c r="AD58" i="43"/>
  <c r="AF58" i="43"/>
  <c r="AE59" i="43"/>
  <c r="Y59" i="43"/>
  <c r="Z59" i="43" s="1"/>
  <c r="T60" i="43"/>
  <c r="S60" i="43"/>
  <c r="AE58" i="43"/>
  <c r="AB58" i="43"/>
  <c r="P60" i="43"/>
  <c r="X60" i="43" s="1"/>
  <c r="V60" i="43"/>
  <c r="U60" i="43"/>
  <c r="AD58" i="42"/>
  <c r="AF58" i="42"/>
  <c r="Y59" i="42"/>
  <c r="Z59" i="42" s="1"/>
  <c r="I61" i="42"/>
  <c r="J61" i="42" s="1"/>
  <c r="K61" i="42" s="1"/>
  <c r="G62" i="42" s="1"/>
  <c r="M61" i="42"/>
  <c r="O61" i="42" s="1"/>
  <c r="L61" i="42"/>
  <c r="P60" i="42"/>
  <c r="V60" i="42"/>
  <c r="U60" i="42"/>
  <c r="T60" i="42"/>
  <c r="W60" i="42" s="1"/>
  <c r="AA60" i="42" s="1"/>
  <c r="S60" i="42"/>
  <c r="X60" i="42" s="1"/>
  <c r="AB58" i="42"/>
  <c r="AE58" i="42"/>
  <c r="AD58" i="41"/>
  <c r="AF58" i="41"/>
  <c r="L61" i="41"/>
  <c r="I61" i="41"/>
  <c r="J61" i="41" s="1"/>
  <c r="K61" i="41" s="1"/>
  <c r="G62" i="41" s="1"/>
  <c r="M61" i="41"/>
  <c r="O61" i="41" s="1"/>
  <c r="T60" i="41"/>
  <c r="S60" i="41"/>
  <c r="P60" i="41"/>
  <c r="X60" i="41" s="1"/>
  <c r="U60" i="41"/>
  <c r="V60" i="41"/>
  <c r="AE58" i="41"/>
  <c r="AB58" i="41"/>
  <c r="Y59" i="41"/>
  <c r="Z59" i="41" s="1"/>
  <c r="W59" i="41"/>
  <c r="AA59" i="41" s="1"/>
  <c r="I63" i="35"/>
  <c r="J63" i="35" s="1"/>
  <c r="K63" i="35"/>
  <c r="G64" i="35" s="1"/>
  <c r="M63" i="35"/>
  <c r="L63" i="35"/>
  <c r="Y35" i="36"/>
  <c r="Z35" i="36" s="1"/>
  <c r="AA35" i="36"/>
  <c r="AE35" i="36"/>
  <c r="AF34" i="36"/>
  <c r="I36" i="36"/>
  <c r="J36" i="36" s="1"/>
  <c r="M36" i="36"/>
  <c r="O36" i="36" s="1"/>
  <c r="L36" i="36"/>
  <c r="W60" i="43" l="1"/>
  <c r="AA60" i="43" s="1"/>
  <c r="AE59" i="42"/>
  <c r="W60" i="41"/>
  <c r="AA60" i="41" s="1"/>
  <c r="AB59" i="43"/>
  <c r="AF59" i="43"/>
  <c r="AD59" i="43"/>
  <c r="Y60" i="43"/>
  <c r="Z60" i="43" s="1"/>
  <c r="M62" i="43"/>
  <c r="O62" i="43" s="1"/>
  <c r="L62" i="43"/>
  <c r="I62" i="43"/>
  <c r="J62" i="43" s="1"/>
  <c r="K62" i="43" s="1"/>
  <c r="G63" i="43" s="1"/>
  <c r="P61" i="43"/>
  <c r="V61" i="43"/>
  <c r="U61" i="43"/>
  <c r="AE60" i="43"/>
  <c r="T61" i="43"/>
  <c r="W61" i="43" s="1"/>
  <c r="AA61" i="43" s="1"/>
  <c r="S61" i="43"/>
  <c r="M62" i="42"/>
  <c r="O62" i="42" s="1"/>
  <c r="L62" i="42"/>
  <c r="I62" i="42"/>
  <c r="J62" i="42" s="1"/>
  <c r="K62" i="42" s="1"/>
  <c r="G63" i="42" s="1"/>
  <c r="AD59" i="42"/>
  <c r="AF59" i="42"/>
  <c r="AB59" i="42"/>
  <c r="Y60" i="42"/>
  <c r="Z60" i="42" s="1"/>
  <c r="S61" i="42"/>
  <c r="T61" i="42"/>
  <c r="AE60" i="42"/>
  <c r="P61" i="42"/>
  <c r="U61" i="42"/>
  <c r="V61" i="42"/>
  <c r="Y60" i="41"/>
  <c r="Z60" i="41" s="1"/>
  <c r="M62" i="41"/>
  <c r="O62" i="41" s="1"/>
  <c r="L62" i="41"/>
  <c r="I62" i="41"/>
  <c r="J62" i="41" s="1"/>
  <c r="K62" i="41" s="1"/>
  <c r="G63" i="41" s="1"/>
  <c r="AB59" i="41"/>
  <c r="AF59" i="41"/>
  <c r="AD59" i="41"/>
  <c r="P61" i="41"/>
  <c r="X61" i="41" s="1"/>
  <c r="V61" i="41"/>
  <c r="U61" i="41"/>
  <c r="AE59" i="41"/>
  <c r="AE60" i="41"/>
  <c r="T61" i="41"/>
  <c r="S61" i="41"/>
  <c r="I64" i="35"/>
  <c r="J64" i="35" s="1"/>
  <c r="K64" i="35" s="1"/>
  <c r="G65" i="35" s="1"/>
  <c r="M64" i="35"/>
  <c r="L64" i="35"/>
  <c r="AB35" i="36"/>
  <c r="AD35" i="36"/>
  <c r="AF35" i="36" s="1"/>
  <c r="T36" i="36"/>
  <c r="S36" i="36"/>
  <c r="P36" i="36"/>
  <c r="X36" i="36" s="1"/>
  <c r="V36" i="36"/>
  <c r="U36" i="36"/>
  <c r="K36" i="36"/>
  <c r="G37" i="36" s="1"/>
  <c r="X61" i="43" l="1"/>
  <c r="Y61" i="43" s="1"/>
  <c r="Z61" i="43" s="1"/>
  <c r="X61" i="42"/>
  <c r="AF60" i="43"/>
  <c r="AB60" i="43"/>
  <c r="AD60" i="43"/>
  <c r="AE61" i="43"/>
  <c r="T62" i="43"/>
  <c r="W62" i="43" s="1"/>
  <c r="AA62" i="43" s="1"/>
  <c r="S62" i="43"/>
  <c r="M63" i="43"/>
  <c r="O63" i="43" s="1"/>
  <c r="L63" i="43"/>
  <c r="I63" i="43"/>
  <c r="J63" i="43" s="1"/>
  <c r="K63" i="43" s="1"/>
  <c r="G64" i="43" s="1"/>
  <c r="V62" i="43"/>
  <c r="U62" i="43"/>
  <c r="P62" i="43"/>
  <c r="M63" i="42"/>
  <c r="O63" i="42" s="1"/>
  <c r="L63" i="42"/>
  <c r="I63" i="42"/>
  <c r="J63" i="42" s="1"/>
  <c r="K63" i="42" s="1"/>
  <c r="G64" i="42" s="1"/>
  <c r="Y61" i="42"/>
  <c r="Z61" i="42" s="1"/>
  <c r="W61" i="42"/>
  <c r="AA61" i="42" s="1"/>
  <c r="AB60" i="42"/>
  <c r="AF60" i="42"/>
  <c r="AD60" i="42"/>
  <c r="T62" i="42"/>
  <c r="S62" i="42"/>
  <c r="P62" i="42"/>
  <c r="X62" i="42" s="1"/>
  <c r="V62" i="42"/>
  <c r="U62" i="42"/>
  <c r="Y61" i="41"/>
  <c r="Z61" i="41" s="1"/>
  <c r="AF60" i="41"/>
  <c r="AD60" i="41"/>
  <c r="AB60" i="41"/>
  <c r="L63" i="41"/>
  <c r="I63" i="41"/>
  <c r="J63" i="41" s="1"/>
  <c r="K63" i="41" s="1"/>
  <c r="G64" i="41" s="1"/>
  <c r="M63" i="41"/>
  <c r="O63" i="41" s="1"/>
  <c r="V62" i="41"/>
  <c r="U62" i="41"/>
  <c r="P62" i="41"/>
  <c r="T62" i="41"/>
  <c r="W62" i="41" s="1"/>
  <c r="AA62" i="41" s="1"/>
  <c r="S62" i="41"/>
  <c r="X62" i="41" s="1"/>
  <c r="W61" i="41"/>
  <c r="AA61" i="41" s="1"/>
  <c r="I65" i="35"/>
  <c r="J65" i="35" s="1"/>
  <c r="K65" i="35" s="1"/>
  <c r="G66" i="35" s="1"/>
  <c r="M65" i="35"/>
  <c r="L65" i="35"/>
  <c r="Y36" i="36"/>
  <c r="Z36" i="36" s="1"/>
  <c r="W36" i="36"/>
  <c r="I37" i="36"/>
  <c r="J37" i="36" s="1"/>
  <c r="M37" i="36"/>
  <c r="O37" i="36" s="1"/>
  <c r="L37" i="36"/>
  <c r="K37" i="36"/>
  <c r="G38" i="36" s="1"/>
  <c r="X62" i="43" l="1"/>
  <c r="Y62" i="43" s="1"/>
  <c r="Z62" i="43" s="1"/>
  <c r="I64" i="43"/>
  <c r="J64" i="43" s="1"/>
  <c r="K64" i="43" s="1"/>
  <c r="G65" i="43" s="1"/>
  <c r="M64" i="43"/>
  <c r="O64" i="43" s="1"/>
  <c r="L64" i="43"/>
  <c r="AE62" i="43"/>
  <c r="U63" i="43"/>
  <c r="P63" i="43"/>
  <c r="V63" i="43"/>
  <c r="AF61" i="43"/>
  <c r="AD61" i="43"/>
  <c r="AB61" i="43"/>
  <c r="T63" i="43"/>
  <c r="S63" i="43"/>
  <c r="Y62" i="42"/>
  <c r="Z62" i="42" s="1"/>
  <c r="AF61" i="42"/>
  <c r="AD61" i="42"/>
  <c r="L64" i="42"/>
  <c r="I64" i="42"/>
  <c r="J64" i="42" s="1"/>
  <c r="K64" i="42" s="1"/>
  <c r="G65" i="42" s="1"/>
  <c r="M64" i="42"/>
  <c r="O64" i="42" s="1"/>
  <c r="T63" i="42"/>
  <c r="S63" i="42"/>
  <c r="X63" i="42" s="1"/>
  <c r="AE61" i="42"/>
  <c r="AB61" i="42"/>
  <c r="W62" i="42"/>
  <c r="AA62" i="42" s="1"/>
  <c r="V63" i="42"/>
  <c r="U63" i="42"/>
  <c r="P63" i="42"/>
  <c r="I64" i="41"/>
  <c r="J64" i="41" s="1"/>
  <c r="M64" i="41"/>
  <c r="O64" i="41" s="1"/>
  <c r="L64" i="41"/>
  <c r="K64" i="41"/>
  <c r="G65" i="41" s="1"/>
  <c r="Y62" i="41"/>
  <c r="Z62" i="41" s="1"/>
  <c r="AE61" i="41"/>
  <c r="AB61" i="41"/>
  <c r="T63" i="41"/>
  <c r="S63" i="41"/>
  <c r="AE62" i="41"/>
  <c r="V63" i="41"/>
  <c r="U63" i="41"/>
  <c r="P63" i="41"/>
  <c r="AF61" i="41"/>
  <c r="AD61" i="41"/>
  <c r="I66" i="35"/>
  <c r="J66" i="35" s="1"/>
  <c r="K66" i="35" s="1"/>
  <c r="G67" i="35" s="1"/>
  <c r="M66" i="35"/>
  <c r="L66" i="35"/>
  <c r="AD36" i="36"/>
  <c r="P37" i="36"/>
  <c r="X37" i="36" s="1"/>
  <c r="V37" i="36"/>
  <c r="U37" i="36"/>
  <c r="T37" i="36"/>
  <c r="W37" i="36" s="1"/>
  <c r="S37" i="36"/>
  <c r="AA36" i="36"/>
  <c r="AB36" i="36" s="1"/>
  <c r="AE36" i="36"/>
  <c r="L38" i="36"/>
  <c r="I38" i="36"/>
  <c r="J38" i="36" s="1"/>
  <c r="K38" i="36"/>
  <c r="G39" i="36" s="1"/>
  <c r="M38" i="36"/>
  <c r="O38" i="36" s="1"/>
  <c r="X63" i="43" l="1"/>
  <c r="W63" i="43"/>
  <c r="AA63" i="43" s="1"/>
  <c r="X63" i="41"/>
  <c r="I65" i="43"/>
  <c r="J65" i="43" s="1"/>
  <c r="K65" i="43" s="1"/>
  <c r="G66" i="43" s="1"/>
  <c r="M65" i="43"/>
  <c r="O65" i="43" s="1"/>
  <c r="L65" i="43"/>
  <c r="AD62" i="43"/>
  <c r="AB62" i="43"/>
  <c r="AF62" i="43"/>
  <c r="AE63" i="43"/>
  <c r="P64" i="43"/>
  <c r="U64" i="43"/>
  <c r="V64" i="43"/>
  <c r="T64" i="43"/>
  <c r="W64" i="43" s="1"/>
  <c r="AA64" i="43" s="1"/>
  <c r="S64" i="43"/>
  <c r="Y63" i="43"/>
  <c r="Z63" i="43" s="1"/>
  <c r="Y63" i="42"/>
  <c r="Z63" i="42" s="1"/>
  <c r="I65" i="42"/>
  <c r="J65" i="42" s="1"/>
  <c r="K65" i="42" s="1"/>
  <c r="G66" i="42" s="1"/>
  <c r="L65" i="42"/>
  <c r="M65" i="42"/>
  <c r="O65" i="42" s="1"/>
  <c r="AF62" i="42"/>
  <c r="AD62" i="42"/>
  <c r="T64" i="42"/>
  <c r="S64" i="42"/>
  <c r="X64" i="42" s="1"/>
  <c r="AE62" i="42"/>
  <c r="AB62" i="42"/>
  <c r="W63" i="42"/>
  <c r="AA63" i="42" s="1"/>
  <c r="V64" i="42"/>
  <c r="U64" i="42"/>
  <c r="P64" i="42"/>
  <c r="Y63" i="41"/>
  <c r="Z63" i="41" s="1"/>
  <c r="AD62" i="41"/>
  <c r="AB62" i="41"/>
  <c r="AF62" i="41"/>
  <c r="T64" i="41"/>
  <c r="S64" i="41"/>
  <c r="P64" i="41"/>
  <c r="X64" i="41" s="1"/>
  <c r="U64" i="41"/>
  <c r="V64" i="41"/>
  <c r="I65" i="41"/>
  <c r="J65" i="41" s="1"/>
  <c r="K65" i="41" s="1"/>
  <c r="G66" i="41" s="1"/>
  <c r="L65" i="41"/>
  <c r="M65" i="41"/>
  <c r="O65" i="41" s="1"/>
  <c r="W63" i="41"/>
  <c r="AA63" i="41" s="1"/>
  <c r="I67" i="35"/>
  <c r="J67" i="35" s="1"/>
  <c r="K67" i="35"/>
  <c r="G68" i="35" s="1"/>
  <c r="M67" i="35"/>
  <c r="L67" i="35"/>
  <c r="Y37" i="36"/>
  <c r="Z37" i="36" s="1"/>
  <c r="V38" i="36"/>
  <c r="U38" i="36"/>
  <c r="P38" i="36"/>
  <c r="AA37" i="36"/>
  <c r="AE37" i="36"/>
  <c r="L39" i="36"/>
  <c r="M39" i="36"/>
  <c r="O39" i="36" s="1"/>
  <c r="I39" i="36"/>
  <c r="J39" i="36" s="1"/>
  <c r="T38" i="36"/>
  <c r="S38" i="36"/>
  <c r="AF36" i="36"/>
  <c r="X64" i="43" l="1"/>
  <c r="Y64" i="43" s="1"/>
  <c r="Z64" i="43" s="1"/>
  <c r="W64" i="41"/>
  <c r="AA64" i="41" s="1"/>
  <c r="AE64" i="43"/>
  <c r="T65" i="43"/>
  <c r="S65" i="43"/>
  <c r="P65" i="43"/>
  <c r="V65" i="43"/>
  <c r="U65" i="43"/>
  <c r="AB63" i="43"/>
  <c r="AF63" i="43"/>
  <c r="AD63" i="43"/>
  <c r="M66" i="43"/>
  <c r="O66" i="43" s="1"/>
  <c r="L66" i="43"/>
  <c r="I66" i="43"/>
  <c r="J66" i="43" s="1"/>
  <c r="K66" i="43" s="1"/>
  <c r="G67" i="43" s="1"/>
  <c r="M66" i="42"/>
  <c r="O66" i="42" s="1"/>
  <c r="I66" i="42"/>
  <c r="J66" i="42" s="1"/>
  <c r="L66" i="42"/>
  <c r="K66" i="42"/>
  <c r="G67" i="42" s="1"/>
  <c r="Y64" i="42"/>
  <c r="Z64" i="42" s="1"/>
  <c r="AD63" i="42"/>
  <c r="AB63" i="42"/>
  <c r="AF63" i="42"/>
  <c r="AE63" i="42"/>
  <c r="P65" i="42"/>
  <c r="U65" i="42"/>
  <c r="V65" i="42"/>
  <c r="W64" i="42"/>
  <c r="AA64" i="42" s="1"/>
  <c r="T65" i="42"/>
  <c r="S65" i="42"/>
  <c r="AD63" i="41"/>
  <c r="AF63" i="41"/>
  <c r="M66" i="41"/>
  <c r="O66" i="41" s="1"/>
  <c r="L66" i="41"/>
  <c r="I66" i="41"/>
  <c r="J66" i="41" s="1"/>
  <c r="K66" i="41" s="1"/>
  <c r="G67" i="41" s="1"/>
  <c r="AE64" i="41"/>
  <c r="P65" i="41"/>
  <c r="X65" i="41" s="1"/>
  <c r="V65" i="41"/>
  <c r="U65" i="41"/>
  <c r="AB63" i="41"/>
  <c r="AE63" i="41"/>
  <c r="Y64" i="41"/>
  <c r="Z64" i="41" s="1"/>
  <c r="T65" i="41"/>
  <c r="S65" i="41"/>
  <c r="I68" i="35"/>
  <c r="J68" i="35" s="1"/>
  <c r="K68" i="35" s="1"/>
  <c r="G69" i="35" s="1"/>
  <c r="M68" i="35"/>
  <c r="L68" i="35"/>
  <c r="X38" i="36"/>
  <c r="W38" i="36"/>
  <c r="AE38" i="36" s="1"/>
  <c r="Y38" i="36"/>
  <c r="Z38" i="36" s="1"/>
  <c r="AB37" i="36"/>
  <c r="AD37" i="36"/>
  <c r="AF37" i="36" s="1"/>
  <c r="K39" i="36"/>
  <c r="G40" i="36" s="1"/>
  <c r="V39" i="36"/>
  <c r="X39" i="36"/>
  <c r="U39" i="36"/>
  <c r="P39" i="36"/>
  <c r="AA38" i="36"/>
  <c r="T39" i="36"/>
  <c r="S39" i="36"/>
  <c r="W65" i="43" l="1"/>
  <c r="AA65" i="43" s="1"/>
  <c r="X65" i="43"/>
  <c r="Y65" i="43" s="1"/>
  <c r="Z65" i="43" s="1"/>
  <c r="X65" i="42"/>
  <c r="AF64" i="43"/>
  <c r="AD64" i="43"/>
  <c r="AB64" i="43"/>
  <c r="V66" i="43"/>
  <c r="U66" i="43"/>
  <c r="P66" i="43"/>
  <c r="M67" i="43"/>
  <c r="O67" i="43" s="1"/>
  <c r="L67" i="43"/>
  <c r="I67" i="43"/>
  <c r="J67" i="43" s="1"/>
  <c r="K67" i="43" s="1"/>
  <c r="G68" i="43" s="1"/>
  <c r="T66" i="43"/>
  <c r="S66" i="43"/>
  <c r="X66" i="43" s="1"/>
  <c r="AE65" i="43"/>
  <c r="AF64" i="42"/>
  <c r="AD64" i="42"/>
  <c r="Y65" i="42"/>
  <c r="Z65" i="42" s="1"/>
  <c r="M67" i="42"/>
  <c r="O67" i="42" s="1"/>
  <c r="L67" i="42"/>
  <c r="I67" i="42"/>
  <c r="J67" i="42" s="1"/>
  <c r="K67" i="42" s="1"/>
  <c r="G68" i="42" s="1"/>
  <c r="AB64" i="42"/>
  <c r="AE64" i="42"/>
  <c r="T66" i="42"/>
  <c r="S66" i="42"/>
  <c r="W65" i="42"/>
  <c r="AA65" i="42" s="1"/>
  <c r="P66" i="42"/>
  <c r="X66" i="42" s="1"/>
  <c r="V66" i="42"/>
  <c r="U66" i="42"/>
  <c r="Y65" i="41"/>
  <c r="Z65" i="41" s="1"/>
  <c r="L67" i="41"/>
  <c r="M67" i="41"/>
  <c r="O67" i="41" s="1"/>
  <c r="I67" i="41"/>
  <c r="J67" i="41" s="1"/>
  <c r="K67" i="41" s="1"/>
  <c r="G68" i="41" s="1"/>
  <c r="T66" i="41"/>
  <c r="S66" i="41"/>
  <c r="AF64" i="41"/>
  <c r="AD64" i="41"/>
  <c r="AB64" i="41"/>
  <c r="V66" i="41"/>
  <c r="U66" i="41"/>
  <c r="P66" i="41"/>
  <c r="W65" i="41"/>
  <c r="AA65" i="41" s="1"/>
  <c r="I69" i="35"/>
  <c r="J69" i="35" s="1"/>
  <c r="K69" i="35"/>
  <c r="G70" i="35" s="1"/>
  <c r="M69" i="35"/>
  <c r="L69" i="35"/>
  <c r="AD38" i="36"/>
  <c r="AF38" i="36" s="1"/>
  <c r="AB38" i="36"/>
  <c r="W39" i="36"/>
  <c r="Y39" i="36"/>
  <c r="Z39" i="36" s="1"/>
  <c r="L40" i="36"/>
  <c r="M40" i="36"/>
  <c r="O40" i="36" s="1"/>
  <c r="K40" i="36"/>
  <c r="G41" i="36" s="1"/>
  <c r="I40" i="36"/>
  <c r="J40" i="36" s="1"/>
  <c r="W66" i="43" l="1"/>
  <c r="AA66" i="43" s="1"/>
  <c r="W66" i="42"/>
  <c r="AA66" i="42" s="1"/>
  <c r="X66" i="41"/>
  <c r="W66" i="41"/>
  <c r="AA66" i="41" s="1"/>
  <c r="Y66" i="43"/>
  <c r="Z66" i="43" s="1"/>
  <c r="I68" i="43"/>
  <c r="J68" i="43" s="1"/>
  <c r="K68" i="43" s="1"/>
  <c r="G69" i="43" s="1"/>
  <c r="M68" i="43"/>
  <c r="O68" i="43" s="1"/>
  <c r="L68" i="43"/>
  <c r="U67" i="43"/>
  <c r="P67" i="43"/>
  <c r="V67" i="43"/>
  <c r="AE66" i="43"/>
  <c r="T67" i="43"/>
  <c r="S67" i="43"/>
  <c r="X67" i="43" s="1"/>
  <c r="AF65" i="43"/>
  <c r="AD65" i="43"/>
  <c r="AB65" i="43"/>
  <c r="Y66" i="42"/>
  <c r="Z66" i="42" s="1"/>
  <c r="AF65" i="42"/>
  <c r="AD65" i="42"/>
  <c r="AB65" i="42"/>
  <c r="L68" i="42"/>
  <c r="I68" i="42"/>
  <c r="J68" i="42" s="1"/>
  <c r="K68" i="42" s="1"/>
  <c r="G69" i="42" s="1"/>
  <c r="M68" i="42"/>
  <c r="O68" i="42" s="1"/>
  <c r="V67" i="42"/>
  <c r="U67" i="42"/>
  <c r="P67" i="42"/>
  <c r="T67" i="42"/>
  <c r="S67" i="42"/>
  <c r="AE66" i="42"/>
  <c r="AE65" i="42"/>
  <c r="Y66" i="41"/>
  <c r="Z66" i="41" s="1"/>
  <c r="I68" i="41"/>
  <c r="J68" i="41" s="1"/>
  <c r="K68" i="41" s="1"/>
  <c r="G69" i="41" s="1"/>
  <c r="M68" i="41"/>
  <c r="O68" i="41" s="1"/>
  <c r="L68" i="41"/>
  <c r="AE65" i="41"/>
  <c r="AB65" i="41"/>
  <c r="AE66" i="41"/>
  <c r="V67" i="41"/>
  <c r="U67" i="41"/>
  <c r="P67" i="41"/>
  <c r="T67" i="41"/>
  <c r="S67" i="41"/>
  <c r="AF65" i="41"/>
  <c r="AD65" i="41"/>
  <c r="I70" i="35"/>
  <c r="J70" i="35" s="1"/>
  <c r="K70" i="35"/>
  <c r="G71" i="35" s="1"/>
  <c r="M70" i="35"/>
  <c r="L70" i="35"/>
  <c r="V40" i="36"/>
  <c r="U40" i="36"/>
  <c r="P40" i="36"/>
  <c r="X40" i="36" s="1"/>
  <c r="L41" i="36"/>
  <c r="M41" i="36"/>
  <c r="O41" i="36" s="1"/>
  <c r="I41" i="36"/>
  <c r="J41" i="36" s="1"/>
  <c r="AE39" i="36"/>
  <c r="AA39" i="36"/>
  <c r="AB39" i="36" s="1"/>
  <c r="AD39" i="36"/>
  <c r="AF39" i="36" s="1"/>
  <c r="S40" i="36"/>
  <c r="T40" i="36"/>
  <c r="W67" i="42" l="1"/>
  <c r="AA67" i="42" s="1"/>
  <c r="X67" i="42"/>
  <c r="Y67" i="42" s="1"/>
  <c r="Z67" i="42" s="1"/>
  <c r="X67" i="41"/>
  <c r="W67" i="41"/>
  <c r="AA67" i="41" s="1"/>
  <c r="I69" i="43"/>
  <c r="J69" i="43" s="1"/>
  <c r="M69" i="43"/>
  <c r="O69" i="43" s="1"/>
  <c r="L69" i="43"/>
  <c r="K69" i="43"/>
  <c r="G70" i="43" s="1"/>
  <c r="AD66" i="43"/>
  <c r="AB66" i="43"/>
  <c r="AF66" i="43"/>
  <c r="Y67" i="43"/>
  <c r="Z67" i="43" s="1"/>
  <c r="W67" i="43"/>
  <c r="AA67" i="43" s="1"/>
  <c r="T68" i="43"/>
  <c r="S68" i="43"/>
  <c r="P68" i="43"/>
  <c r="V68" i="43"/>
  <c r="U68" i="43"/>
  <c r="I69" i="42"/>
  <c r="J69" i="42" s="1"/>
  <c r="M69" i="42"/>
  <c r="O69" i="42" s="1"/>
  <c r="L69" i="42"/>
  <c r="K69" i="42"/>
  <c r="G70" i="42" s="1"/>
  <c r="AE67" i="42"/>
  <c r="AF66" i="42"/>
  <c r="AD66" i="42"/>
  <c r="AB66" i="42"/>
  <c r="T68" i="42"/>
  <c r="S68" i="42"/>
  <c r="V68" i="42"/>
  <c r="U68" i="42"/>
  <c r="P68" i="42"/>
  <c r="Y67" i="41"/>
  <c r="Z67" i="41" s="1"/>
  <c r="AE67" i="41"/>
  <c r="S68" i="41"/>
  <c r="T68" i="41"/>
  <c r="W68" i="41" s="1"/>
  <c r="AA68" i="41" s="1"/>
  <c r="K69" i="41"/>
  <c r="G70" i="41" s="1"/>
  <c r="M69" i="41"/>
  <c r="O69" i="41" s="1"/>
  <c r="L69" i="41"/>
  <c r="I69" i="41"/>
  <c r="J69" i="41" s="1"/>
  <c r="P68" i="41"/>
  <c r="U68" i="41"/>
  <c r="V68" i="41"/>
  <c r="AD66" i="41"/>
  <c r="AB66" i="41"/>
  <c r="AF66" i="41"/>
  <c r="I71" i="35"/>
  <c r="J71" i="35" s="1"/>
  <c r="K71" i="35"/>
  <c r="G72" i="35" s="1"/>
  <c r="M71" i="35"/>
  <c r="L71" i="35"/>
  <c r="W40" i="36"/>
  <c r="Y40" i="36"/>
  <c r="Z40" i="36" s="1"/>
  <c r="AA40" i="36"/>
  <c r="AE40" i="36"/>
  <c r="K41" i="36"/>
  <c r="G42" i="36" s="1"/>
  <c r="V41" i="36"/>
  <c r="U41" i="36"/>
  <c r="P41" i="36"/>
  <c r="X41" i="36" s="1"/>
  <c r="T41" i="36"/>
  <c r="S41" i="36"/>
  <c r="X68" i="43" l="1"/>
  <c r="X68" i="42"/>
  <c r="X68" i="41"/>
  <c r="Y68" i="43"/>
  <c r="Z68" i="43" s="1"/>
  <c r="M70" i="43"/>
  <c r="O70" i="43" s="1"/>
  <c r="L70" i="43"/>
  <c r="I70" i="43"/>
  <c r="J70" i="43" s="1"/>
  <c r="K70" i="43" s="1"/>
  <c r="G71" i="43" s="1"/>
  <c r="P69" i="43"/>
  <c r="V69" i="43"/>
  <c r="U69" i="43"/>
  <c r="AB67" i="43"/>
  <c r="AF67" i="43"/>
  <c r="AD67" i="43"/>
  <c r="W68" i="43"/>
  <c r="AA68" i="43" s="1"/>
  <c r="T69" i="43"/>
  <c r="W69" i="43" s="1"/>
  <c r="AA69" i="43" s="1"/>
  <c r="S69" i="43"/>
  <c r="AE67" i="43"/>
  <c r="T69" i="42"/>
  <c r="S69" i="42"/>
  <c r="Y68" i="42"/>
  <c r="Z68" i="42" s="1"/>
  <c r="W68" i="42"/>
  <c r="AA68" i="42" s="1"/>
  <c r="P69" i="42"/>
  <c r="X69" i="42" s="1"/>
  <c r="V69" i="42"/>
  <c r="U69" i="42"/>
  <c r="AD67" i="42"/>
  <c r="AB67" i="42"/>
  <c r="AF67" i="42"/>
  <c r="M70" i="42"/>
  <c r="O70" i="42" s="1"/>
  <c r="L70" i="42"/>
  <c r="I70" i="42"/>
  <c r="J70" i="42" s="1"/>
  <c r="K70" i="42" s="1"/>
  <c r="G71" i="42" s="1"/>
  <c r="Y68" i="41"/>
  <c r="Z68" i="41" s="1"/>
  <c r="AB67" i="41"/>
  <c r="AD67" i="41"/>
  <c r="AF67" i="41"/>
  <c r="M70" i="41"/>
  <c r="O70" i="41" s="1"/>
  <c r="L70" i="41"/>
  <c r="I70" i="41"/>
  <c r="J70" i="41" s="1"/>
  <c r="K70" i="41" s="1"/>
  <c r="G71" i="41" s="1"/>
  <c r="AE68" i="41"/>
  <c r="P69" i="41"/>
  <c r="X69" i="41" s="1"/>
  <c r="V69" i="41"/>
  <c r="U69" i="41"/>
  <c r="T69" i="41"/>
  <c r="W69" i="41" s="1"/>
  <c r="AA69" i="41" s="1"/>
  <c r="S69" i="41"/>
  <c r="I72" i="35"/>
  <c r="J72" i="35" s="1"/>
  <c r="K72" i="35" s="1"/>
  <c r="G73" i="35" s="1"/>
  <c r="M72" i="35"/>
  <c r="L72" i="35"/>
  <c r="W41" i="36"/>
  <c r="AD40" i="36"/>
  <c r="AF40" i="36" s="1"/>
  <c r="AB40" i="36"/>
  <c r="AE41" i="36"/>
  <c r="AA41" i="36"/>
  <c r="Y41" i="36"/>
  <c r="Z41" i="36" s="1"/>
  <c r="L42" i="36"/>
  <c r="K42" i="36"/>
  <c r="G43" i="36" s="1"/>
  <c r="M42" i="36"/>
  <c r="O42" i="36" s="1"/>
  <c r="I42" i="36"/>
  <c r="J42" i="36" s="1"/>
  <c r="X69" i="43" l="1"/>
  <c r="Y69" i="43" s="1"/>
  <c r="Z69" i="43" s="1"/>
  <c r="M71" i="43"/>
  <c r="O71" i="43" s="1"/>
  <c r="L71" i="43"/>
  <c r="I71" i="43"/>
  <c r="J71" i="43" s="1"/>
  <c r="K71" i="43" s="1"/>
  <c r="G72" i="43" s="1"/>
  <c r="AF68" i="43"/>
  <c r="AD68" i="43"/>
  <c r="AE69" i="43"/>
  <c r="AB68" i="43"/>
  <c r="AE68" i="43"/>
  <c r="T70" i="43"/>
  <c r="S70" i="43"/>
  <c r="V70" i="43"/>
  <c r="U70" i="43"/>
  <c r="P70" i="43"/>
  <c r="X70" i="43" s="1"/>
  <c r="M71" i="42"/>
  <c r="O71" i="42" s="1"/>
  <c r="L71" i="42"/>
  <c r="I71" i="42"/>
  <c r="J71" i="42" s="1"/>
  <c r="K71" i="42" s="1"/>
  <c r="G72" i="42" s="1"/>
  <c r="Y69" i="42"/>
  <c r="Z69" i="42" s="1"/>
  <c r="AB68" i="42"/>
  <c r="AD68" i="42"/>
  <c r="AF68" i="42"/>
  <c r="T70" i="42"/>
  <c r="S70" i="42"/>
  <c r="AE68" i="42"/>
  <c r="P70" i="42"/>
  <c r="V70" i="42"/>
  <c r="U70" i="42"/>
  <c r="W69" i="42"/>
  <c r="AA69" i="42" s="1"/>
  <c r="L71" i="41"/>
  <c r="M71" i="41"/>
  <c r="O71" i="41" s="1"/>
  <c r="I71" i="41"/>
  <c r="J71" i="41" s="1"/>
  <c r="K71" i="41" s="1"/>
  <c r="G72" i="41" s="1"/>
  <c r="Y69" i="41"/>
  <c r="Z69" i="41" s="1"/>
  <c r="AF68" i="41"/>
  <c r="AB68" i="41"/>
  <c r="AD68" i="41"/>
  <c r="T70" i="41"/>
  <c r="S70" i="41"/>
  <c r="AE69" i="41"/>
  <c r="V70" i="41"/>
  <c r="U70" i="41"/>
  <c r="P70" i="41"/>
  <c r="I73" i="35"/>
  <c r="J73" i="35" s="1"/>
  <c r="K73" i="35" s="1"/>
  <c r="G74" i="35" s="1"/>
  <c r="M73" i="35"/>
  <c r="L73" i="35"/>
  <c r="AD41" i="36"/>
  <c r="AF41" i="36" s="1"/>
  <c r="AB41" i="36"/>
  <c r="I43" i="36"/>
  <c r="J43" i="36" s="1"/>
  <c r="M43" i="36"/>
  <c r="O43" i="36" s="1"/>
  <c r="L43" i="36"/>
  <c r="T42" i="36"/>
  <c r="W42" i="36" s="1"/>
  <c r="S42" i="36"/>
  <c r="X42" i="36" s="1"/>
  <c r="V42" i="36"/>
  <c r="U42" i="36"/>
  <c r="P42" i="36"/>
  <c r="W70" i="43" l="1"/>
  <c r="AA70" i="43" s="1"/>
  <c r="X70" i="42"/>
  <c r="Y70" i="42" s="1"/>
  <c r="Z70" i="42" s="1"/>
  <c r="X70" i="41"/>
  <c r="Y70" i="43"/>
  <c r="Z70" i="43" s="1"/>
  <c r="I72" i="43"/>
  <c r="J72" i="43" s="1"/>
  <c r="K72" i="43" s="1"/>
  <c r="G73" i="43" s="1"/>
  <c r="M72" i="43"/>
  <c r="O72" i="43" s="1"/>
  <c r="L72" i="43"/>
  <c r="AE70" i="43"/>
  <c r="T71" i="43"/>
  <c r="S71" i="43"/>
  <c r="AF69" i="43"/>
  <c r="AD69" i="43"/>
  <c r="AB69" i="43"/>
  <c r="U71" i="43"/>
  <c r="P71" i="43"/>
  <c r="X71" i="43" s="1"/>
  <c r="V71" i="43"/>
  <c r="AF69" i="42"/>
  <c r="AD69" i="42"/>
  <c r="L72" i="42"/>
  <c r="I72" i="42"/>
  <c r="J72" i="42" s="1"/>
  <c r="K72" i="42" s="1"/>
  <c r="G73" i="42" s="1"/>
  <c r="M72" i="42"/>
  <c r="O72" i="42" s="1"/>
  <c r="AE69" i="42"/>
  <c r="AB69" i="42"/>
  <c r="W70" i="42"/>
  <c r="AA70" i="42" s="1"/>
  <c r="T71" i="42"/>
  <c r="S71" i="42"/>
  <c r="V71" i="42"/>
  <c r="U71" i="42"/>
  <c r="P71" i="42"/>
  <c r="X71" i="42" s="1"/>
  <c r="Y70" i="41"/>
  <c r="Z70" i="41"/>
  <c r="AF69" i="41"/>
  <c r="AD69" i="41"/>
  <c r="AB69" i="41"/>
  <c r="I72" i="41"/>
  <c r="J72" i="41" s="1"/>
  <c r="K72" i="41" s="1"/>
  <c r="G73" i="41" s="1"/>
  <c r="M72" i="41"/>
  <c r="O72" i="41" s="1"/>
  <c r="L72" i="41"/>
  <c r="P71" i="41"/>
  <c r="V71" i="41"/>
  <c r="U71" i="41"/>
  <c r="W70" i="41"/>
  <c r="AA70" i="41" s="1"/>
  <c r="T71" i="41"/>
  <c r="S71" i="41"/>
  <c r="I74" i="35"/>
  <c r="J74" i="35" s="1"/>
  <c r="K74" i="35"/>
  <c r="G75" i="35" s="1"/>
  <c r="M74" i="35"/>
  <c r="L74" i="35"/>
  <c r="Y42" i="36"/>
  <c r="Z42" i="36" s="1"/>
  <c r="AA42" i="36"/>
  <c r="AE42" i="36"/>
  <c r="U43" i="36"/>
  <c r="V43" i="36"/>
  <c r="P43" i="36"/>
  <c r="X43" i="36" s="1"/>
  <c r="K43" i="36"/>
  <c r="G44" i="36" s="1"/>
  <c r="T43" i="36"/>
  <c r="S43" i="36"/>
  <c r="X71" i="41" l="1"/>
  <c r="W71" i="41"/>
  <c r="AA71" i="41" s="1"/>
  <c r="Y71" i="43"/>
  <c r="Z71" i="43" s="1"/>
  <c r="I73" i="43"/>
  <c r="J73" i="43" s="1"/>
  <c r="K73" i="43" s="1"/>
  <c r="G74" i="43" s="1"/>
  <c r="M73" i="43"/>
  <c r="O73" i="43" s="1"/>
  <c r="L73" i="43"/>
  <c r="AD70" i="43"/>
  <c r="AB70" i="43"/>
  <c r="AF70" i="43"/>
  <c r="P72" i="43"/>
  <c r="V72" i="43"/>
  <c r="U72" i="43"/>
  <c r="T72" i="43"/>
  <c r="W72" i="43" s="1"/>
  <c r="AA72" i="43" s="1"/>
  <c r="S72" i="43"/>
  <c r="W71" i="43"/>
  <c r="AA71" i="43" s="1"/>
  <c r="Y71" i="42"/>
  <c r="Z71" i="42" s="1"/>
  <c r="I73" i="42"/>
  <c r="J73" i="42" s="1"/>
  <c r="M73" i="42"/>
  <c r="O73" i="42" s="1"/>
  <c r="L73" i="42"/>
  <c r="K73" i="42"/>
  <c r="G74" i="42" s="1"/>
  <c r="AF70" i="42"/>
  <c r="AD70" i="42"/>
  <c r="T72" i="42"/>
  <c r="S72" i="42"/>
  <c r="X72" i="42" s="1"/>
  <c r="AE70" i="42"/>
  <c r="AB70" i="42"/>
  <c r="W71" i="42"/>
  <c r="AA71" i="42" s="1"/>
  <c r="P72" i="42"/>
  <c r="V72" i="42"/>
  <c r="U72" i="42"/>
  <c r="Y71" i="41"/>
  <c r="Z71" i="41" s="1"/>
  <c r="M73" i="41"/>
  <c r="O73" i="41" s="1"/>
  <c r="L73" i="41"/>
  <c r="I73" i="41"/>
  <c r="J73" i="41" s="1"/>
  <c r="K73" i="41" s="1"/>
  <c r="G74" i="41" s="1"/>
  <c r="P72" i="41"/>
  <c r="U72" i="41"/>
  <c r="V72" i="41"/>
  <c r="AE70" i="41"/>
  <c r="AD70" i="41"/>
  <c r="AB70" i="41"/>
  <c r="AF70" i="41"/>
  <c r="AE71" i="41"/>
  <c r="S72" i="41"/>
  <c r="T72" i="41"/>
  <c r="I75" i="35"/>
  <c r="J75" i="35" s="1"/>
  <c r="K75" i="35"/>
  <c r="G76" i="35" s="1"/>
  <c r="M75" i="35"/>
  <c r="L75" i="35"/>
  <c r="Y43" i="36"/>
  <c r="Z43" i="36" s="1"/>
  <c r="AD42" i="36"/>
  <c r="AF42" i="36" s="1"/>
  <c r="AB42" i="36"/>
  <c r="W43" i="36"/>
  <c r="I44" i="36"/>
  <c r="J44" i="36" s="1"/>
  <c r="M44" i="36"/>
  <c r="O44" i="36" s="1"/>
  <c r="K44" i="36"/>
  <c r="G45" i="36" s="1"/>
  <c r="L44" i="36"/>
  <c r="X72" i="43" l="1"/>
  <c r="Y72" i="43" s="1"/>
  <c r="Z72" i="43" s="1"/>
  <c r="W72" i="41"/>
  <c r="AA72" i="41" s="1"/>
  <c r="X72" i="41"/>
  <c r="I74" i="43"/>
  <c r="J74" i="43" s="1"/>
  <c r="K74" i="43" s="1"/>
  <c r="G75" i="43" s="1"/>
  <c r="M74" i="43"/>
  <c r="O74" i="43" s="1"/>
  <c r="L74" i="43"/>
  <c r="AF71" i="43"/>
  <c r="AD71" i="43"/>
  <c r="T73" i="43"/>
  <c r="S73" i="43"/>
  <c r="P73" i="43"/>
  <c r="V73" i="43"/>
  <c r="U73" i="43"/>
  <c r="AB71" i="43"/>
  <c r="AE71" i="43"/>
  <c r="AE72" i="43"/>
  <c r="AD71" i="42"/>
  <c r="AF71" i="42"/>
  <c r="Y72" i="42"/>
  <c r="Z72" i="42" s="1"/>
  <c r="AB71" i="42"/>
  <c r="AE71" i="42"/>
  <c r="T73" i="42"/>
  <c r="W73" i="42" s="1"/>
  <c r="AA73" i="42" s="1"/>
  <c r="S73" i="42"/>
  <c r="W72" i="42"/>
  <c r="AA72" i="42" s="1"/>
  <c r="L74" i="42"/>
  <c r="M74" i="42"/>
  <c r="O74" i="42" s="1"/>
  <c r="I74" i="42"/>
  <c r="J74" i="42" s="1"/>
  <c r="K74" i="42" s="1"/>
  <c r="G75" i="42" s="1"/>
  <c r="P73" i="42"/>
  <c r="V73" i="42"/>
  <c r="U73" i="42"/>
  <c r="Y72" i="41"/>
  <c r="Z72" i="41" s="1"/>
  <c r="L74" i="41"/>
  <c r="M74" i="41"/>
  <c r="O74" i="41" s="1"/>
  <c r="I74" i="41"/>
  <c r="J74" i="41" s="1"/>
  <c r="K74" i="41" s="1"/>
  <c r="G75" i="41" s="1"/>
  <c r="AB71" i="41"/>
  <c r="AF71" i="41"/>
  <c r="AD71" i="41"/>
  <c r="T73" i="41"/>
  <c r="S73" i="41"/>
  <c r="AE72" i="41"/>
  <c r="P73" i="41"/>
  <c r="V73" i="41"/>
  <c r="U73" i="41"/>
  <c r="I76" i="35"/>
  <c r="J76" i="35" s="1"/>
  <c r="K76" i="35" s="1"/>
  <c r="G77" i="35" s="1"/>
  <c r="M76" i="35"/>
  <c r="L76" i="35"/>
  <c r="AD43" i="36"/>
  <c r="P44" i="36"/>
  <c r="V44" i="36"/>
  <c r="U44" i="36"/>
  <c r="AA43" i="36"/>
  <c r="AB43" i="36" s="1"/>
  <c r="AE43" i="36"/>
  <c r="I45" i="36"/>
  <c r="J45" i="36" s="1"/>
  <c r="M45" i="36"/>
  <c r="O45" i="36" s="1"/>
  <c r="L45" i="36"/>
  <c r="K45" i="36"/>
  <c r="G46" i="36" s="1"/>
  <c r="T44" i="36"/>
  <c r="W44" i="36" s="1"/>
  <c r="S44" i="36"/>
  <c r="X44" i="36" s="1"/>
  <c r="X73" i="43" l="1"/>
  <c r="X73" i="42"/>
  <c r="Y73" i="42" s="1"/>
  <c r="Z73" i="42" s="1"/>
  <c r="X73" i="41"/>
  <c r="M75" i="43"/>
  <c r="O75" i="43" s="1"/>
  <c r="L75" i="43"/>
  <c r="I75" i="43"/>
  <c r="J75" i="43" s="1"/>
  <c r="K75" i="43" s="1"/>
  <c r="G76" i="43" s="1"/>
  <c r="Y73" i="43"/>
  <c r="Z73" i="43" s="1"/>
  <c r="AB72" i="43"/>
  <c r="AF72" i="43"/>
  <c r="AD72" i="43"/>
  <c r="P74" i="43"/>
  <c r="U74" i="43"/>
  <c r="V74" i="43"/>
  <c r="T74" i="43"/>
  <c r="W74" i="43" s="1"/>
  <c r="AA74" i="43" s="1"/>
  <c r="S74" i="43"/>
  <c r="W73" i="43"/>
  <c r="AA73" i="43" s="1"/>
  <c r="I75" i="42"/>
  <c r="J75" i="42" s="1"/>
  <c r="K75" i="42" s="1"/>
  <c r="G76" i="42" s="1"/>
  <c r="L75" i="42"/>
  <c r="M75" i="42"/>
  <c r="O75" i="42" s="1"/>
  <c r="AD72" i="42"/>
  <c r="AF72" i="42"/>
  <c r="AE73" i="42"/>
  <c r="P74" i="42"/>
  <c r="U74" i="42"/>
  <c r="V74" i="42"/>
  <c r="AB72" i="42"/>
  <c r="AE72" i="42"/>
  <c r="T74" i="42"/>
  <c r="S74" i="42"/>
  <c r="L75" i="41"/>
  <c r="I75" i="41"/>
  <c r="J75" i="41" s="1"/>
  <c r="K75" i="41" s="1"/>
  <c r="G76" i="41" s="1"/>
  <c r="M75" i="41"/>
  <c r="O75" i="41" s="1"/>
  <c r="Y73" i="41"/>
  <c r="Z73" i="41"/>
  <c r="AF72" i="41"/>
  <c r="AD72" i="41"/>
  <c r="AB72" i="41"/>
  <c r="W73" i="41"/>
  <c r="AA73" i="41" s="1"/>
  <c r="V74" i="41"/>
  <c r="P74" i="41"/>
  <c r="U74" i="41"/>
  <c r="T74" i="41"/>
  <c r="S74" i="41"/>
  <c r="X74" i="41" s="1"/>
  <c r="I77" i="35"/>
  <c r="J77" i="35" s="1"/>
  <c r="K77" i="35"/>
  <c r="G78" i="35" s="1"/>
  <c r="M77" i="35"/>
  <c r="L77" i="35"/>
  <c r="Y44" i="36"/>
  <c r="Z44" i="36" s="1"/>
  <c r="I46" i="36"/>
  <c r="J46" i="36" s="1"/>
  <c r="M46" i="36"/>
  <c r="O46" i="36" s="1"/>
  <c r="L46" i="36"/>
  <c r="K46" i="36"/>
  <c r="G47" i="36" s="1"/>
  <c r="T45" i="36"/>
  <c r="W45" i="36" s="1"/>
  <c r="S45" i="36"/>
  <c r="X45" i="36" s="1"/>
  <c r="P45" i="36"/>
  <c r="V45" i="36"/>
  <c r="U45" i="36"/>
  <c r="AF43" i="36"/>
  <c r="AA44" i="36"/>
  <c r="AE44" i="36"/>
  <c r="X74" i="43" l="1"/>
  <c r="X74" i="42"/>
  <c r="W74" i="41"/>
  <c r="AA74" i="41" s="1"/>
  <c r="Y74" i="43"/>
  <c r="Z74" i="43" s="1"/>
  <c r="L76" i="43"/>
  <c r="M76" i="43"/>
  <c r="O76" i="43" s="1"/>
  <c r="I76" i="43"/>
  <c r="J76" i="43" s="1"/>
  <c r="K76" i="43" s="1"/>
  <c r="G77" i="43" s="1"/>
  <c r="AB73" i="43"/>
  <c r="AF73" i="43"/>
  <c r="AD73" i="43"/>
  <c r="AE73" i="43"/>
  <c r="AE74" i="43"/>
  <c r="T75" i="43"/>
  <c r="S75" i="43"/>
  <c r="P75" i="43"/>
  <c r="V75" i="43"/>
  <c r="U75" i="43"/>
  <c r="AF73" i="42"/>
  <c r="AB73" i="42"/>
  <c r="AD73" i="42"/>
  <c r="Y74" i="42"/>
  <c r="Z74" i="42" s="1"/>
  <c r="I76" i="42"/>
  <c r="J76" i="42" s="1"/>
  <c r="K76" i="42" s="1"/>
  <c r="G77" i="42" s="1"/>
  <c r="M76" i="42"/>
  <c r="O76" i="42" s="1"/>
  <c r="L76" i="42"/>
  <c r="W74" i="42"/>
  <c r="AA74" i="42" s="1"/>
  <c r="S75" i="42"/>
  <c r="T75" i="42"/>
  <c r="P75" i="42"/>
  <c r="X75" i="42" s="1"/>
  <c r="V75" i="42"/>
  <c r="U75" i="42"/>
  <c r="Y74" i="41"/>
  <c r="Z74" i="41"/>
  <c r="P75" i="41"/>
  <c r="X75" i="41" s="1"/>
  <c r="U75" i="41"/>
  <c r="V75" i="41"/>
  <c r="AE74" i="41"/>
  <c r="M76" i="41"/>
  <c r="O76" i="41" s="1"/>
  <c r="L76" i="41"/>
  <c r="I76" i="41"/>
  <c r="J76" i="41" s="1"/>
  <c r="K76" i="41" s="1"/>
  <c r="G77" i="41" s="1"/>
  <c r="AE73" i="41"/>
  <c r="AB73" i="41"/>
  <c r="AF73" i="41"/>
  <c r="AD73" i="41"/>
  <c r="T75" i="41"/>
  <c r="S75" i="41"/>
  <c r="I78" i="35"/>
  <c r="J78" i="35" s="1"/>
  <c r="K78" i="35"/>
  <c r="G79" i="35" s="1"/>
  <c r="M78" i="35"/>
  <c r="L78" i="35"/>
  <c r="Y45" i="36"/>
  <c r="Z45" i="36" s="1"/>
  <c r="AB44" i="36"/>
  <c r="AD44" i="36"/>
  <c r="AF44" i="36" s="1"/>
  <c r="AA45" i="36"/>
  <c r="AE45" i="36"/>
  <c r="I47" i="36"/>
  <c r="J47" i="36" s="1"/>
  <c r="M47" i="36"/>
  <c r="O47" i="36" s="1"/>
  <c r="L47" i="36"/>
  <c r="P46" i="36"/>
  <c r="V46" i="36"/>
  <c r="U46" i="36"/>
  <c r="T46" i="36"/>
  <c r="W46" i="36" s="1"/>
  <c r="S46" i="36"/>
  <c r="W75" i="43" l="1"/>
  <c r="AA75" i="43" s="1"/>
  <c r="X75" i="43"/>
  <c r="L77" i="43"/>
  <c r="I77" i="43"/>
  <c r="J77" i="43" s="1"/>
  <c r="M77" i="43"/>
  <c r="O77" i="43" s="1"/>
  <c r="K77" i="43"/>
  <c r="G78" i="43" s="1"/>
  <c r="AF74" i="43"/>
  <c r="AD74" i="43"/>
  <c r="AB74" i="43"/>
  <c r="Y75" i="43"/>
  <c r="Z75" i="43" s="1"/>
  <c r="T76" i="43"/>
  <c r="S76" i="43"/>
  <c r="AE75" i="43"/>
  <c r="V76" i="43"/>
  <c r="X76" i="43"/>
  <c r="U76" i="43"/>
  <c r="P76" i="43"/>
  <c r="M77" i="42"/>
  <c r="O77" i="42" s="1"/>
  <c r="L77" i="42"/>
  <c r="I77" i="42"/>
  <c r="J77" i="42" s="1"/>
  <c r="K77" i="42" s="1"/>
  <c r="G78" i="42" s="1"/>
  <c r="AB74" i="42"/>
  <c r="AF74" i="42"/>
  <c r="AD74" i="42"/>
  <c r="Y75" i="42"/>
  <c r="Z75" i="42" s="1"/>
  <c r="P76" i="42"/>
  <c r="U76" i="42"/>
  <c r="V76" i="42"/>
  <c r="S76" i="42"/>
  <c r="T76" i="42"/>
  <c r="W76" i="42" s="1"/>
  <c r="AA76" i="42" s="1"/>
  <c r="W75" i="42"/>
  <c r="AA75" i="42" s="1"/>
  <c r="AE74" i="42"/>
  <c r="M77" i="41"/>
  <c r="O77" i="41" s="1"/>
  <c r="L77" i="41"/>
  <c r="I77" i="41"/>
  <c r="J77" i="41" s="1"/>
  <c r="K77" i="41" s="1"/>
  <c r="G78" i="41" s="1"/>
  <c r="Y75" i="41"/>
  <c r="Z75" i="41" s="1"/>
  <c r="W75" i="41"/>
  <c r="AA75" i="41" s="1"/>
  <c r="T76" i="41"/>
  <c r="W76" i="41" s="1"/>
  <c r="AA76" i="41" s="1"/>
  <c r="S76" i="41"/>
  <c r="AD74" i="41"/>
  <c r="AB74" i="41"/>
  <c r="AF74" i="41"/>
  <c r="U76" i="41"/>
  <c r="V76" i="41"/>
  <c r="P76" i="41"/>
  <c r="I79" i="35"/>
  <c r="J79" i="35" s="1"/>
  <c r="K79" i="35"/>
  <c r="G80" i="35" s="1"/>
  <c r="M79" i="35"/>
  <c r="L79" i="35"/>
  <c r="X46" i="36"/>
  <c r="Y46" i="36" s="1"/>
  <c r="Z46" i="36" s="1"/>
  <c r="AB45" i="36"/>
  <c r="AD45" i="36"/>
  <c r="AF45" i="36" s="1"/>
  <c r="AA46" i="36"/>
  <c r="AE46" i="36"/>
  <c r="P47" i="36"/>
  <c r="X47" i="36" s="1"/>
  <c r="V47" i="36"/>
  <c r="U47" i="36"/>
  <c r="K47" i="36"/>
  <c r="G48" i="36" s="1"/>
  <c r="T47" i="36"/>
  <c r="W47" i="36" s="1"/>
  <c r="S47" i="36"/>
  <c r="X76" i="42" l="1"/>
  <c r="X76" i="41"/>
  <c r="AF75" i="43"/>
  <c r="AD75" i="43"/>
  <c r="AB75" i="43"/>
  <c r="V77" i="43"/>
  <c r="U77" i="43"/>
  <c r="P77" i="43"/>
  <c r="Y76" i="43"/>
  <c r="Z76" i="43" s="1"/>
  <c r="W76" i="43"/>
  <c r="AA76" i="43" s="1"/>
  <c r="I78" i="43"/>
  <c r="J78" i="43" s="1"/>
  <c r="M78" i="43"/>
  <c r="O78" i="43" s="1"/>
  <c r="L78" i="43"/>
  <c r="K78" i="43"/>
  <c r="G79" i="43" s="1"/>
  <c r="T77" i="43"/>
  <c r="W77" i="43" s="1"/>
  <c r="AA77" i="43" s="1"/>
  <c r="S77" i="43"/>
  <c r="X77" i="43" s="1"/>
  <c r="M78" i="42"/>
  <c r="O78" i="42" s="1"/>
  <c r="L78" i="42"/>
  <c r="I78" i="42"/>
  <c r="J78" i="42" s="1"/>
  <c r="K78" i="42" s="1"/>
  <c r="G79" i="42" s="1"/>
  <c r="Y76" i="42"/>
  <c r="Z76" i="42" s="1"/>
  <c r="AB75" i="42"/>
  <c r="AE75" i="42"/>
  <c r="AE76" i="42"/>
  <c r="T77" i="42"/>
  <c r="S77" i="42"/>
  <c r="AF75" i="42"/>
  <c r="AD75" i="42"/>
  <c r="V77" i="42"/>
  <c r="U77" i="42"/>
  <c r="P77" i="42"/>
  <c r="X77" i="42" s="1"/>
  <c r="Y76" i="41"/>
  <c r="Z76" i="41" s="1"/>
  <c r="M78" i="41"/>
  <c r="O78" i="41" s="1"/>
  <c r="I78" i="41"/>
  <c r="J78" i="41" s="1"/>
  <c r="K78" i="41" s="1"/>
  <c r="G79" i="41" s="1"/>
  <c r="L78" i="41"/>
  <c r="AE75" i="41"/>
  <c r="AB75" i="41"/>
  <c r="T77" i="41"/>
  <c r="S77" i="41"/>
  <c r="X77" i="41" s="1"/>
  <c r="AE76" i="41"/>
  <c r="AF75" i="41"/>
  <c r="AD75" i="41"/>
  <c r="P77" i="41"/>
  <c r="U77" i="41"/>
  <c r="V77" i="41"/>
  <c r="I80" i="35"/>
  <c r="J80" i="35" s="1"/>
  <c r="K80" i="35" s="1"/>
  <c r="G81" i="35" s="1"/>
  <c r="M80" i="35"/>
  <c r="L80" i="35"/>
  <c r="AB46" i="36"/>
  <c r="AD46" i="36"/>
  <c r="AF46" i="36" s="1"/>
  <c r="AA47" i="36"/>
  <c r="AE47" i="36"/>
  <c r="I48" i="36"/>
  <c r="J48" i="36" s="1"/>
  <c r="M48" i="36"/>
  <c r="O48" i="36" s="1"/>
  <c r="L48" i="36"/>
  <c r="K48" i="36"/>
  <c r="G49" i="36" s="1"/>
  <c r="Y47" i="36"/>
  <c r="Z47" i="36" s="1"/>
  <c r="Y77" i="43" l="1"/>
  <c r="Z77" i="43" s="1"/>
  <c r="AD76" i="43"/>
  <c r="AF76" i="43"/>
  <c r="AE77" i="43"/>
  <c r="P78" i="43"/>
  <c r="V78" i="43"/>
  <c r="U78" i="43"/>
  <c r="AB76" i="43"/>
  <c r="AE76" i="43"/>
  <c r="M79" i="43"/>
  <c r="O79" i="43" s="1"/>
  <c r="L79" i="43"/>
  <c r="I79" i="43"/>
  <c r="J79" i="43" s="1"/>
  <c r="K79" i="43" s="1"/>
  <c r="G80" i="43" s="1"/>
  <c r="T78" i="43"/>
  <c r="S78" i="43"/>
  <c r="X78" i="43" s="1"/>
  <c r="Y77" i="42"/>
  <c r="Z77" i="42" s="1"/>
  <c r="AF76" i="42"/>
  <c r="AB76" i="42"/>
  <c r="AD76" i="42"/>
  <c r="I79" i="42"/>
  <c r="J79" i="42" s="1"/>
  <c r="K79" i="42" s="1"/>
  <c r="G80" i="42" s="1"/>
  <c r="M79" i="42"/>
  <c r="O79" i="42" s="1"/>
  <c r="L79" i="42"/>
  <c r="W77" i="42"/>
  <c r="AA77" i="42" s="1"/>
  <c r="T78" i="42"/>
  <c r="S78" i="42"/>
  <c r="U78" i="42"/>
  <c r="P78" i="42"/>
  <c r="X78" i="42"/>
  <c r="V78" i="42"/>
  <c r="L79" i="41"/>
  <c r="I79" i="41"/>
  <c r="J79" i="41" s="1"/>
  <c r="K79" i="41" s="1"/>
  <c r="G80" i="41" s="1"/>
  <c r="M79" i="41"/>
  <c r="O79" i="41" s="1"/>
  <c r="AD76" i="41"/>
  <c r="AB76" i="41"/>
  <c r="AF76" i="41"/>
  <c r="V78" i="41"/>
  <c r="U78" i="41"/>
  <c r="P78" i="41"/>
  <c r="Y77" i="41"/>
  <c r="Z77" i="41" s="1"/>
  <c r="T78" i="41"/>
  <c r="S78" i="41"/>
  <c r="W77" i="41"/>
  <c r="AA77" i="41" s="1"/>
  <c r="I81" i="35"/>
  <c r="J81" i="35" s="1"/>
  <c r="K81" i="35" s="1"/>
  <c r="G82" i="35" s="1"/>
  <c r="M81" i="35"/>
  <c r="L81" i="35"/>
  <c r="AB47" i="36"/>
  <c r="AD47" i="36"/>
  <c r="AF47" i="36" s="1"/>
  <c r="I49" i="36"/>
  <c r="J49" i="36" s="1"/>
  <c r="M49" i="36"/>
  <c r="O49" i="36" s="1"/>
  <c r="L49" i="36"/>
  <c r="K49" i="36"/>
  <c r="G50" i="36" s="1"/>
  <c r="P48" i="36"/>
  <c r="X48" i="36"/>
  <c r="U48" i="36"/>
  <c r="V48" i="36"/>
  <c r="T48" i="36"/>
  <c r="W48" i="36" s="1"/>
  <c r="S48" i="36"/>
  <c r="X78" i="41" l="1"/>
  <c r="W78" i="41"/>
  <c r="AA78" i="41" s="1"/>
  <c r="AB77" i="43"/>
  <c r="AF77" i="43"/>
  <c r="AD77" i="43"/>
  <c r="M80" i="43"/>
  <c r="O80" i="43" s="1"/>
  <c r="L80" i="43"/>
  <c r="I80" i="43"/>
  <c r="J80" i="43" s="1"/>
  <c r="K80" i="43" s="1"/>
  <c r="G81" i="43" s="1"/>
  <c r="Y78" i="43"/>
  <c r="Z78" i="43" s="1"/>
  <c r="T79" i="43"/>
  <c r="S79" i="43"/>
  <c r="W78" i="43"/>
  <c r="AA78" i="43" s="1"/>
  <c r="P79" i="43"/>
  <c r="V79" i="43"/>
  <c r="U79" i="43"/>
  <c r="I80" i="42"/>
  <c r="J80" i="42" s="1"/>
  <c r="K80" i="42" s="1"/>
  <c r="G81" i="42" s="1"/>
  <c r="M80" i="42"/>
  <c r="O80" i="42" s="1"/>
  <c r="L80" i="42"/>
  <c r="AD77" i="42"/>
  <c r="AF77" i="42"/>
  <c r="AB77" i="42"/>
  <c r="V79" i="42"/>
  <c r="U79" i="42"/>
  <c r="P79" i="42"/>
  <c r="AE77" i="42"/>
  <c r="Y78" i="42"/>
  <c r="Z78" i="42" s="1"/>
  <c r="W78" i="42"/>
  <c r="AA78" i="42" s="1"/>
  <c r="S79" i="42"/>
  <c r="X79" i="42" s="1"/>
  <c r="T79" i="42"/>
  <c r="Y78" i="41"/>
  <c r="Z78" i="41"/>
  <c r="AF77" i="41"/>
  <c r="AD77" i="41"/>
  <c r="I80" i="41"/>
  <c r="J80" i="41" s="1"/>
  <c r="K80" i="41" s="1"/>
  <c r="G81" i="41" s="1"/>
  <c r="M80" i="41"/>
  <c r="O80" i="41" s="1"/>
  <c r="L80" i="41"/>
  <c r="AE77" i="41"/>
  <c r="AB77" i="41"/>
  <c r="AE78" i="41"/>
  <c r="U79" i="41"/>
  <c r="P79" i="41"/>
  <c r="V79" i="41"/>
  <c r="T79" i="41"/>
  <c r="S79" i="41"/>
  <c r="I82" i="35"/>
  <c r="J82" i="35" s="1"/>
  <c r="K82" i="35"/>
  <c r="G83" i="35" s="1"/>
  <c r="M82" i="35"/>
  <c r="L82" i="35"/>
  <c r="I50" i="36"/>
  <c r="J50" i="36" s="1"/>
  <c r="M50" i="36"/>
  <c r="O50" i="36" s="1"/>
  <c r="K50" i="36"/>
  <c r="G51" i="36" s="1"/>
  <c r="L50" i="36"/>
  <c r="AA48" i="36"/>
  <c r="AE48" i="36"/>
  <c r="Y48" i="36"/>
  <c r="Z48" i="36" s="1"/>
  <c r="P49" i="36"/>
  <c r="V49" i="36"/>
  <c r="U49" i="36"/>
  <c r="T49" i="36"/>
  <c r="W49" i="36" s="1"/>
  <c r="S49" i="36"/>
  <c r="X79" i="43" l="1"/>
  <c r="W79" i="42"/>
  <c r="AA79" i="42" s="1"/>
  <c r="X79" i="41"/>
  <c r="L81" i="43"/>
  <c r="I81" i="43"/>
  <c r="J81" i="43" s="1"/>
  <c r="K81" i="43" s="1"/>
  <c r="G82" i="43" s="1"/>
  <c r="M81" i="43"/>
  <c r="O81" i="43" s="1"/>
  <c r="Y79" i="43"/>
  <c r="Z79" i="43" s="1"/>
  <c r="AF78" i="43"/>
  <c r="AD78" i="43"/>
  <c r="V80" i="43"/>
  <c r="U80" i="43"/>
  <c r="P80" i="43"/>
  <c r="T80" i="43"/>
  <c r="W80" i="43" s="1"/>
  <c r="AA80" i="43" s="1"/>
  <c r="S80" i="43"/>
  <c r="X80" i="43" s="1"/>
  <c r="AE78" i="43"/>
  <c r="AB78" i="43"/>
  <c r="W79" i="43"/>
  <c r="AA79" i="43" s="1"/>
  <c r="AD78" i="42"/>
  <c r="AF78" i="42"/>
  <c r="AB78" i="42"/>
  <c r="AE78" i="42"/>
  <c r="Y79" i="42"/>
  <c r="Z79" i="42" s="1"/>
  <c r="T80" i="42"/>
  <c r="S80" i="42"/>
  <c r="AE79" i="42"/>
  <c r="M81" i="42"/>
  <c r="O81" i="42" s="1"/>
  <c r="I81" i="42"/>
  <c r="J81" i="42" s="1"/>
  <c r="K81" i="42" s="1"/>
  <c r="G82" i="42" s="1"/>
  <c r="L81" i="42"/>
  <c r="P80" i="42"/>
  <c r="U80" i="42"/>
  <c r="V80" i="42"/>
  <c r="Y79" i="41"/>
  <c r="Z79" i="41" s="1"/>
  <c r="M81" i="41"/>
  <c r="O81" i="41" s="1"/>
  <c r="L81" i="41"/>
  <c r="I81" i="41"/>
  <c r="J81" i="41" s="1"/>
  <c r="K81" i="41" s="1"/>
  <c r="G82" i="41" s="1"/>
  <c r="P80" i="41"/>
  <c r="U80" i="41"/>
  <c r="V80" i="41"/>
  <c r="W79" i="41"/>
  <c r="AA79" i="41" s="1"/>
  <c r="AD78" i="41"/>
  <c r="AB78" i="41"/>
  <c r="AF78" i="41"/>
  <c r="S80" i="41"/>
  <c r="T80" i="41"/>
  <c r="I83" i="35"/>
  <c r="J83" i="35" s="1"/>
  <c r="K83" i="35" s="1"/>
  <c r="G84" i="35" s="1"/>
  <c r="M83" i="35"/>
  <c r="L83" i="35"/>
  <c r="X49" i="36"/>
  <c r="AB48" i="36"/>
  <c r="AD48" i="36"/>
  <c r="AF48" i="36" s="1"/>
  <c r="Y49" i="36"/>
  <c r="Z49" i="36" s="1"/>
  <c r="T50" i="36"/>
  <c r="S50" i="36"/>
  <c r="X50" i="36" s="1"/>
  <c r="AA49" i="36"/>
  <c r="AE49" i="36"/>
  <c r="I51" i="36"/>
  <c r="J51" i="36" s="1"/>
  <c r="L51" i="36"/>
  <c r="K51" i="36"/>
  <c r="G52" i="36" s="1"/>
  <c r="M51" i="36"/>
  <c r="O51" i="36" s="1"/>
  <c r="P50" i="36"/>
  <c r="V50" i="36"/>
  <c r="U50" i="36"/>
  <c r="X80" i="42" l="1"/>
  <c r="W80" i="42"/>
  <c r="AA80" i="42" s="1"/>
  <c r="W80" i="41"/>
  <c r="AA80" i="41" s="1"/>
  <c r="X80" i="41"/>
  <c r="AF79" i="43"/>
  <c r="AD79" i="43"/>
  <c r="AB79" i="43"/>
  <c r="Y80" i="43"/>
  <c r="Z80" i="43" s="1"/>
  <c r="I82" i="43"/>
  <c r="J82" i="43" s="1"/>
  <c r="K82" i="43" s="1"/>
  <c r="G83" i="43" s="1"/>
  <c r="M82" i="43"/>
  <c r="O82" i="43" s="1"/>
  <c r="L82" i="43"/>
  <c r="P81" i="43"/>
  <c r="V81" i="43"/>
  <c r="U81" i="43"/>
  <c r="AE80" i="43"/>
  <c r="AE79" i="43"/>
  <c r="T81" i="43"/>
  <c r="S81" i="43"/>
  <c r="AF79" i="42"/>
  <c r="AD79" i="42"/>
  <c r="AB79" i="42"/>
  <c r="Y80" i="42"/>
  <c r="Z80" i="42"/>
  <c r="M82" i="42"/>
  <c r="O82" i="42" s="1"/>
  <c r="L82" i="42"/>
  <c r="I82" i="42"/>
  <c r="J82" i="42" s="1"/>
  <c r="K82" i="42" s="1"/>
  <c r="G83" i="42" s="1"/>
  <c r="AE80" i="42"/>
  <c r="T81" i="42"/>
  <c r="S81" i="42"/>
  <c r="V81" i="42"/>
  <c r="U81" i="42"/>
  <c r="P81" i="42"/>
  <c r="X81" i="42" s="1"/>
  <c r="Y80" i="41"/>
  <c r="Z80" i="41" s="1"/>
  <c r="M82" i="41"/>
  <c r="O82" i="41" s="1"/>
  <c r="L82" i="41"/>
  <c r="I82" i="41"/>
  <c r="J82" i="41" s="1"/>
  <c r="K82" i="41" s="1"/>
  <c r="G83" i="41" s="1"/>
  <c r="AB79" i="41"/>
  <c r="AD79" i="41"/>
  <c r="AF79" i="41"/>
  <c r="T81" i="41"/>
  <c r="S81" i="41"/>
  <c r="AE79" i="41"/>
  <c r="AE80" i="41"/>
  <c r="P81" i="41"/>
  <c r="V81" i="41"/>
  <c r="U81" i="41"/>
  <c r="I84" i="35"/>
  <c r="J84" i="35" s="1"/>
  <c r="K84" i="35" s="1"/>
  <c r="G85" i="35" s="1"/>
  <c r="M84" i="35"/>
  <c r="L84" i="35"/>
  <c r="Y50" i="36"/>
  <c r="Z50" i="36" s="1"/>
  <c r="AB49" i="36"/>
  <c r="AD49" i="36"/>
  <c r="AF49" i="36" s="1"/>
  <c r="W50" i="36"/>
  <c r="V51" i="36"/>
  <c r="U51" i="36"/>
  <c r="P51" i="36"/>
  <c r="X51" i="36" s="1"/>
  <c r="I52" i="36"/>
  <c r="J52" i="36" s="1"/>
  <c r="M52" i="36"/>
  <c r="O52" i="36" s="1"/>
  <c r="L52" i="36"/>
  <c r="K52" i="36"/>
  <c r="G53" i="36" s="1"/>
  <c r="S51" i="36"/>
  <c r="T51" i="36"/>
  <c r="W51" i="36" s="1"/>
  <c r="X81" i="43" l="1"/>
  <c r="W81" i="42"/>
  <c r="AA81" i="42" s="1"/>
  <c r="X81" i="41"/>
  <c r="Y81" i="43"/>
  <c r="Z81" i="43" s="1"/>
  <c r="M83" i="43"/>
  <c r="O83" i="43" s="1"/>
  <c r="L83" i="43"/>
  <c r="I83" i="43"/>
  <c r="J83" i="43" s="1"/>
  <c r="K83" i="43" s="1"/>
  <c r="G84" i="43" s="1"/>
  <c r="AD80" i="43"/>
  <c r="AB80" i="43"/>
  <c r="AF80" i="43"/>
  <c r="S82" i="43"/>
  <c r="T82" i="43"/>
  <c r="P82" i="43"/>
  <c r="X82" i="43" s="1"/>
  <c r="V82" i="43"/>
  <c r="U82" i="43"/>
  <c r="W81" i="43"/>
  <c r="AA81" i="43" s="1"/>
  <c r="Y81" i="42"/>
  <c r="Z81" i="42" s="1"/>
  <c r="P82" i="42"/>
  <c r="V82" i="42"/>
  <c r="U82" i="42"/>
  <c r="T82" i="42"/>
  <c r="W82" i="42" s="1"/>
  <c r="AA82" i="42" s="1"/>
  <c r="S82" i="42"/>
  <c r="AE81" i="42"/>
  <c r="I83" i="42"/>
  <c r="J83" i="42" s="1"/>
  <c r="K83" i="42" s="1"/>
  <c r="G84" i="42" s="1"/>
  <c r="L83" i="42"/>
  <c r="M83" i="42"/>
  <c r="O83" i="42" s="1"/>
  <c r="AF80" i="42"/>
  <c r="AD80" i="42"/>
  <c r="AB80" i="42"/>
  <c r="L83" i="41"/>
  <c r="I83" i="41"/>
  <c r="J83" i="41" s="1"/>
  <c r="K83" i="41" s="1"/>
  <c r="G84" i="41" s="1"/>
  <c r="M83" i="41"/>
  <c r="O83" i="41" s="1"/>
  <c r="AF80" i="41"/>
  <c r="AD80" i="41"/>
  <c r="AB80" i="41"/>
  <c r="Y81" i="41"/>
  <c r="Z81" i="41" s="1"/>
  <c r="T82" i="41"/>
  <c r="S82" i="41"/>
  <c r="W81" i="41"/>
  <c r="AA81" i="41" s="1"/>
  <c r="V82" i="41"/>
  <c r="U82" i="41"/>
  <c r="P82" i="41"/>
  <c r="I85" i="35"/>
  <c r="J85" i="35" s="1"/>
  <c r="K85" i="35"/>
  <c r="G86" i="35" s="1"/>
  <c r="M85" i="35"/>
  <c r="L85" i="35"/>
  <c r="Y51" i="36"/>
  <c r="Z51" i="36" s="1"/>
  <c r="AD50" i="36"/>
  <c r="S52" i="36"/>
  <c r="T52" i="36"/>
  <c r="W52" i="36" s="1"/>
  <c r="AA50" i="36"/>
  <c r="AB50" i="36" s="1"/>
  <c r="AE50" i="36"/>
  <c r="V52" i="36"/>
  <c r="U52" i="36"/>
  <c r="P52" i="36"/>
  <c r="X52" i="36" s="1"/>
  <c r="AA51" i="36"/>
  <c r="AE51" i="36"/>
  <c r="I53" i="36"/>
  <c r="J53" i="36" s="1"/>
  <c r="M53" i="36"/>
  <c r="O53" i="36" s="1"/>
  <c r="L53" i="36"/>
  <c r="X82" i="42" l="1"/>
  <c r="X82" i="41"/>
  <c r="M84" i="43"/>
  <c r="O84" i="43" s="1"/>
  <c r="L84" i="43"/>
  <c r="I84" i="43"/>
  <c r="J84" i="43" s="1"/>
  <c r="K84" i="43" s="1"/>
  <c r="G85" i="43" s="1"/>
  <c r="Y82" i="43"/>
  <c r="Z82" i="43" s="1"/>
  <c r="AB81" i="43"/>
  <c r="AF81" i="43"/>
  <c r="AD81" i="43"/>
  <c r="AE81" i="43"/>
  <c r="P83" i="43"/>
  <c r="V83" i="43"/>
  <c r="U83" i="43"/>
  <c r="W82" i="43"/>
  <c r="AA82" i="43" s="1"/>
  <c r="T83" i="43"/>
  <c r="S83" i="43"/>
  <c r="AD81" i="42"/>
  <c r="AF81" i="42"/>
  <c r="AB81" i="42"/>
  <c r="Y82" i="42"/>
  <c r="Z82" i="42"/>
  <c r="V83" i="42"/>
  <c r="P83" i="42"/>
  <c r="X83" i="42" s="1"/>
  <c r="U83" i="42"/>
  <c r="T83" i="42"/>
  <c r="S83" i="42"/>
  <c r="M84" i="42"/>
  <c r="O84" i="42" s="1"/>
  <c r="L84" i="42"/>
  <c r="I84" i="42"/>
  <c r="J84" i="42" s="1"/>
  <c r="K84" i="42" s="1"/>
  <c r="G85" i="42" s="1"/>
  <c r="AE82" i="42"/>
  <c r="AF81" i="41"/>
  <c r="AD81" i="41"/>
  <c r="Y82" i="41"/>
  <c r="Z82" i="41" s="1"/>
  <c r="I84" i="41"/>
  <c r="J84" i="41" s="1"/>
  <c r="M84" i="41"/>
  <c r="O84" i="41" s="1"/>
  <c r="K84" i="41"/>
  <c r="G85" i="41" s="1"/>
  <c r="L84" i="41"/>
  <c r="P83" i="41"/>
  <c r="X83" i="41" s="1"/>
  <c r="U83" i="41"/>
  <c r="V83" i="41"/>
  <c r="W82" i="41"/>
  <c r="AA82" i="41" s="1"/>
  <c r="AE81" i="41"/>
  <c r="AB81" i="41"/>
  <c r="T83" i="41"/>
  <c r="S83" i="41"/>
  <c r="I86" i="35"/>
  <c r="J86" i="35" s="1"/>
  <c r="K86" i="35" s="1"/>
  <c r="G87" i="35" s="1"/>
  <c r="M86" i="35"/>
  <c r="L86" i="35"/>
  <c r="Y52" i="36"/>
  <c r="Z52" i="36" s="1"/>
  <c r="AD51" i="36"/>
  <c r="AF51" i="36" s="1"/>
  <c r="AB51" i="36"/>
  <c r="AF50" i="36"/>
  <c r="AA52" i="36"/>
  <c r="AE52" i="36"/>
  <c r="U53" i="36"/>
  <c r="P53" i="36"/>
  <c r="V53" i="36"/>
  <c r="K53" i="36"/>
  <c r="G54" i="36" s="1"/>
  <c r="S53" i="36"/>
  <c r="T53" i="36"/>
  <c r="X83" i="43" l="1"/>
  <c r="Y83" i="43" s="1"/>
  <c r="AF82" i="43"/>
  <c r="AD82" i="43"/>
  <c r="L85" i="43"/>
  <c r="I85" i="43"/>
  <c r="J85" i="43" s="1"/>
  <c r="K85" i="43" s="1"/>
  <c r="G86" i="43" s="1"/>
  <c r="M85" i="43"/>
  <c r="O85" i="43" s="1"/>
  <c r="AE82" i="43"/>
  <c r="AB82" i="43"/>
  <c r="T84" i="43"/>
  <c r="S84" i="43"/>
  <c r="W83" i="43"/>
  <c r="AA83" i="43" s="1"/>
  <c r="V84" i="43"/>
  <c r="U84" i="43"/>
  <c r="P84" i="43"/>
  <c r="K85" i="42"/>
  <c r="G86" i="42" s="1"/>
  <c r="M85" i="42"/>
  <c r="O85" i="42" s="1"/>
  <c r="L85" i="42"/>
  <c r="I85" i="42"/>
  <c r="J85" i="42" s="1"/>
  <c r="Y83" i="42"/>
  <c r="Z83" i="42" s="1"/>
  <c r="AF82" i="42"/>
  <c r="AD82" i="42"/>
  <c r="AB82" i="42"/>
  <c r="W83" i="42"/>
  <c r="AA83" i="42" s="1"/>
  <c r="T84" i="42"/>
  <c r="S84" i="42"/>
  <c r="U84" i="42"/>
  <c r="V84" i="42"/>
  <c r="P84" i="42"/>
  <c r="X84" i="42" s="1"/>
  <c r="Y83" i="41"/>
  <c r="Z83" i="41" s="1"/>
  <c r="AD82" i="41"/>
  <c r="AF82" i="41"/>
  <c r="AB82" i="41"/>
  <c r="AE82" i="41"/>
  <c r="M85" i="41"/>
  <c r="O85" i="41" s="1"/>
  <c r="L85" i="41"/>
  <c r="I85" i="41"/>
  <c r="J85" i="41" s="1"/>
  <c r="K85" i="41" s="1"/>
  <c r="G86" i="41" s="1"/>
  <c r="P84" i="41"/>
  <c r="X84" i="41" s="1"/>
  <c r="V84" i="41"/>
  <c r="U84" i="41"/>
  <c r="W83" i="41"/>
  <c r="AA83" i="41" s="1"/>
  <c r="S84" i="41"/>
  <c r="T84" i="41"/>
  <c r="I87" i="35"/>
  <c r="J87" i="35" s="1"/>
  <c r="K87" i="35"/>
  <c r="G88" i="35" s="1"/>
  <c r="M87" i="35"/>
  <c r="L87" i="35"/>
  <c r="W53" i="36"/>
  <c r="X53" i="36"/>
  <c r="Y53" i="36"/>
  <c r="Z53" i="36" s="1"/>
  <c r="AD52" i="36"/>
  <c r="AF52" i="36" s="1"/>
  <c r="AB52" i="36"/>
  <c r="I54" i="36"/>
  <c r="J54" i="36" s="1"/>
  <c r="M54" i="36"/>
  <c r="O54" i="36" s="1"/>
  <c r="L54" i="36"/>
  <c r="K54" i="36"/>
  <c r="G55" i="36" s="1"/>
  <c r="AA53" i="36"/>
  <c r="AE53" i="36"/>
  <c r="X84" i="43" l="1"/>
  <c r="Y84" i="43" s="1"/>
  <c r="Z84" i="43" s="1"/>
  <c r="Z83" i="43"/>
  <c r="AF83" i="43" s="1"/>
  <c r="W84" i="42"/>
  <c r="AA84" i="42" s="1"/>
  <c r="I86" i="43"/>
  <c r="J86" i="43" s="1"/>
  <c r="K86" i="43" s="1"/>
  <c r="G87" i="43" s="1"/>
  <c r="M86" i="43"/>
  <c r="O86" i="43" s="1"/>
  <c r="L86" i="43"/>
  <c r="AD83" i="43"/>
  <c r="AE83" i="43"/>
  <c r="W84" i="43"/>
  <c r="AA84" i="43" s="1"/>
  <c r="V85" i="43"/>
  <c r="U85" i="43"/>
  <c r="P85" i="43"/>
  <c r="T85" i="43"/>
  <c r="S85" i="43"/>
  <c r="Y84" i="42"/>
  <c r="Z84" i="42" s="1"/>
  <c r="AD83" i="42"/>
  <c r="AF83" i="42"/>
  <c r="AE84" i="42"/>
  <c r="T85" i="42"/>
  <c r="W85" i="42" s="1"/>
  <c r="AA85" i="42" s="1"/>
  <c r="S85" i="42"/>
  <c r="X85" i="42" s="1"/>
  <c r="AE83" i="42"/>
  <c r="AB83" i="42"/>
  <c r="P85" i="42"/>
  <c r="V85" i="42"/>
  <c r="U85" i="42"/>
  <c r="I86" i="42"/>
  <c r="J86" i="42" s="1"/>
  <c r="K86" i="42" s="1"/>
  <c r="G87" i="42" s="1"/>
  <c r="M86" i="42"/>
  <c r="O86" i="42" s="1"/>
  <c r="L86" i="42"/>
  <c r="M86" i="41"/>
  <c r="O86" i="41" s="1"/>
  <c r="L86" i="41"/>
  <c r="I86" i="41"/>
  <c r="J86" i="41" s="1"/>
  <c r="K86" i="41" s="1"/>
  <c r="G87" i="41" s="1"/>
  <c r="Y84" i="41"/>
  <c r="Z84" i="41" s="1"/>
  <c r="AF83" i="41"/>
  <c r="AD83" i="41"/>
  <c r="P85" i="41"/>
  <c r="V85" i="41"/>
  <c r="U85" i="41"/>
  <c r="W84" i="41"/>
  <c r="AA84" i="41" s="1"/>
  <c r="AB83" i="41"/>
  <c r="AE83" i="41"/>
  <c r="T85" i="41"/>
  <c r="S85" i="41"/>
  <c r="I88" i="35"/>
  <c r="J88" i="35" s="1"/>
  <c r="K88" i="35" s="1"/>
  <c r="G89" i="35" s="1"/>
  <c r="M88" i="35"/>
  <c r="L88" i="35"/>
  <c r="AD53" i="36"/>
  <c r="AF53" i="36" s="1"/>
  <c r="AB53" i="36"/>
  <c r="S54" i="36"/>
  <c r="T54" i="36"/>
  <c r="W54" i="36" s="1"/>
  <c r="I55" i="36"/>
  <c r="J55" i="36" s="1"/>
  <c r="M55" i="36"/>
  <c r="O55" i="36" s="1"/>
  <c r="L55" i="36"/>
  <c r="K55" i="36"/>
  <c r="G56" i="36" s="1"/>
  <c r="V54" i="36"/>
  <c r="U54" i="36"/>
  <c r="P54" i="36"/>
  <c r="X54" i="36" s="1"/>
  <c r="AB83" i="43" l="1"/>
  <c r="X85" i="43"/>
  <c r="X85" i="41"/>
  <c r="AD84" i="43"/>
  <c r="AF84" i="43"/>
  <c r="T86" i="43"/>
  <c r="S86" i="43"/>
  <c r="P86" i="43"/>
  <c r="X86" i="43" s="1"/>
  <c r="U86" i="43"/>
  <c r="V86" i="43"/>
  <c r="AB84" i="43"/>
  <c r="AE84" i="43"/>
  <c r="M87" i="43"/>
  <c r="O87" i="43" s="1"/>
  <c r="I87" i="43"/>
  <c r="J87" i="43" s="1"/>
  <c r="K87" i="43" s="1"/>
  <c r="G88" i="43" s="1"/>
  <c r="L87" i="43"/>
  <c r="Y85" i="43"/>
  <c r="Z85" i="43" s="1"/>
  <c r="W85" i="43"/>
  <c r="AA85" i="43" s="1"/>
  <c r="M87" i="42"/>
  <c r="O87" i="42" s="1"/>
  <c r="L87" i="42"/>
  <c r="I87" i="42"/>
  <c r="J87" i="42" s="1"/>
  <c r="K87" i="42" s="1"/>
  <c r="G88" i="42" s="1"/>
  <c r="Y85" i="42"/>
  <c r="Z85" i="42" s="1"/>
  <c r="AE85" i="42"/>
  <c r="S86" i="42"/>
  <c r="T86" i="42"/>
  <c r="P86" i="42"/>
  <c r="X86" i="42" s="1"/>
  <c r="U86" i="42"/>
  <c r="V86" i="42"/>
  <c r="AB84" i="42"/>
  <c r="AF84" i="42"/>
  <c r="AD84" i="42"/>
  <c r="AF84" i="41"/>
  <c r="AD84" i="41"/>
  <c r="AB84" i="41"/>
  <c r="L87" i="41"/>
  <c r="I87" i="41"/>
  <c r="J87" i="41" s="1"/>
  <c r="K87" i="41" s="1"/>
  <c r="G88" i="41" s="1"/>
  <c r="M87" i="41"/>
  <c r="O87" i="41" s="1"/>
  <c r="AE84" i="41"/>
  <c r="T86" i="41"/>
  <c r="S86" i="41"/>
  <c r="X86" i="41" s="1"/>
  <c r="W85" i="41"/>
  <c r="AA85" i="41" s="1"/>
  <c r="V86" i="41"/>
  <c r="U86" i="41"/>
  <c r="P86" i="41"/>
  <c r="I89" i="35"/>
  <c r="J89" i="35" s="1"/>
  <c r="K89" i="35" s="1"/>
  <c r="G90" i="35" s="1"/>
  <c r="M89" i="35"/>
  <c r="L89" i="35"/>
  <c r="Y54" i="36"/>
  <c r="Z54" i="36" s="1"/>
  <c r="S55" i="36"/>
  <c r="T55" i="36"/>
  <c r="AA54" i="36"/>
  <c r="AE54" i="36"/>
  <c r="I56" i="36"/>
  <c r="J56" i="36" s="1"/>
  <c r="M56" i="36"/>
  <c r="O56" i="36" s="1"/>
  <c r="L56" i="36"/>
  <c r="P55" i="36"/>
  <c r="X55" i="36"/>
  <c r="V55" i="36"/>
  <c r="U55" i="36"/>
  <c r="Y85" i="41" l="1"/>
  <c r="Z85" i="41" s="1"/>
  <c r="Y86" i="43"/>
  <c r="Z86" i="43" s="1"/>
  <c r="M88" i="43"/>
  <c r="O88" i="43" s="1"/>
  <c r="L88" i="43"/>
  <c r="I88" i="43"/>
  <c r="J88" i="43" s="1"/>
  <c r="K88" i="43" s="1"/>
  <c r="G89" i="43" s="1"/>
  <c r="AB85" i="43"/>
  <c r="AF85" i="43"/>
  <c r="AD85" i="43"/>
  <c r="T87" i="43"/>
  <c r="S87" i="43"/>
  <c r="P87" i="43"/>
  <c r="X87" i="43" s="1"/>
  <c r="V87" i="43"/>
  <c r="U87" i="43"/>
  <c r="W86" i="43"/>
  <c r="AA86" i="43" s="1"/>
  <c r="AE85" i="43"/>
  <c r="AF85" i="42"/>
  <c r="AD85" i="42"/>
  <c r="AB85" i="42"/>
  <c r="M88" i="42"/>
  <c r="O88" i="42" s="1"/>
  <c r="L88" i="42"/>
  <c r="I88" i="42"/>
  <c r="J88" i="42" s="1"/>
  <c r="K88" i="42" s="1"/>
  <c r="G89" i="42" s="1"/>
  <c r="Y86" i="42"/>
  <c r="Z86" i="42" s="1"/>
  <c r="W86" i="42"/>
  <c r="AA86" i="42" s="1"/>
  <c r="T87" i="42"/>
  <c r="S87" i="42"/>
  <c r="V87" i="42"/>
  <c r="U87" i="42"/>
  <c r="P87" i="42"/>
  <c r="X87" i="42" s="1"/>
  <c r="I88" i="41"/>
  <c r="J88" i="41" s="1"/>
  <c r="K88" i="41" s="1"/>
  <c r="G89" i="41" s="1"/>
  <c r="M88" i="41"/>
  <c r="O88" i="41" s="1"/>
  <c r="L88" i="41"/>
  <c r="Y86" i="41"/>
  <c r="Z86" i="41" s="1"/>
  <c r="T87" i="41"/>
  <c r="S87" i="41"/>
  <c r="W86" i="41"/>
  <c r="AA86" i="41" s="1"/>
  <c r="AE85" i="41"/>
  <c r="P87" i="41"/>
  <c r="U87" i="41"/>
  <c r="V87" i="41"/>
  <c r="I90" i="35"/>
  <c r="J90" i="35" s="1"/>
  <c r="K90" i="35" s="1"/>
  <c r="G91" i="35" s="1"/>
  <c r="M90" i="35"/>
  <c r="L90" i="35"/>
  <c r="AD54" i="36"/>
  <c r="AF54" i="36" s="1"/>
  <c r="AB54" i="36"/>
  <c r="Y55" i="36"/>
  <c r="Z55" i="36" s="1"/>
  <c r="K56" i="36"/>
  <c r="G57" i="36" s="1"/>
  <c r="W55" i="36"/>
  <c r="S56" i="36"/>
  <c r="T56" i="36"/>
  <c r="V56" i="36"/>
  <c r="U56" i="36"/>
  <c r="P56" i="36"/>
  <c r="AB85" i="41" l="1"/>
  <c r="AF85" i="41"/>
  <c r="AD85" i="41"/>
  <c r="X87" i="41"/>
  <c r="Y87" i="41" s="1"/>
  <c r="Z87" i="41" s="1"/>
  <c r="W87" i="41"/>
  <c r="AA87" i="41" s="1"/>
  <c r="L89" i="43"/>
  <c r="I89" i="43"/>
  <c r="J89" i="43" s="1"/>
  <c r="K89" i="43" s="1"/>
  <c r="G90" i="43" s="1"/>
  <c r="M89" i="43"/>
  <c r="O89" i="43" s="1"/>
  <c r="Y87" i="43"/>
  <c r="Z87" i="43" s="1"/>
  <c r="AF86" i="43"/>
  <c r="AD86" i="43"/>
  <c r="T88" i="43"/>
  <c r="S88" i="43"/>
  <c r="V88" i="43"/>
  <c r="U88" i="43"/>
  <c r="P88" i="43"/>
  <c r="AE86" i="43"/>
  <c r="AB86" i="43"/>
  <c r="W87" i="43"/>
  <c r="AA87" i="43" s="1"/>
  <c r="AF86" i="42"/>
  <c r="AB86" i="42"/>
  <c r="AD86" i="42"/>
  <c r="M89" i="42"/>
  <c r="O89" i="42" s="1"/>
  <c r="L89" i="42"/>
  <c r="I89" i="42"/>
  <c r="J89" i="42" s="1"/>
  <c r="K89" i="42" s="1"/>
  <c r="G90" i="42" s="1"/>
  <c r="Y87" i="42"/>
  <c r="Z87" i="42" s="1"/>
  <c r="U88" i="42"/>
  <c r="P88" i="42"/>
  <c r="V88" i="42"/>
  <c r="T88" i="42"/>
  <c r="W88" i="42" s="1"/>
  <c r="AA88" i="42" s="1"/>
  <c r="S88" i="42"/>
  <c r="W87" i="42"/>
  <c r="AA87" i="42" s="1"/>
  <c r="AE86" i="42"/>
  <c r="AD86" i="41"/>
  <c r="AB86" i="41"/>
  <c r="AF86" i="41"/>
  <c r="AE87" i="41"/>
  <c r="S88" i="41"/>
  <c r="T88" i="41"/>
  <c r="P88" i="41"/>
  <c r="X88" i="41" s="1"/>
  <c r="V88" i="41"/>
  <c r="U88" i="41"/>
  <c r="M89" i="41"/>
  <c r="O89" i="41" s="1"/>
  <c r="L89" i="41"/>
  <c r="I89" i="41"/>
  <c r="J89" i="41" s="1"/>
  <c r="K89" i="41" s="1"/>
  <c r="G90" i="41" s="1"/>
  <c r="AE86" i="41"/>
  <c r="I91" i="35"/>
  <c r="J91" i="35" s="1"/>
  <c r="K91" i="35" s="1"/>
  <c r="G92" i="35" s="1"/>
  <c r="M91" i="35"/>
  <c r="L91" i="35"/>
  <c r="W56" i="36"/>
  <c r="AA56" i="36" s="1"/>
  <c r="X56" i="36"/>
  <c r="Y56" i="36"/>
  <c r="Z56" i="36" s="1"/>
  <c r="AD55" i="36"/>
  <c r="I57" i="36"/>
  <c r="J57" i="36" s="1"/>
  <c r="M57" i="36"/>
  <c r="O57" i="36" s="1"/>
  <c r="L57" i="36"/>
  <c r="K57" i="36"/>
  <c r="G58" i="36" s="1"/>
  <c r="AA55" i="36"/>
  <c r="AB55" i="36" s="1"/>
  <c r="AE55" i="36"/>
  <c r="X88" i="43" l="1"/>
  <c r="Y88" i="43" s="1"/>
  <c r="Z88" i="43" s="1"/>
  <c r="X88" i="42"/>
  <c r="I90" i="43"/>
  <c r="J90" i="43" s="1"/>
  <c r="M90" i="43"/>
  <c r="O90" i="43" s="1"/>
  <c r="L90" i="43"/>
  <c r="K90" i="43"/>
  <c r="G91" i="43" s="1"/>
  <c r="AF87" i="43"/>
  <c r="AD87" i="43"/>
  <c r="V89" i="43"/>
  <c r="U89" i="43"/>
  <c r="P89" i="43"/>
  <c r="AE87" i="43"/>
  <c r="AB87" i="43"/>
  <c r="W88" i="43"/>
  <c r="AA88" i="43" s="1"/>
  <c r="T89" i="43"/>
  <c r="S89" i="43"/>
  <c r="I90" i="42"/>
  <c r="J90" i="42" s="1"/>
  <c r="M90" i="42"/>
  <c r="O90" i="42" s="1"/>
  <c r="L90" i="42"/>
  <c r="K90" i="42"/>
  <c r="G91" i="42" s="1"/>
  <c r="Y88" i="42"/>
  <c r="Z88" i="42" s="1"/>
  <c r="AE87" i="42"/>
  <c r="AB87" i="42"/>
  <c r="AD87" i="42"/>
  <c r="AF87" i="42"/>
  <c r="AE88" i="42"/>
  <c r="T89" i="42"/>
  <c r="S89" i="42"/>
  <c r="V89" i="42"/>
  <c r="U89" i="42"/>
  <c r="P89" i="42"/>
  <c r="X89" i="42" s="1"/>
  <c r="Y88" i="41"/>
  <c r="Z88" i="41" s="1"/>
  <c r="AB87" i="41"/>
  <c r="AF87" i="41"/>
  <c r="AD87" i="41"/>
  <c r="M90" i="41"/>
  <c r="O90" i="41" s="1"/>
  <c r="L90" i="41"/>
  <c r="I90" i="41"/>
  <c r="J90" i="41" s="1"/>
  <c r="K90" i="41" s="1"/>
  <c r="G91" i="41" s="1"/>
  <c r="P89" i="41"/>
  <c r="X89" i="41" s="1"/>
  <c r="V89" i="41"/>
  <c r="U89" i="41"/>
  <c r="T89" i="41"/>
  <c r="S89" i="41"/>
  <c r="W88" i="41"/>
  <c r="AA88" i="41" s="1"/>
  <c r="I92" i="35"/>
  <c r="J92" i="35" s="1"/>
  <c r="K92" i="35" s="1"/>
  <c r="G93" i="35" s="1"/>
  <c r="M92" i="35"/>
  <c r="L92" i="35"/>
  <c r="AE56" i="36"/>
  <c r="AF55" i="36"/>
  <c r="AD56" i="36"/>
  <c r="AF56" i="36" s="1"/>
  <c r="AB56" i="36"/>
  <c r="I58" i="36"/>
  <c r="J58" i="36" s="1"/>
  <c r="M58" i="36"/>
  <c r="O58" i="36" s="1"/>
  <c r="L58" i="36"/>
  <c r="K58" i="36"/>
  <c r="G59" i="36" s="1"/>
  <c r="V57" i="36"/>
  <c r="U57" i="36"/>
  <c r="P57" i="36"/>
  <c r="X57" i="36" s="1"/>
  <c r="S57" i="36"/>
  <c r="T57" i="36"/>
  <c r="X89" i="43" l="1"/>
  <c r="Y89" i="43" s="1"/>
  <c r="Z89" i="43" s="1"/>
  <c r="W89" i="42"/>
  <c r="AA89" i="42" s="1"/>
  <c r="W89" i="41"/>
  <c r="AA89" i="41" s="1"/>
  <c r="T90" i="43"/>
  <c r="S90" i="43"/>
  <c r="M91" i="43"/>
  <c r="O91" i="43" s="1"/>
  <c r="L91" i="43"/>
  <c r="I91" i="43"/>
  <c r="J91" i="43" s="1"/>
  <c r="K91" i="43" s="1"/>
  <c r="G92" i="43" s="1"/>
  <c r="AD88" i="43"/>
  <c r="AF88" i="43"/>
  <c r="AB88" i="43"/>
  <c r="AE88" i="43"/>
  <c r="P90" i="43"/>
  <c r="V90" i="43"/>
  <c r="U90" i="43"/>
  <c r="W89" i="43"/>
  <c r="AA89" i="43" s="1"/>
  <c r="AB88" i="42"/>
  <c r="AF88" i="42"/>
  <c r="AD88" i="42"/>
  <c r="Y89" i="42"/>
  <c r="Z89" i="42" s="1"/>
  <c r="I91" i="42"/>
  <c r="J91" i="42" s="1"/>
  <c r="K91" i="42" s="1"/>
  <c r="G92" i="42" s="1"/>
  <c r="M91" i="42"/>
  <c r="O91" i="42" s="1"/>
  <c r="L91" i="42"/>
  <c r="AE89" i="42"/>
  <c r="T90" i="42"/>
  <c r="S90" i="42"/>
  <c r="P90" i="42"/>
  <c r="X90" i="42" s="1"/>
  <c r="V90" i="42"/>
  <c r="U90" i="42"/>
  <c r="Y89" i="41"/>
  <c r="Z89" i="41" s="1"/>
  <c r="AF88" i="41"/>
  <c r="AD88" i="41"/>
  <c r="T90" i="41"/>
  <c r="S90" i="41"/>
  <c r="L91" i="41"/>
  <c r="I91" i="41"/>
  <c r="J91" i="41" s="1"/>
  <c r="K91" i="41" s="1"/>
  <c r="G92" i="41" s="1"/>
  <c r="M91" i="41"/>
  <c r="O91" i="41" s="1"/>
  <c r="AE89" i="41"/>
  <c r="AE88" i="41"/>
  <c r="AB88" i="41"/>
  <c r="V90" i="41"/>
  <c r="U90" i="41"/>
  <c r="P90" i="41"/>
  <c r="I93" i="35"/>
  <c r="J93" i="35" s="1"/>
  <c r="K93" i="35"/>
  <c r="G94" i="35" s="1"/>
  <c r="M93" i="35"/>
  <c r="L93" i="35"/>
  <c r="S58" i="36"/>
  <c r="T58" i="36"/>
  <c r="I59" i="36"/>
  <c r="J59" i="36" s="1"/>
  <c r="L59" i="36"/>
  <c r="K59" i="36"/>
  <c r="G60" i="36" s="1"/>
  <c r="M59" i="36"/>
  <c r="O59" i="36" s="1"/>
  <c r="Y57" i="36"/>
  <c r="Z57" i="36" s="1"/>
  <c r="P58" i="36"/>
  <c r="X58" i="36"/>
  <c r="V58" i="36"/>
  <c r="U58" i="36"/>
  <c r="W57" i="36"/>
  <c r="X90" i="43" l="1"/>
  <c r="Y90" i="43" s="1"/>
  <c r="Z90" i="43" s="1"/>
  <c r="X90" i="41"/>
  <c r="M92" i="43"/>
  <c r="O92" i="43" s="1"/>
  <c r="L92" i="43"/>
  <c r="I92" i="43"/>
  <c r="J92" i="43" s="1"/>
  <c r="K92" i="43" s="1"/>
  <c r="G93" i="43" s="1"/>
  <c r="AB89" i="43"/>
  <c r="AF89" i="43"/>
  <c r="AD89" i="43"/>
  <c r="T91" i="43"/>
  <c r="S91" i="43"/>
  <c r="W90" i="43"/>
  <c r="AA90" i="43" s="1"/>
  <c r="P91" i="43"/>
  <c r="V91" i="43"/>
  <c r="U91" i="43"/>
  <c r="AE89" i="43"/>
  <c r="M92" i="42"/>
  <c r="O92" i="42" s="1"/>
  <c r="L92" i="42"/>
  <c r="I92" i="42"/>
  <c r="J92" i="42" s="1"/>
  <c r="K92" i="42" s="1"/>
  <c r="G93" i="42" s="1"/>
  <c r="Y90" i="42"/>
  <c r="Z90" i="42"/>
  <c r="AF89" i="42"/>
  <c r="AD89" i="42"/>
  <c r="AB89" i="42"/>
  <c r="V91" i="42"/>
  <c r="P91" i="42"/>
  <c r="U91" i="42"/>
  <c r="W90" i="42"/>
  <c r="AA90" i="42" s="1"/>
  <c r="T91" i="42"/>
  <c r="S91" i="42"/>
  <c r="Y90" i="41"/>
  <c r="Z90" i="41" s="1"/>
  <c r="I92" i="41"/>
  <c r="J92" i="41" s="1"/>
  <c r="K92" i="41" s="1"/>
  <c r="G93" i="41" s="1"/>
  <c r="M92" i="41"/>
  <c r="O92" i="41" s="1"/>
  <c r="L92" i="41"/>
  <c r="W90" i="41"/>
  <c r="AA90" i="41" s="1"/>
  <c r="AF89" i="41"/>
  <c r="AD89" i="41"/>
  <c r="AB89" i="41"/>
  <c r="T91" i="41"/>
  <c r="S91" i="41"/>
  <c r="P91" i="41"/>
  <c r="U91" i="41"/>
  <c r="V91" i="41"/>
  <c r="I94" i="35"/>
  <c r="J94" i="35" s="1"/>
  <c r="K94" i="35"/>
  <c r="G95" i="35" s="1"/>
  <c r="M94" i="35"/>
  <c r="L94" i="35"/>
  <c r="AD57" i="36"/>
  <c r="I60" i="36"/>
  <c r="J60" i="36" s="1"/>
  <c r="M60" i="36"/>
  <c r="O60" i="36" s="1"/>
  <c r="L60" i="36"/>
  <c r="K60" i="36"/>
  <c r="G61" i="36" s="1"/>
  <c r="V59" i="36"/>
  <c r="U59" i="36"/>
  <c r="P59" i="36"/>
  <c r="X59" i="36" s="1"/>
  <c r="S59" i="36"/>
  <c r="T59" i="36"/>
  <c r="W58" i="36"/>
  <c r="AA57" i="36"/>
  <c r="AB57" i="36" s="1"/>
  <c r="AE57" i="36"/>
  <c r="Y58" i="36"/>
  <c r="Z58" i="36" s="1"/>
  <c r="X91" i="43" l="1"/>
  <c r="W91" i="42"/>
  <c r="AA91" i="42" s="1"/>
  <c r="X91" i="42"/>
  <c r="Y91" i="42" s="1"/>
  <c r="Z91" i="42" s="1"/>
  <c r="X91" i="41"/>
  <c r="AF90" i="43"/>
  <c r="AD90" i="43"/>
  <c r="Y91" i="43"/>
  <c r="Z91" i="43" s="1"/>
  <c r="L93" i="43"/>
  <c r="M93" i="43"/>
  <c r="O93" i="43" s="1"/>
  <c r="I93" i="43"/>
  <c r="J93" i="43" s="1"/>
  <c r="K93" i="43" s="1"/>
  <c r="G94" i="43" s="1"/>
  <c r="AE90" i="43"/>
  <c r="AB90" i="43"/>
  <c r="W91" i="43"/>
  <c r="AA91" i="43" s="1"/>
  <c r="T92" i="43"/>
  <c r="S92" i="43"/>
  <c r="V92" i="43"/>
  <c r="U92" i="43"/>
  <c r="P92" i="43"/>
  <c r="AE91" i="42"/>
  <c r="AE90" i="42"/>
  <c r="AB90" i="42"/>
  <c r="AF90" i="42"/>
  <c r="AD90" i="42"/>
  <c r="M93" i="42"/>
  <c r="O93" i="42" s="1"/>
  <c r="L93" i="42"/>
  <c r="I93" i="42"/>
  <c r="J93" i="42" s="1"/>
  <c r="K93" i="42" s="1"/>
  <c r="G94" i="42" s="1"/>
  <c r="T92" i="42"/>
  <c r="S92" i="42"/>
  <c r="U92" i="42"/>
  <c r="V92" i="42"/>
  <c r="P92" i="42"/>
  <c r="X92" i="42" s="1"/>
  <c r="Y91" i="41"/>
  <c r="Z91" i="41" s="1"/>
  <c r="AD90" i="41"/>
  <c r="AF90" i="41"/>
  <c r="S92" i="41"/>
  <c r="T92" i="41"/>
  <c r="M93" i="41"/>
  <c r="O93" i="41" s="1"/>
  <c r="L93" i="41"/>
  <c r="I93" i="41"/>
  <c r="J93" i="41" s="1"/>
  <c r="K93" i="41" s="1"/>
  <c r="G94" i="41" s="1"/>
  <c r="W91" i="41"/>
  <c r="AA91" i="41" s="1"/>
  <c r="AB90" i="41"/>
  <c r="AE90" i="41"/>
  <c r="P92" i="41"/>
  <c r="X92" i="41" s="1"/>
  <c r="V92" i="41"/>
  <c r="U92" i="41"/>
  <c r="I95" i="35"/>
  <c r="J95" i="35" s="1"/>
  <c r="K95" i="35"/>
  <c r="G96" i="35" s="1"/>
  <c r="M95" i="35"/>
  <c r="L95" i="35"/>
  <c r="Y59" i="36"/>
  <c r="Z59" i="36" s="1"/>
  <c r="AA58" i="36"/>
  <c r="AE58" i="36"/>
  <c r="S60" i="36"/>
  <c r="T60" i="36"/>
  <c r="I61" i="36"/>
  <c r="J61" i="36" s="1"/>
  <c r="M61" i="36"/>
  <c r="O61" i="36" s="1"/>
  <c r="L61" i="36"/>
  <c r="W59" i="36"/>
  <c r="AB58" i="36"/>
  <c r="AD58" i="36"/>
  <c r="AF58" i="36" s="1"/>
  <c r="V60" i="36"/>
  <c r="U60" i="36"/>
  <c r="P60" i="36"/>
  <c r="AF57" i="36"/>
  <c r="X92" i="43" l="1"/>
  <c r="Y92" i="43" s="1"/>
  <c r="W92" i="41"/>
  <c r="AA92" i="41" s="1"/>
  <c r="AF91" i="43"/>
  <c r="AD91" i="43"/>
  <c r="W92" i="43"/>
  <c r="AA92" i="43" s="1"/>
  <c r="M94" i="43"/>
  <c r="O94" i="43" s="1"/>
  <c r="L94" i="43"/>
  <c r="I94" i="43"/>
  <c r="J94" i="43" s="1"/>
  <c r="K94" i="43" s="1"/>
  <c r="G95" i="43" s="1"/>
  <c r="AE91" i="43"/>
  <c r="AB91" i="43"/>
  <c r="T93" i="43"/>
  <c r="S93" i="43"/>
  <c r="V93" i="43"/>
  <c r="U93" i="43"/>
  <c r="P93" i="43"/>
  <c r="Y92" i="42"/>
  <c r="Z92" i="42"/>
  <c r="I94" i="42"/>
  <c r="J94" i="42" s="1"/>
  <c r="M94" i="42"/>
  <c r="O94" i="42" s="1"/>
  <c r="L94" i="42"/>
  <c r="K94" i="42"/>
  <c r="G95" i="42" s="1"/>
  <c r="AD91" i="42"/>
  <c r="AB91" i="42"/>
  <c r="AF91" i="42"/>
  <c r="W92" i="42"/>
  <c r="AA92" i="42" s="1"/>
  <c r="T93" i="42"/>
  <c r="S93" i="42"/>
  <c r="P93" i="42"/>
  <c r="X93" i="42" s="1"/>
  <c r="V93" i="42"/>
  <c r="U93" i="42"/>
  <c r="L94" i="41"/>
  <c r="I94" i="41"/>
  <c r="J94" i="41" s="1"/>
  <c r="M94" i="41"/>
  <c r="O94" i="41" s="1"/>
  <c r="K94" i="41"/>
  <c r="G95" i="41" s="1"/>
  <c r="Y92" i="41"/>
  <c r="Z92" i="41" s="1"/>
  <c r="AF91" i="41"/>
  <c r="AD91" i="41"/>
  <c r="P93" i="41"/>
  <c r="V93" i="41"/>
  <c r="U93" i="41"/>
  <c r="AB91" i="41"/>
  <c r="AE91" i="41"/>
  <c r="T93" i="41"/>
  <c r="S93" i="41"/>
  <c r="I96" i="35"/>
  <c r="J96" i="35" s="1"/>
  <c r="K96" i="35" s="1"/>
  <c r="G97" i="35" s="1"/>
  <c r="M96" i="35"/>
  <c r="L96" i="35"/>
  <c r="X60" i="36"/>
  <c r="Z60" i="36"/>
  <c r="Y60" i="36"/>
  <c r="AD59" i="36"/>
  <c r="AB59" i="36"/>
  <c r="W60" i="36"/>
  <c r="K61" i="36"/>
  <c r="G62" i="36" s="1"/>
  <c r="U61" i="36"/>
  <c r="P61" i="36"/>
  <c r="X61" i="36"/>
  <c r="V61" i="36"/>
  <c r="AA59" i="36"/>
  <c r="AE59" i="36"/>
  <c r="S61" i="36"/>
  <c r="T61" i="36"/>
  <c r="X93" i="43" l="1"/>
  <c r="Y93" i="43" s="1"/>
  <c r="Z93" i="43" s="1"/>
  <c r="Z92" i="43"/>
  <c r="AB92" i="43" s="1"/>
  <c r="AE92" i="41"/>
  <c r="X93" i="41"/>
  <c r="M95" i="43"/>
  <c r="O95" i="43" s="1"/>
  <c r="L95" i="43"/>
  <c r="I95" i="43"/>
  <c r="J95" i="43" s="1"/>
  <c r="K95" i="43" s="1"/>
  <c r="G96" i="43" s="1"/>
  <c r="P94" i="43"/>
  <c r="X94" i="43" s="1"/>
  <c r="V94" i="43"/>
  <c r="U94" i="43"/>
  <c r="T94" i="43"/>
  <c r="S94" i="43"/>
  <c r="W93" i="43"/>
  <c r="AA93" i="43" s="1"/>
  <c r="AD92" i="43"/>
  <c r="AF92" i="43"/>
  <c r="AE92" i="43"/>
  <c r="Y93" i="42"/>
  <c r="Z93" i="42" s="1"/>
  <c r="V94" i="42"/>
  <c r="U94" i="42"/>
  <c r="P94" i="42"/>
  <c r="I95" i="42"/>
  <c r="J95" i="42" s="1"/>
  <c r="K95" i="42" s="1"/>
  <c r="G96" i="42" s="1"/>
  <c r="L95" i="42"/>
  <c r="M95" i="42"/>
  <c r="O95" i="42" s="1"/>
  <c r="W93" i="42"/>
  <c r="AA93" i="42" s="1"/>
  <c r="AE92" i="42"/>
  <c r="AB92" i="42"/>
  <c r="AF92" i="42"/>
  <c r="AD92" i="42"/>
  <c r="T94" i="42"/>
  <c r="S94" i="42"/>
  <c r="X94" i="42" s="1"/>
  <c r="Y93" i="41"/>
  <c r="AF92" i="41"/>
  <c r="AD92" i="41"/>
  <c r="AB92" i="41"/>
  <c r="P94" i="41"/>
  <c r="U94" i="41"/>
  <c r="V94" i="41"/>
  <c r="I95" i="41"/>
  <c r="J95" i="41" s="1"/>
  <c r="K95" i="41" s="1"/>
  <c r="G96" i="41" s="1"/>
  <c r="M95" i="41"/>
  <c r="O95" i="41" s="1"/>
  <c r="L95" i="41"/>
  <c r="W93" i="41"/>
  <c r="AA93" i="41" s="1"/>
  <c r="T94" i="41"/>
  <c r="S94" i="41"/>
  <c r="I97" i="35"/>
  <c r="J97" i="35" s="1"/>
  <c r="K97" i="35" s="1"/>
  <c r="G98" i="35" s="1"/>
  <c r="M97" i="35"/>
  <c r="L97" i="35"/>
  <c r="Y61" i="36"/>
  <c r="Z61" i="36" s="1"/>
  <c r="W61" i="36"/>
  <c r="AA60" i="36"/>
  <c r="AB60" i="36" s="1"/>
  <c r="AE60" i="36"/>
  <c r="AD60" i="36"/>
  <c r="AF60" i="36" s="1"/>
  <c r="I62" i="36"/>
  <c r="J62" i="36" s="1"/>
  <c r="M62" i="36"/>
  <c r="O62" i="36" s="1"/>
  <c r="L62" i="36"/>
  <c r="AF59" i="36"/>
  <c r="Z93" i="41" l="1"/>
  <c r="W94" i="41"/>
  <c r="AA94" i="41" s="1"/>
  <c r="X94" i="41"/>
  <c r="Y94" i="41" s="1"/>
  <c r="Z94" i="41" s="1"/>
  <c r="Y94" i="43"/>
  <c r="Z94" i="43" s="1"/>
  <c r="M96" i="43"/>
  <c r="O96" i="43" s="1"/>
  <c r="L96" i="43"/>
  <c r="I96" i="43"/>
  <c r="J96" i="43" s="1"/>
  <c r="K96" i="43" s="1"/>
  <c r="G97" i="43" s="1"/>
  <c r="AB93" i="43"/>
  <c r="AF93" i="43"/>
  <c r="AD93" i="43"/>
  <c r="AE93" i="43"/>
  <c r="T95" i="43"/>
  <c r="S95" i="43"/>
  <c r="W94" i="43"/>
  <c r="AA94" i="43" s="1"/>
  <c r="P95" i="43"/>
  <c r="X95" i="43" s="1"/>
  <c r="V95" i="43"/>
  <c r="U95" i="43"/>
  <c r="I96" i="42"/>
  <c r="J96" i="42" s="1"/>
  <c r="K96" i="42" s="1"/>
  <c r="G97" i="42" s="1"/>
  <c r="M96" i="42"/>
  <c r="O96" i="42" s="1"/>
  <c r="L96" i="42"/>
  <c r="AF93" i="42"/>
  <c r="AD93" i="42"/>
  <c r="X95" i="42"/>
  <c r="P95" i="42"/>
  <c r="U95" i="42"/>
  <c r="V95" i="42"/>
  <c r="T95" i="42"/>
  <c r="W95" i="42" s="1"/>
  <c r="AA95" i="42" s="1"/>
  <c r="S95" i="42"/>
  <c r="Y94" i="42"/>
  <c r="Z94" i="42" s="1"/>
  <c r="AB93" i="42"/>
  <c r="AE93" i="42"/>
  <c r="W94" i="42"/>
  <c r="AA94" i="42" s="1"/>
  <c r="AE93" i="41"/>
  <c r="T95" i="41"/>
  <c r="S95" i="41"/>
  <c r="M96" i="41"/>
  <c r="O96" i="41" s="1"/>
  <c r="L96" i="41"/>
  <c r="I96" i="41"/>
  <c r="J96" i="41" s="1"/>
  <c r="K96" i="41" s="1"/>
  <c r="G97" i="41" s="1"/>
  <c r="AD93" i="41"/>
  <c r="AF93" i="41"/>
  <c r="AB93" i="41"/>
  <c r="AE94" i="41"/>
  <c r="V95" i="41"/>
  <c r="U95" i="41"/>
  <c r="P95" i="41"/>
  <c r="X95" i="41" s="1"/>
  <c r="I98" i="35"/>
  <c r="J98" i="35" s="1"/>
  <c r="K98" i="35"/>
  <c r="G99" i="35" s="1"/>
  <c r="M98" i="35"/>
  <c r="L98" i="35"/>
  <c r="AD61" i="36"/>
  <c r="AA61" i="36"/>
  <c r="AB61" i="36" s="1"/>
  <c r="AE61" i="36"/>
  <c r="K62" i="36"/>
  <c r="G63" i="36" s="1"/>
  <c r="S62" i="36"/>
  <c r="X62" i="36" s="1"/>
  <c r="T62" i="36"/>
  <c r="U62" i="36"/>
  <c r="V62" i="36"/>
  <c r="P62" i="36"/>
  <c r="W95" i="43" l="1"/>
  <c r="AA95" i="43" s="1"/>
  <c r="Y95" i="43"/>
  <c r="Z95" i="43" s="1"/>
  <c r="L97" i="43"/>
  <c r="I97" i="43"/>
  <c r="J97" i="43" s="1"/>
  <c r="K97" i="43" s="1"/>
  <c r="G98" i="43" s="1"/>
  <c r="M97" i="43"/>
  <c r="O97" i="43" s="1"/>
  <c r="AF94" i="43"/>
  <c r="AD94" i="43"/>
  <c r="P96" i="43"/>
  <c r="V96" i="43"/>
  <c r="U96" i="43"/>
  <c r="AE94" i="43"/>
  <c r="AB94" i="43"/>
  <c r="AE95" i="43"/>
  <c r="T96" i="43"/>
  <c r="S96" i="43"/>
  <c r="AF94" i="42"/>
  <c r="AD94" i="42"/>
  <c r="AE95" i="42"/>
  <c r="Y95" i="42"/>
  <c r="Z95" i="42" s="1"/>
  <c r="S96" i="42"/>
  <c r="T96" i="42"/>
  <c r="P96" i="42"/>
  <c r="X96" i="42" s="1"/>
  <c r="V96" i="42"/>
  <c r="U96" i="42"/>
  <c r="AB94" i="42"/>
  <c r="AE94" i="42"/>
  <c r="M97" i="42"/>
  <c r="O97" i="42" s="1"/>
  <c r="L97" i="42"/>
  <c r="I97" i="42"/>
  <c r="J97" i="42" s="1"/>
  <c r="K97" i="42" s="1"/>
  <c r="G98" i="42" s="1"/>
  <c r="Y95" i="41"/>
  <c r="Z95" i="41" s="1"/>
  <c r="T96" i="41"/>
  <c r="S96" i="41"/>
  <c r="P96" i="41"/>
  <c r="X96" i="41" s="1"/>
  <c r="U96" i="41"/>
  <c r="V96" i="41"/>
  <c r="M97" i="41"/>
  <c r="O97" i="41" s="1"/>
  <c r="L97" i="41"/>
  <c r="I97" i="41"/>
  <c r="J97" i="41" s="1"/>
  <c r="K97" i="41" s="1"/>
  <c r="G98" i="41" s="1"/>
  <c r="AB94" i="41"/>
  <c r="AF94" i="41"/>
  <c r="AD94" i="41"/>
  <c r="W95" i="41"/>
  <c r="AA95" i="41" s="1"/>
  <c r="I99" i="35"/>
  <c r="J99" i="35" s="1"/>
  <c r="K99" i="35" s="1"/>
  <c r="G100" i="35" s="1"/>
  <c r="M99" i="35"/>
  <c r="L99" i="35"/>
  <c r="Y62" i="36"/>
  <c r="Z62" i="36" s="1"/>
  <c r="I63" i="36"/>
  <c r="J63" i="36" s="1"/>
  <c r="M63" i="36"/>
  <c r="O63" i="36" s="1"/>
  <c r="L63" i="36"/>
  <c r="K63" i="36"/>
  <c r="G64" i="36" s="1"/>
  <c r="W62" i="36"/>
  <c r="AF61" i="36"/>
  <c r="X96" i="43" l="1"/>
  <c r="Y96" i="43" s="1"/>
  <c r="Z96" i="43" s="1"/>
  <c r="L98" i="43"/>
  <c r="I98" i="43"/>
  <c r="J98" i="43" s="1"/>
  <c r="M98" i="43"/>
  <c r="O98" i="43" s="1"/>
  <c r="K98" i="43"/>
  <c r="G99" i="43" s="1"/>
  <c r="AF95" i="43"/>
  <c r="AD95" i="43"/>
  <c r="AB95" i="43"/>
  <c r="T97" i="43"/>
  <c r="S97" i="43"/>
  <c r="W96" i="43"/>
  <c r="AA96" i="43" s="1"/>
  <c r="V97" i="43"/>
  <c r="P97" i="43"/>
  <c r="X97" i="43"/>
  <c r="U97" i="43"/>
  <c r="Z96" i="42"/>
  <c r="Y96" i="42"/>
  <c r="AF95" i="42"/>
  <c r="AD95" i="42"/>
  <c r="AB95" i="42"/>
  <c r="V97" i="42"/>
  <c r="U97" i="42"/>
  <c r="P97" i="42"/>
  <c r="X97" i="42" s="1"/>
  <c r="L98" i="42"/>
  <c r="M98" i="42"/>
  <c r="O98" i="42" s="1"/>
  <c r="I98" i="42"/>
  <c r="J98" i="42" s="1"/>
  <c r="K98" i="42" s="1"/>
  <c r="G99" i="42" s="1"/>
  <c r="T97" i="42"/>
  <c r="S97" i="42"/>
  <c r="W96" i="42"/>
  <c r="AA96" i="42" s="1"/>
  <c r="Y96" i="41"/>
  <c r="Z96" i="41" s="1"/>
  <c r="L98" i="41"/>
  <c r="I98" i="41"/>
  <c r="J98" i="41" s="1"/>
  <c r="K98" i="41" s="1"/>
  <c r="G99" i="41" s="1"/>
  <c r="M98" i="41"/>
  <c r="O98" i="41" s="1"/>
  <c r="AD95" i="41"/>
  <c r="AB95" i="41"/>
  <c r="AF95" i="41"/>
  <c r="AE95" i="41"/>
  <c r="T97" i="41"/>
  <c r="S97" i="41"/>
  <c r="W96" i="41"/>
  <c r="AA96" i="41" s="1"/>
  <c r="V97" i="41"/>
  <c r="U97" i="41"/>
  <c r="P97" i="41"/>
  <c r="I100" i="35"/>
  <c r="J100" i="35" s="1"/>
  <c r="K100" i="35" s="1"/>
  <c r="G101" i="35" s="1"/>
  <c r="M100" i="35"/>
  <c r="L100" i="35"/>
  <c r="V63" i="36"/>
  <c r="U63" i="36"/>
  <c r="P63" i="36"/>
  <c r="X63" i="36" s="1"/>
  <c r="AA62" i="36"/>
  <c r="AB62" i="36" s="1"/>
  <c r="AE62" i="36"/>
  <c r="I64" i="36"/>
  <c r="J64" i="36" s="1"/>
  <c r="M64" i="36"/>
  <c r="O64" i="36" s="1"/>
  <c r="L64" i="36"/>
  <c r="AD62" i="36"/>
  <c r="S63" i="36"/>
  <c r="T63" i="36"/>
  <c r="W97" i="42" l="1"/>
  <c r="AA97" i="42" s="1"/>
  <c r="X97" i="41"/>
  <c r="AF96" i="43"/>
  <c r="AD96" i="43"/>
  <c r="AB96" i="43"/>
  <c r="Y97" i="43"/>
  <c r="Z97" i="43" s="1"/>
  <c r="P98" i="43"/>
  <c r="X98" i="43" s="1"/>
  <c r="V98" i="43"/>
  <c r="U98" i="43"/>
  <c r="T98" i="43"/>
  <c r="S98" i="43"/>
  <c r="M99" i="43"/>
  <c r="O99" i="43" s="1"/>
  <c r="L99" i="43"/>
  <c r="I99" i="43"/>
  <c r="J99" i="43" s="1"/>
  <c r="K99" i="43" s="1"/>
  <c r="G100" i="43" s="1"/>
  <c r="W97" i="43"/>
  <c r="AA97" i="43" s="1"/>
  <c r="AE96" i="43"/>
  <c r="Y97" i="42"/>
  <c r="Z97" i="42" s="1"/>
  <c r="I99" i="42"/>
  <c r="J99" i="42" s="1"/>
  <c r="M99" i="42"/>
  <c r="O99" i="42" s="1"/>
  <c r="L99" i="42"/>
  <c r="K99" i="42"/>
  <c r="G100" i="42" s="1"/>
  <c r="AE97" i="42"/>
  <c r="AE96" i="42"/>
  <c r="T98" i="42"/>
  <c r="S98" i="42"/>
  <c r="V98" i="42"/>
  <c r="U98" i="42"/>
  <c r="P98" i="42"/>
  <c r="X98" i="42" s="1"/>
  <c r="AF96" i="42"/>
  <c r="AD96" i="42"/>
  <c r="AB96" i="42"/>
  <c r="Y97" i="41"/>
  <c r="Z97" i="41" s="1"/>
  <c r="I99" i="41"/>
  <c r="J99" i="41" s="1"/>
  <c r="K99" i="41" s="1"/>
  <c r="G100" i="41" s="1"/>
  <c r="L99" i="41"/>
  <c r="M99" i="41"/>
  <c r="O99" i="41" s="1"/>
  <c r="P98" i="41"/>
  <c r="U98" i="41"/>
  <c r="V98" i="41"/>
  <c r="AF96" i="41"/>
  <c r="AD96" i="41"/>
  <c r="AE96" i="41"/>
  <c r="AB96" i="41"/>
  <c r="W97" i="41"/>
  <c r="AA97" i="41" s="1"/>
  <c r="T98" i="41"/>
  <c r="S98" i="41"/>
  <c r="I101" i="35"/>
  <c r="J101" i="35" s="1"/>
  <c r="K101" i="35"/>
  <c r="G102" i="35" s="1"/>
  <c r="M101" i="35"/>
  <c r="L101" i="35"/>
  <c r="W63" i="36"/>
  <c r="Y63" i="36"/>
  <c r="Z63" i="36" s="1"/>
  <c r="P64" i="36"/>
  <c r="X64" i="36" s="1"/>
  <c r="V64" i="36"/>
  <c r="U64" i="36"/>
  <c r="AA63" i="36"/>
  <c r="AE63" i="36"/>
  <c r="K64" i="36"/>
  <c r="G65" i="36" s="1"/>
  <c r="AF62" i="36"/>
  <c r="S64" i="36"/>
  <c r="T64" i="36"/>
  <c r="X98" i="41" l="1"/>
  <c r="Y98" i="43"/>
  <c r="Z98" i="43" s="1"/>
  <c r="M100" i="43"/>
  <c r="O100" i="43" s="1"/>
  <c r="L100" i="43"/>
  <c r="I100" i="43"/>
  <c r="J100" i="43" s="1"/>
  <c r="K100" i="43" s="1"/>
  <c r="G101" i="43" s="1"/>
  <c r="AD97" i="43"/>
  <c r="AB97" i="43"/>
  <c r="AF97" i="43"/>
  <c r="AE97" i="43"/>
  <c r="T99" i="43"/>
  <c r="S99" i="43"/>
  <c r="W98" i="43"/>
  <c r="AA98" i="43" s="1"/>
  <c r="P99" i="43"/>
  <c r="X99" i="43" s="1"/>
  <c r="V99" i="43"/>
  <c r="U99" i="43"/>
  <c r="Y98" i="42"/>
  <c r="Z98" i="42" s="1"/>
  <c r="AD97" i="42"/>
  <c r="AB97" i="42"/>
  <c r="AF97" i="42"/>
  <c r="S99" i="42"/>
  <c r="T99" i="42"/>
  <c r="W99" i="42" s="1"/>
  <c r="AA99" i="42" s="1"/>
  <c r="M100" i="42"/>
  <c r="O100" i="42" s="1"/>
  <c r="L100" i="42"/>
  <c r="I100" i="42"/>
  <c r="J100" i="42" s="1"/>
  <c r="K100" i="42" s="1"/>
  <c r="G101" i="42" s="1"/>
  <c r="P99" i="42"/>
  <c r="V99" i="42"/>
  <c r="U99" i="42"/>
  <c r="W98" i="42"/>
  <c r="AA98" i="42" s="1"/>
  <c r="Y98" i="41"/>
  <c r="Z98" i="41"/>
  <c r="M100" i="41"/>
  <c r="O100" i="41" s="1"/>
  <c r="L100" i="41"/>
  <c r="I100" i="41"/>
  <c r="J100" i="41" s="1"/>
  <c r="K100" i="41" s="1"/>
  <c r="G101" i="41" s="1"/>
  <c r="AD97" i="41"/>
  <c r="AB97" i="41"/>
  <c r="AF97" i="41"/>
  <c r="V99" i="41"/>
  <c r="U99" i="41"/>
  <c r="P99" i="41"/>
  <c r="X99" i="41"/>
  <c r="AE97" i="41"/>
  <c r="T99" i="41"/>
  <c r="S99" i="41"/>
  <c r="W98" i="41"/>
  <c r="AA98" i="41" s="1"/>
  <c r="I102" i="35"/>
  <c r="J102" i="35" s="1"/>
  <c r="K102" i="35" s="1"/>
  <c r="G103" i="35" s="1"/>
  <c r="M102" i="35"/>
  <c r="L102" i="35"/>
  <c r="W64" i="36"/>
  <c r="Y64" i="36"/>
  <c r="Z64" i="36" s="1"/>
  <c r="AD63" i="36"/>
  <c r="AF63" i="36" s="1"/>
  <c r="AB63" i="36"/>
  <c r="AA64" i="36"/>
  <c r="AE64" i="36"/>
  <c r="I65" i="36"/>
  <c r="J65" i="36" s="1"/>
  <c r="K65" i="36"/>
  <c r="G66" i="36" s="1"/>
  <c r="M65" i="36"/>
  <c r="O65" i="36" s="1"/>
  <c r="L65" i="36"/>
  <c r="W99" i="43" l="1"/>
  <c r="AA99" i="43" s="1"/>
  <c r="X99" i="42"/>
  <c r="W99" i="41"/>
  <c r="AA99" i="41" s="1"/>
  <c r="Y99" i="43"/>
  <c r="Z99" i="43" s="1"/>
  <c r="L101" i="43"/>
  <c r="I101" i="43"/>
  <c r="J101" i="43" s="1"/>
  <c r="K101" i="43" s="1"/>
  <c r="G102" i="43" s="1"/>
  <c r="M101" i="43"/>
  <c r="O101" i="43" s="1"/>
  <c r="AF98" i="43"/>
  <c r="AD98" i="43"/>
  <c r="P100" i="43"/>
  <c r="V100" i="43"/>
  <c r="U100" i="43"/>
  <c r="AE98" i="43"/>
  <c r="AB98" i="43"/>
  <c r="AE99" i="43"/>
  <c r="T100" i="43"/>
  <c r="S100" i="43"/>
  <c r="Y99" i="42"/>
  <c r="Z99" i="42" s="1"/>
  <c r="M101" i="42"/>
  <c r="O101" i="42" s="1"/>
  <c r="L101" i="42"/>
  <c r="I101" i="42"/>
  <c r="J101" i="42" s="1"/>
  <c r="K101" i="42" s="1"/>
  <c r="G102" i="42" s="1"/>
  <c r="AB98" i="42"/>
  <c r="AF98" i="42"/>
  <c r="AD98" i="42"/>
  <c r="AE98" i="42"/>
  <c r="AE99" i="42"/>
  <c r="P100" i="42"/>
  <c r="V100" i="42"/>
  <c r="U100" i="42"/>
  <c r="T100" i="42"/>
  <c r="S100" i="42"/>
  <c r="M101" i="41"/>
  <c r="O101" i="41" s="1"/>
  <c r="L101" i="41"/>
  <c r="I101" i="41"/>
  <c r="J101" i="41" s="1"/>
  <c r="K101" i="41" s="1"/>
  <c r="G102" i="41" s="1"/>
  <c r="Y99" i="41"/>
  <c r="Z99" i="41" s="1"/>
  <c r="P100" i="41"/>
  <c r="U100" i="41"/>
  <c r="V100" i="41"/>
  <c r="AE99" i="41"/>
  <c r="T100" i="41"/>
  <c r="W100" i="41" s="1"/>
  <c r="AA100" i="41" s="1"/>
  <c r="S100" i="41"/>
  <c r="AB98" i="41"/>
  <c r="AE98" i="41"/>
  <c r="AF98" i="41"/>
  <c r="AD98" i="41"/>
  <c r="I103" i="35"/>
  <c r="J103" i="35" s="1"/>
  <c r="K103" i="35"/>
  <c r="G104" i="35" s="1"/>
  <c r="M103" i="35"/>
  <c r="L103" i="35"/>
  <c r="AB64" i="36"/>
  <c r="AD64" i="36"/>
  <c r="C43" i="36" s="1"/>
  <c r="I66" i="36"/>
  <c r="J66" i="36" s="1"/>
  <c r="M66" i="36"/>
  <c r="O66" i="36" s="1"/>
  <c r="L66" i="36"/>
  <c r="K66" i="36"/>
  <c r="G67" i="36" s="1"/>
  <c r="S65" i="36"/>
  <c r="T65" i="36"/>
  <c r="V65" i="36"/>
  <c r="U65" i="36"/>
  <c r="P65" i="36"/>
  <c r="X65" i="36" s="1"/>
  <c r="X100" i="43" l="1"/>
  <c r="X100" i="42"/>
  <c r="X100" i="41"/>
  <c r="Y100" i="43"/>
  <c r="Z100" i="43" s="1"/>
  <c r="L102" i="43"/>
  <c r="I102" i="43"/>
  <c r="J102" i="43" s="1"/>
  <c r="M102" i="43"/>
  <c r="O102" i="43" s="1"/>
  <c r="K102" i="43"/>
  <c r="G103" i="43" s="1"/>
  <c r="AF99" i="43"/>
  <c r="AD99" i="43"/>
  <c r="AB99" i="43"/>
  <c r="V101" i="43"/>
  <c r="U101" i="43"/>
  <c r="P101" i="43"/>
  <c r="T101" i="43"/>
  <c r="W101" i="43" s="1"/>
  <c r="AA101" i="43" s="1"/>
  <c r="S101" i="43"/>
  <c r="W100" i="43"/>
  <c r="AA100" i="43" s="1"/>
  <c r="Y100" i="42"/>
  <c r="Z100" i="42" s="1"/>
  <c r="L102" i="42"/>
  <c r="I102" i="42"/>
  <c r="J102" i="42" s="1"/>
  <c r="K102" i="42" s="1"/>
  <c r="G103" i="42" s="1"/>
  <c r="M102" i="42"/>
  <c r="O102" i="42" s="1"/>
  <c r="AF99" i="42"/>
  <c r="AD99" i="42"/>
  <c r="AB99" i="42"/>
  <c r="V101" i="42"/>
  <c r="U101" i="42"/>
  <c r="P101" i="42"/>
  <c r="W100" i="42"/>
  <c r="AA100" i="42" s="1"/>
  <c r="T101" i="42"/>
  <c r="S101" i="42"/>
  <c r="Y100" i="41"/>
  <c r="Z100" i="41" s="1"/>
  <c r="AD99" i="41"/>
  <c r="AF99" i="41"/>
  <c r="AB99" i="41"/>
  <c r="L102" i="41"/>
  <c r="I102" i="41"/>
  <c r="J102" i="41" s="1"/>
  <c r="K102" i="41" s="1"/>
  <c r="G103" i="41" s="1"/>
  <c r="M102" i="41"/>
  <c r="O102" i="41" s="1"/>
  <c r="T101" i="41"/>
  <c r="S101" i="41"/>
  <c r="AE100" i="41"/>
  <c r="V101" i="41"/>
  <c r="U101" i="41"/>
  <c r="P101" i="41"/>
  <c r="I104" i="35"/>
  <c r="J104" i="35" s="1"/>
  <c r="K104" i="35" s="1"/>
  <c r="G105" i="35" s="1"/>
  <c r="M104" i="35"/>
  <c r="L104" i="35"/>
  <c r="W65" i="36"/>
  <c r="Y65" i="36"/>
  <c r="Z65" i="36" s="1"/>
  <c r="V66" i="36"/>
  <c r="U66" i="36"/>
  <c r="P66" i="36"/>
  <c r="X66" i="36" s="1"/>
  <c r="AA65" i="36"/>
  <c r="AE65" i="36"/>
  <c r="I67" i="36"/>
  <c r="J67" i="36" s="1"/>
  <c r="L67" i="36"/>
  <c r="M67" i="36"/>
  <c r="O67" i="36" s="1"/>
  <c r="K67" i="36"/>
  <c r="G68" i="36" s="1"/>
  <c r="AF64" i="36"/>
  <c r="C44" i="36"/>
  <c r="S66" i="36"/>
  <c r="T66" i="36"/>
  <c r="X101" i="43" l="1"/>
  <c r="Y101" i="43" s="1"/>
  <c r="Z101" i="43" s="1"/>
  <c r="W101" i="42"/>
  <c r="AA101" i="42" s="1"/>
  <c r="X101" i="42"/>
  <c r="X101" i="41"/>
  <c r="Y101" i="41" s="1"/>
  <c r="Z101" i="41" s="1"/>
  <c r="AF100" i="43"/>
  <c r="AD100" i="43"/>
  <c r="AB100" i="43"/>
  <c r="M103" i="43"/>
  <c r="O103" i="43" s="1"/>
  <c r="L103" i="43"/>
  <c r="I103" i="43"/>
  <c r="J103" i="43" s="1"/>
  <c r="K103" i="43" s="1"/>
  <c r="G104" i="43" s="1"/>
  <c r="T102" i="43"/>
  <c r="S102" i="43"/>
  <c r="AE100" i="43"/>
  <c r="AE101" i="43"/>
  <c r="P102" i="43"/>
  <c r="V102" i="43"/>
  <c r="U102" i="43"/>
  <c r="I103" i="42"/>
  <c r="J103" i="42" s="1"/>
  <c r="M103" i="42"/>
  <c r="O103" i="42" s="1"/>
  <c r="L103" i="42"/>
  <c r="K103" i="42"/>
  <c r="G104" i="42" s="1"/>
  <c r="Y101" i="42"/>
  <c r="AF100" i="42"/>
  <c r="AD100" i="42"/>
  <c r="AE100" i="42"/>
  <c r="AB100" i="42"/>
  <c r="AE101" i="42"/>
  <c r="V102" i="42"/>
  <c r="U102" i="42"/>
  <c r="P102" i="42"/>
  <c r="T102" i="42"/>
  <c r="S102" i="42"/>
  <c r="I103" i="41"/>
  <c r="J103" i="41" s="1"/>
  <c r="K103" i="41"/>
  <c r="G104" i="41" s="1"/>
  <c r="M103" i="41"/>
  <c r="O103" i="41" s="1"/>
  <c r="L103" i="41"/>
  <c r="AF100" i="41"/>
  <c r="AB100" i="41"/>
  <c r="AD100" i="41"/>
  <c r="T102" i="41"/>
  <c r="S102" i="41"/>
  <c r="W101" i="41"/>
  <c r="AA101" i="41" s="1"/>
  <c r="P102" i="41"/>
  <c r="X102" i="41" s="1"/>
  <c r="U102" i="41"/>
  <c r="V102" i="41"/>
  <c r="I105" i="35"/>
  <c r="J105" i="35" s="1"/>
  <c r="K105" i="35" s="1"/>
  <c r="G106" i="35" s="1"/>
  <c r="M105" i="35"/>
  <c r="L105" i="35"/>
  <c r="Y66" i="36"/>
  <c r="Z66" i="36"/>
  <c r="P67" i="36"/>
  <c r="V67" i="36"/>
  <c r="U67" i="36"/>
  <c r="I68" i="36"/>
  <c r="J68" i="36" s="1"/>
  <c r="L68" i="36"/>
  <c r="M68" i="36"/>
  <c r="O68" i="36" s="1"/>
  <c r="S67" i="36"/>
  <c r="X67" i="36" s="1"/>
  <c r="T67" i="36"/>
  <c r="W67" i="36" s="1"/>
  <c r="AB65" i="36"/>
  <c r="AD65" i="36"/>
  <c r="AF65" i="36" s="1"/>
  <c r="W66" i="36"/>
  <c r="X102" i="43" l="1"/>
  <c r="Z101" i="42"/>
  <c r="X102" i="42"/>
  <c r="Y102" i="42" s="1"/>
  <c r="Z102" i="42" s="1"/>
  <c r="AD101" i="43"/>
  <c r="AB101" i="43"/>
  <c r="AF101" i="43"/>
  <c r="Y102" i="43"/>
  <c r="Z102" i="43" s="1"/>
  <c r="M104" i="43"/>
  <c r="O104" i="43" s="1"/>
  <c r="L104" i="43"/>
  <c r="I104" i="43"/>
  <c r="J104" i="43" s="1"/>
  <c r="K104" i="43" s="1"/>
  <c r="G105" i="43" s="1"/>
  <c r="T103" i="43"/>
  <c r="S103" i="43"/>
  <c r="W102" i="43"/>
  <c r="AA102" i="43" s="1"/>
  <c r="P103" i="43"/>
  <c r="X103" i="43" s="1"/>
  <c r="V103" i="43"/>
  <c r="U103" i="43"/>
  <c r="AD101" i="42"/>
  <c r="AB101" i="42"/>
  <c r="AF101" i="42"/>
  <c r="M104" i="42"/>
  <c r="O104" i="42" s="1"/>
  <c r="L104" i="42"/>
  <c r="I104" i="42"/>
  <c r="J104" i="42" s="1"/>
  <c r="K104" i="42" s="1"/>
  <c r="G105" i="42" s="1"/>
  <c r="W102" i="42"/>
  <c r="AA102" i="42" s="1"/>
  <c r="P103" i="42"/>
  <c r="V103" i="42"/>
  <c r="U103" i="42"/>
  <c r="S103" i="42"/>
  <c r="T103" i="42"/>
  <c r="W103" i="42" s="1"/>
  <c r="AA103" i="42" s="1"/>
  <c r="Y102" i="41"/>
  <c r="Z102" i="41"/>
  <c r="AD101" i="41"/>
  <c r="AF101" i="41"/>
  <c r="AB101" i="41"/>
  <c r="S103" i="41"/>
  <c r="T103" i="41"/>
  <c r="M104" i="41"/>
  <c r="O104" i="41" s="1"/>
  <c r="L104" i="41"/>
  <c r="I104" i="41"/>
  <c r="J104" i="41" s="1"/>
  <c r="K104" i="41" s="1"/>
  <c r="G105" i="41" s="1"/>
  <c r="V103" i="41"/>
  <c r="P103" i="41"/>
  <c r="X103" i="41" s="1"/>
  <c r="U103" i="41"/>
  <c r="W102" i="41"/>
  <c r="AA102" i="41" s="1"/>
  <c r="AE101" i="41"/>
  <c r="I106" i="35"/>
  <c r="J106" i="35" s="1"/>
  <c r="K106" i="35" s="1"/>
  <c r="G107" i="35" s="1"/>
  <c r="M106" i="35"/>
  <c r="L106" i="35"/>
  <c r="Y67" i="36"/>
  <c r="Z67" i="36" s="1"/>
  <c r="AA67" i="36"/>
  <c r="AE67" i="36"/>
  <c r="S68" i="36"/>
  <c r="T68" i="36"/>
  <c r="W68" i="36" s="1"/>
  <c r="AA66" i="36"/>
  <c r="AB66" i="36" s="1"/>
  <c r="AE66" i="36"/>
  <c r="AD66" i="36"/>
  <c r="V68" i="36"/>
  <c r="U68" i="36"/>
  <c r="P68" i="36"/>
  <c r="X68" i="36"/>
  <c r="K68" i="36"/>
  <c r="G69" i="36" s="1"/>
  <c r="X103" i="42" l="1"/>
  <c r="W103" i="41"/>
  <c r="AA103" i="41" s="1"/>
  <c r="Y103" i="43"/>
  <c r="Z103" i="43" s="1"/>
  <c r="AB102" i="43"/>
  <c r="AF102" i="43"/>
  <c r="AD102" i="43"/>
  <c r="L105" i="43"/>
  <c r="I105" i="43"/>
  <c r="J105" i="43" s="1"/>
  <c r="K105" i="43" s="1"/>
  <c r="G106" i="43" s="1"/>
  <c r="M105" i="43"/>
  <c r="O105" i="43" s="1"/>
  <c r="P104" i="43"/>
  <c r="V104" i="43"/>
  <c r="U104" i="43"/>
  <c r="W103" i="43"/>
  <c r="AA103" i="43" s="1"/>
  <c r="T104" i="43"/>
  <c r="W104" i="43" s="1"/>
  <c r="AA104" i="43" s="1"/>
  <c r="S104" i="43"/>
  <c r="AE102" i="43"/>
  <c r="M105" i="42"/>
  <c r="O105" i="42" s="1"/>
  <c r="L105" i="42"/>
  <c r="I105" i="42"/>
  <c r="J105" i="42" s="1"/>
  <c r="K105" i="42" s="1"/>
  <c r="G106" i="42" s="1"/>
  <c r="Y103" i="42"/>
  <c r="Z103" i="42" s="1"/>
  <c r="AB102" i="42"/>
  <c r="AF102" i="42"/>
  <c r="AD102" i="42"/>
  <c r="AE103" i="42"/>
  <c r="T104" i="42"/>
  <c r="S104" i="42"/>
  <c r="AE102" i="42"/>
  <c r="P104" i="42"/>
  <c r="X104" i="42" s="1"/>
  <c r="V104" i="42"/>
  <c r="U104" i="42"/>
  <c r="P104" i="41"/>
  <c r="X104" i="41" s="1"/>
  <c r="U104" i="41"/>
  <c r="V104" i="41"/>
  <c r="AB102" i="41"/>
  <c r="AE102" i="41"/>
  <c r="M105" i="41"/>
  <c r="O105" i="41" s="1"/>
  <c r="L105" i="41"/>
  <c r="I105" i="41"/>
  <c r="J105" i="41" s="1"/>
  <c r="K105" i="41" s="1"/>
  <c r="G106" i="41" s="1"/>
  <c r="AF102" i="41"/>
  <c r="AD102" i="41"/>
  <c r="Y103" i="41"/>
  <c r="Z103" i="41" s="1"/>
  <c r="T104" i="41"/>
  <c r="S104" i="41"/>
  <c r="I107" i="35"/>
  <c r="J107" i="35" s="1"/>
  <c r="K107" i="35"/>
  <c r="G108" i="35" s="1"/>
  <c r="M107" i="35"/>
  <c r="L107" i="35"/>
  <c r="AB67" i="36"/>
  <c r="AD67" i="36"/>
  <c r="AF67" i="36" s="1"/>
  <c r="Y68" i="36"/>
  <c r="Z68" i="36" s="1"/>
  <c r="AA68" i="36"/>
  <c r="AE68" i="36"/>
  <c r="AF66" i="36"/>
  <c r="I69" i="36"/>
  <c r="J69" i="36" s="1"/>
  <c r="M69" i="36"/>
  <c r="O69" i="36" s="1"/>
  <c r="L69" i="36"/>
  <c r="X104" i="43" l="1"/>
  <c r="W104" i="42"/>
  <c r="AA104" i="42" s="1"/>
  <c r="AE103" i="41"/>
  <c r="Y104" i="43"/>
  <c r="Z104" i="43" s="1"/>
  <c r="L106" i="43"/>
  <c r="I106" i="43"/>
  <c r="J106" i="43" s="1"/>
  <c r="M106" i="43"/>
  <c r="O106" i="43" s="1"/>
  <c r="K106" i="43"/>
  <c r="G107" i="43" s="1"/>
  <c r="AF103" i="43"/>
  <c r="AD103" i="43"/>
  <c r="T105" i="43"/>
  <c r="S105" i="43"/>
  <c r="X105" i="43" s="1"/>
  <c r="AE104" i="43"/>
  <c r="AE103" i="43"/>
  <c r="AB103" i="43"/>
  <c r="V105" i="43"/>
  <c r="P105" i="43"/>
  <c r="U105" i="43"/>
  <c r="AF103" i="42"/>
  <c r="AB103" i="42"/>
  <c r="AD103" i="42"/>
  <c r="L106" i="42"/>
  <c r="M106" i="42"/>
  <c r="O106" i="42" s="1"/>
  <c r="I106" i="42"/>
  <c r="J106" i="42" s="1"/>
  <c r="K106" i="42" s="1"/>
  <c r="G107" i="42" s="1"/>
  <c r="Y104" i="42"/>
  <c r="Z104" i="42" s="1"/>
  <c r="AE104" i="42"/>
  <c r="T105" i="42"/>
  <c r="S105" i="42"/>
  <c r="V105" i="42"/>
  <c r="U105" i="42"/>
  <c r="P105" i="42"/>
  <c r="X105" i="42" s="1"/>
  <c r="L106" i="41"/>
  <c r="I106" i="41"/>
  <c r="J106" i="41" s="1"/>
  <c r="K106" i="41" s="1"/>
  <c r="G107" i="41" s="1"/>
  <c r="M106" i="41"/>
  <c r="O106" i="41" s="1"/>
  <c r="Y104" i="41"/>
  <c r="Z104" i="41"/>
  <c r="AD103" i="41"/>
  <c r="AF103" i="41"/>
  <c r="AB103" i="41"/>
  <c r="T105" i="41"/>
  <c r="S105" i="41"/>
  <c r="W104" i="41"/>
  <c r="AA104" i="41" s="1"/>
  <c r="V105" i="41"/>
  <c r="U105" i="41"/>
  <c r="P105" i="41"/>
  <c r="I108" i="35"/>
  <c r="J108" i="35" s="1"/>
  <c r="K108" i="35"/>
  <c r="G109" i="35" s="1"/>
  <c r="M108" i="35"/>
  <c r="L108" i="35"/>
  <c r="AD68" i="36"/>
  <c r="AF68" i="36" s="1"/>
  <c r="AB68" i="36"/>
  <c r="S69" i="36"/>
  <c r="T69" i="36"/>
  <c r="K69" i="36"/>
  <c r="G70" i="36" s="1"/>
  <c r="V69" i="36"/>
  <c r="U69" i="36"/>
  <c r="P69" i="36"/>
  <c r="X105" i="41" l="1"/>
  <c r="Y105" i="43"/>
  <c r="Z105" i="43" s="1"/>
  <c r="AF104" i="43"/>
  <c r="AD104" i="43"/>
  <c r="AB104" i="43"/>
  <c r="P106" i="43"/>
  <c r="X106" i="43" s="1"/>
  <c r="V106" i="43"/>
  <c r="U106" i="43"/>
  <c r="T106" i="43"/>
  <c r="S106" i="43"/>
  <c r="W105" i="43"/>
  <c r="AA105" i="43" s="1"/>
  <c r="M107" i="43"/>
  <c r="O107" i="43" s="1"/>
  <c r="L107" i="43"/>
  <c r="I107" i="43"/>
  <c r="J107" i="43" s="1"/>
  <c r="K107" i="43" s="1"/>
  <c r="G108" i="43" s="1"/>
  <c r="I107" i="42"/>
  <c r="J107" i="42" s="1"/>
  <c r="K107" i="42" s="1"/>
  <c r="G108" i="42" s="1"/>
  <c r="M107" i="42"/>
  <c r="O107" i="42" s="1"/>
  <c r="L107" i="42"/>
  <c r="AF104" i="42"/>
  <c r="AD104" i="42"/>
  <c r="AB104" i="42"/>
  <c r="U106" i="42"/>
  <c r="V106" i="42"/>
  <c r="P106" i="42"/>
  <c r="X106" i="42" s="1"/>
  <c r="W105" i="42"/>
  <c r="AA105" i="42" s="1"/>
  <c r="Y105" i="42"/>
  <c r="Z105" i="42" s="1"/>
  <c r="T106" i="42"/>
  <c r="S106" i="42"/>
  <c r="I107" i="41"/>
  <c r="J107" i="41" s="1"/>
  <c r="K107" i="41" s="1"/>
  <c r="G108" i="41" s="1"/>
  <c r="M107" i="41"/>
  <c r="O107" i="41" s="1"/>
  <c r="L107" i="41"/>
  <c r="AF104" i="41"/>
  <c r="AB104" i="41"/>
  <c r="AD104" i="41"/>
  <c r="AE104" i="41"/>
  <c r="Y105" i="41"/>
  <c r="Z105" i="41" s="1"/>
  <c r="P106" i="41"/>
  <c r="X106" i="41" s="1"/>
  <c r="U106" i="41"/>
  <c r="V106" i="41"/>
  <c r="W105" i="41"/>
  <c r="AA105" i="41" s="1"/>
  <c r="T106" i="41"/>
  <c r="S106" i="41"/>
  <c r="I109" i="35"/>
  <c r="J109" i="35" s="1"/>
  <c r="K109" i="35"/>
  <c r="G110" i="35" s="1"/>
  <c r="M109" i="35"/>
  <c r="L109" i="35"/>
  <c r="X69" i="36"/>
  <c r="Y69" i="36"/>
  <c r="Z69" i="36" s="1"/>
  <c r="W69" i="36"/>
  <c r="I70" i="36"/>
  <c r="J70" i="36" s="1"/>
  <c r="M70" i="36"/>
  <c r="O70" i="36" s="1"/>
  <c r="L70" i="36"/>
  <c r="K70" i="36"/>
  <c r="G71" i="36" s="1"/>
  <c r="M108" i="43" l="1"/>
  <c r="O108" i="43" s="1"/>
  <c r="L108" i="43"/>
  <c r="I108" i="43"/>
  <c r="J108" i="43" s="1"/>
  <c r="K108" i="43" s="1"/>
  <c r="G109" i="43" s="1"/>
  <c r="Y106" i="43"/>
  <c r="Z106" i="43" s="1"/>
  <c r="AD105" i="43"/>
  <c r="AB105" i="43"/>
  <c r="AF105" i="43"/>
  <c r="T107" i="43"/>
  <c r="S107" i="43"/>
  <c r="W106" i="43"/>
  <c r="AA106" i="43" s="1"/>
  <c r="P107" i="43"/>
  <c r="X107" i="43" s="1"/>
  <c r="V107" i="43"/>
  <c r="U107" i="43"/>
  <c r="AE105" i="43"/>
  <c r="AD105" i="42"/>
  <c r="AF105" i="42"/>
  <c r="Y106" i="42"/>
  <c r="Z106" i="42" s="1"/>
  <c r="AE105" i="42"/>
  <c r="AB105" i="42"/>
  <c r="L108" i="42"/>
  <c r="M108" i="42"/>
  <c r="O108" i="42" s="1"/>
  <c r="I108" i="42"/>
  <c r="J108" i="42" s="1"/>
  <c r="K108" i="42" s="1"/>
  <c r="G109" i="42" s="1"/>
  <c r="P107" i="42"/>
  <c r="X107" i="42" s="1"/>
  <c r="V107" i="42"/>
  <c r="U107" i="42"/>
  <c r="W106" i="42"/>
  <c r="AA106" i="42" s="1"/>
  <c r="T107" i="42"/>
  <c r="S107" i="42"/>
  <c r="Y106" i="41"/>
  <c r="Z106" i="41" s="1"/>
  <c r="AD105" i="41"/>
  <c r="AF105" i="41"/>
  <c r="AB105" i="41"/>
  <c r="M108" i="41"/>
  <c r="O108" i="41" s="1"/>
  <c r="L108" i="41"/>
  <c r="I108" i="41"/>
  <c r="J108" i="41" s="1"/>
  <c r="K108" i="41" s="1"/>
  <c r="G109" i="41" s="1"/>
  <c r="AE105" i="41"/>
  <c r="S107" i="41"/>
  <c r="T107" i="41"/>
  <c r="V107" i="41"/>
  <c r="U107" i="41"/>
  <c r="P107" i="41"/>
  <c r="W106" i="41"/>
  <c r="AA106" i="41" s="1"/>
  <c r="I110" i="35"/>
  <c r="J110" i="35" s="1"/>
  <c r="K110" i="35"/>
  <c r="G111" i="35" s="1"/>
  <c r="M110" i="35"/>
  <c r="L110" i="35"/>
  <c r="AD69" i="36"/>
  <c r="I71" i="36"/>
  <c r="J71" i="36" s="1"/>
  <c r="M71" i="36"/>
  <c r="O71" i="36" s="1"/>
  <c r="L71" i="36"/>
  <c r="K71" i="36"/>
  <c r="G72" i="36" s="1"/>
  <c r="S70" i="36"/>
  <c r="X70" i="36" s="1"/>
  <c r="T70" i="36"/>
  <c r="W70" i="36" s="1"/>
  <c r="U70" i="36"/>
  <c r="P70" i="36"/>
  <c r="V70" i="36"/>
  <c r="AA69" i="36"/>
  <c r="AB69" i="36" s="1"/>
  <c r="AE69" i="36"/>
  <c r="X107" i="41" l="1"/>
  <c r="AF106" i="43"/>
  <c r="AD106" i="43"/>
  <c r="Y107" i="43"/>
  <c r="Z107" i="43" s="1"/>
  <c r="L109" i="43"/>
  <c r="I109" i="43"/>
  <c r="J109" i="43" s="1"/>
  <c r="K109" i="43" s="1"/>
  <c r="G110" i="43" s="1"/>
  <c r="M109" i="43"/>
  <c r="O109" i="43" s="1"/>
  <c r="AE106" i="43"/>
  <c r="AB106" i="43"/>
  <c r="W107" i="43"/>
  <c r="AA107" i="43" s="1"/>
  <c r="T108" i="43"/>
  <c r="S108" i="43"/>
  <c r="P108" i="43"/>
  <c r="V108" i="43"/>
  <c r="U108" i="43"/>
  <c r="M109" i="42"/>
  <c r="O109" i="42" s="1"/>
  <c r="L109" i="42"/>
  <c r="I109" i="42"/>
  <c r="J109" i="42" s="1"/>
  <c r="K109" i="42" s="1"/>
  <c r="G110" i="42" s="1"/>
  <c r="AB106" i="42"/>
  <c r="AF106" i="42"/>
  <c r="AD106" i="42"/>
  <c r="Y107" i="42"/>
  <c r="Z107" i="42" s="1"/>
  <c r="T108" i="42"/>
  <c r="S108" i="42"/>
  <c r="AE106" i="42"/>
  <c r="P108" i="42"/>
  <c r="V108" i="42"/>
  <c r="U108" i="42"/>
  <c r="W107" i="42"/>
  <c r="AA107" i="42" s="1"/>
  <c r="M109" i="41"/>
  <c r="O109" i="41" s="1"/>
  <c r="I109" i="41"/>
  <c r="J109" i="41" s="1"/>
  <c r="K109" i="41" s="1"/>
  <c r="G110" i="41" s="1"/>
  <c r="L109" i="41"/>
  <c r="P108" i="41"/>
  <c r="U108" i="41"/>
  <c r="V108" i="41"/>
  <c r="T108" i="41"/>
  <c r="S108" i="41"/>
  <c r="AB106" i="41"/>
  <c r="AF106" i="41"/>
  <c r="AD106" i="41"/>
  <c r="Y107" i="41"/>
  <c r="Z107" i="41" s="1"/>
  <c r="W107" i="41"/>
  <c r="AA107" i="41" s="1"/>
  <c r="AE106" i="41"/>
  <c r="I111" i="35"/>
  <c r="J111" i="35" s="1"/>
  <c r="K111" i="35"/>
  <c r="G112" i="35" s="1"/>
  <c r="M111" i="35"/>
  <c r="L111" i="35"/>
  <c r="Y70" i="36"/>
  <c r="Z70" i="36" s="1"/>
  <c r="AA70" i="36"/>
  <c r="AE70" i="36"/>
  <c r="V71" i="36"/>
  <c r="P71" i="36"/>
  <c r="X71" i="36" s="1"/>
  <c r="U71" i="36"/>
  <c r="I72" i="36"/>
  <c r="J72" i="36" s="1"/>
  <c r="L72" i="36"/>
  <c r="K72" i="36"/>
  <c r="G73" i="36" s="1"/>
  <c r="M72" i="36"/>
  <c r="O72" i="36" s="1"/>
  <c r="S71" i="36"/>
  <c r="T71" i="36"/>
  <c r="AF69" i="36"/>
  <c r="W108" i="43" l="1"/>
  <c r="AA108" i="43" s="1"/>
  <c r="X108" i="43"/>
  <c r="Y108" i="43" s="1"/>
  <c r="Z108" i="43" s="1"/>
  <c r="X108" i="42"/>
  <c r="X108" i="41"/>
  <c r="L110" i="43"/>
  <c r="I110" i="43"/>
  <c r="J110" i="43" s="1"/>
  <c r="M110" i="43"/>
  <c r="O110" i="43" s="1"/>
  <c r="K110" i="43"/>
  <c r="G111" i="43" s="1"/>
  <c r="AF107" i="43"/>
  <c r="AD107" i="43"/>
  <c r="AE108" i="43"/>
  <c r="AE107" i="43"/>
  <c r="AB107" i="43"/>
  <c r="T109" i="43"/>
  <c r="S109" i="43"/>
  <c r="V109" i="43"/>
  <c r="U109" i="43"/>
  <c r="P109" i="43"/>
  <c r="Y108" i="42"/>
  <c r="Z108" i="42" s="1"/>
  <c r="L110" i="42"/>
  <c r="M110" i="42"/>
  <c r="O110" i="42" s="1"/>
  <c r="I110" i="42"/>
  <c r="J110" i="42" s="1"/>
  <c r="K110" i="42" s="1"/>
  <c r="G111" i="42" s="1"/>
  <c r="AF107" i="42"/>
  <c r="AB107" i="42"/>
  <c r="AD107" i="42"/>
  <c r="AE107" i="42"/>
  <c r="W108" i="42"/>
  <c r="AA108" i="42" s="1"/>
  <c r="T109" i="42"/>
  <c r="S109" i="42"/>
  <c r="V109" i="42"/>
  <c r="U109" i="42"/>
  <c r="P109" i="42"/>
  <c r="X109" i="42" s="1"/>
  <c r="AD107" i="41"/>
  <c r="AF107" i="41"/>
  <c r="Y108" i="41"/>
  <c r="Z108" i="41" s="1"/>
  <c r="L110" i="41"/>
  <c r="I110" i="41"/>
  <c r="J110" i="41" s="1"/>
  <c r="K110" i="41" s="1"/>
  <c r="G111" i="41" s="1"/>
  <c r="M110" i="41"/>
  <c r="O110" i="41" s="1"/>
  <c r="AE107" i="41"/>
  <c r="AB107" i="41"/>
  <c r="T109" i="41"/>
  <c r="S109" i="41"/>
  <c r="W108" i="41"/>
  <c r="AA108" i="41" s="1"/>
  <c r="V109" i="41"/>
  <c r="U109" i="41"/>
  <c r="P109" i="41"/>
  <c r="X109" i="41" s="1"/>
  <c r="I112" i="35"/>
  <c r="J112" i="35" s="1"/>
  <c r="K112" i="35" s="1"/>
  <c r="G113" i="35" s="1"/>
  <c r="M112" i="35"/>
  <c r="L112" i="35"/>
  <c r="W71" i="36"/>
  <c r="AA71" i="36" s="1"/>
  <c r="Y71" i="36"/>
  <c r="Z71" i="36" s="1"/>
  <c r="AD70" i="36"/>
  <c r="AF70" i="36" s="1"/>
  <c r="AB70" i="36"/>
  <c r="I73" i="36"/>
  <c r="J73" i="36" s="1"/>
  <c r="M73" i="36"/>
  <c r="O73" i="36" s="1"/>
  <c r="L73" i="36"/>
  <c r="S72" i="36"/>
  <c r="T72" i="36"/>
  <c r="AE71" i="36"/>
  <c r="P72" i="36"/>
  <c r="V72" i="36"/>
  <c r="X72" i="36"/>
  <c r="U72" i="36"/>
  <c r="W109" i="43" l="1"/>
  <c r="AA109" i="43" s="1"/>
  <c r="X109" i="43"/>
  <c r="Y109" i="43" s="1"/>
  <c r="Z109" i="43" s="1"/>
  <c r="AF108" i="43"/>
  <c r="AD108" i="43"/>
  <c r="AB108" i="43"/>
  <c r="AE109" i="43"/>
  <c r="P110" i="43"/>
  <c r="V110" i="43"/>
  <c r="U110" i="43"/>
  <c r="M111" i="43"/>
  <c r="O111" i="43" s="1"/>
  <c r="L111" i="43"/>
  <c r="I111" i="43"/>
  <c r="J111" i="43" s="1"/>
  <c r="K111" i="43" s="1"/>
  <c r="G112" i="43" s="1"/>
  <c r="T110" i="43"/>
  <c r="S110" i="43"/>
  <c r="Y109" i="42"/>
  <c r="Z109" i="42" s="1"/>
  <c r="I111" i="42"/>
  <c r="J111" i="42" s="1"/>
  <c r="K111" i="42" s="1"/>
  <c r="G112" i="42" s="1"/>
  <c r="L111" i="42"/>
  <c r="M111" i="42"/>
  <c r="O111" i="42" s="1"/>
  <c r="W109" i="42"/>
  <c r="AA109" i="42" s="1"/>
  <c r="T110" i="42"/>
  <c r="S110" i="42"/>
  <c r="V110" i="42"/>
  <c r="U110" i="42"/>
  <c r="P110" i="42"/>
  <c r="AF108" i="42"/>
  <c r="AD108" i="42"/>
  <c r="AB108" i="42"/>
  <c r="AE108" i="42"/>
  <c r="Y109" i="41"/>
  <c r="Z109" i="41" s="1"/>
  <c r="I111" i="41"/>
  <c r="J111" i="41" s="1"/>
  <c r="K111" i="41" s="1"/>
  <c r="G112" i="41" s="1"/>
  <c r="M111" i="41"/>
  <c r="O111" i="41" s="1"/>
  <c r="L111" i="41"/>
  <c r="T110" i="41"/>
  <c r="S110" i="41"/>
  <c r="AF108" i="41"/>
  <c r="AD108" i="41"/>
  <c r="AE108" i="41"/>
  <c r="AB108" i="41"/>
  <c r="W109" i="41"/>
  <c r="AA109" i="41" s="1"/>
  <c r="P110" i="41"/>
  <c r="U110" i="41"/>
  <c r="V110" i="41"/>
  <c r="I113" i="35"/>
  <c r="J113" i="35" s="1"/>
  <c r="K113" i="35" s="1"/>
  <c r="G114" i="35" s="1"/>
  <c r="M113" i="35"/>
  <c r="L113" i="35"/>
  <c r="AB71" i="36"/>
  <c r="AD71" i="36"/>
  <c r="AF71" i="36" s="1"/>
  <c r="Y72" i="36"/>
  <c r="Z72" i="36" s="1"/>
  <c r="U73" i="36"/>
  <c r="V73" i="36"/>
  <c r="P73" i="36"/>
  <c r="X73" i="36" s="1"/>
  <c r="S73" i="36"/>
  <c r="T73" i="36"/>
  <c r="W72" i="36"/>
  <c r="K73" i="36"/>
  <c r="G74" i="36" s="1"/>
  <c r="X110" i="43" l="1"/>
  <c r="W110" i="43"/>
  <c r="AA110" i="43" s="1"/>
  <c r="X110" i="42"/>
  <c r="W110" i="42"/>
  <c r="AA110" i="42" s="1"/>
  <c r="W110" i="41"/>
  <c r="AA110" i="41" s="1"/>
  <c r="X110" i="41"/>
  <c r="M112" i="43"/>
  <c r="O112" i="43" s="1"/>
  <c r="L112" i="43"/>
  <c r="I112" i="43"/>
  <c r="J112" i="43" s="1"/>
  <c r="K112" i="43" s="1"/>
  <c r="G113" i="43" s="1"/>
  <c r="AD109" i="43"/>
  <c r="AB109" i="43"/>
  <c r="AF109" i="43"/>
  <c r="Y110" i="43"/>
  <c r="Z110" i="43" s="1"/>
  <c r="AE110" i="43"/>
  <c r="P111" i="43"/>
  <c r="X111" i="43" s="1"/>
  <c r="V111" i="43"/>
  <c r="U111" i="43"/>
  <c r="T111" i="43"/>
  <c r="S111" i="43"/>
  <c r="AD109" i="42"/>
  <c r="AB109" i="42"/>
  <c r="AF109" i="42"/>
  <c r="Y110" i="42"/>
  <c r="Z110" i="42" s="1"/>
  <c r="P111" i="42"/>
  <c r="X111" i="42" s="1"/>
  <c r="V111" i="42"/>
  <c r="U111" i="42"/>
  <c r="M112" i="42"/>
  <c r="O112" i="42" s="1"/>
  <c r="L112" i="42"/>
  <c r="I112" i="42"/>
  <c r="J112" i="42" s="1"/>
  <c r="K112" i="42" s="1"/>
  <c r="G113" i="42" s="1"/>
  <c r="AE109" i="42"/>
  <c r="T111" i="42"/>
  <c r="S111" i="42"/>
  <c r="Y110" i="41"/>
  <c r="AD109" i="41"/>
  <c r="AF109" i="41"/>
  <c r="AE110" i="41"/>
  <c r="S111" i="41"/>
  <c r="T111" i="41"/>
  <c r="M112" i="41"/>
  <c r="O112" i="41" s="1"/>
  <c r="L112" i="41"/>
  <c r="I112" i="41"/>
  <c r="J112" i="41" s="1"/>
  <c r="K112" i="41" s="1"/>
  <c r="G113" i="41" s="1"/>
  <c r="AB109" i="41"/>
  <c r="AE109" i="41"/>
  <c r="V111" i="41"/>
  <c r="P111" i="41"/>
  <c r="U111" i="41"/>
  <c r="I114" i="35"/>
  <c r="J114" i="35" s="1"/>
  <c r="K114" i="35"/>
  <c r="G115" i="35" s="1"/>
  <c r="M114" i="35"/>
  <c r="L114" i="35"/>
  <c r="Y73" i="36"/>
  <c r="Z73" i="36" s="1"/>
  <c r="AD72" i="36"/>
  <c r="AF72" i="36" s="1"/>
  <c r="I74" i="36"/>
  <c r="J74" i="36" s="1"/>
  <c r="L74" i="36"/>
  <c r="M74" i="36"/>
  <c r="O74" i="36" s="1"/>
  <c r="AA72" i="36"/>
  <c r="AB72" i="36" s="1"/>
  <c r="AE72" i="36"/>
  <c r="W73" i="36"/>
  <c r="W111" i="43" l="1"/>
  <c r="AA111" i="43" s="1"/>
  <c r="AE110" i="42"/>
  <c r="Z110" i="41"/>
  <c r="X111" i="41"/>
  <c r="Y111" i="43"/>
  <c r="Z111" i="43" s="1"/>
  <c r="L113" i="43"/>
  <c r="I113" i="43"/>
  <c r="J113" i="43" s="1"/>
  <c r="K113" i="43" s="1"/>
  <c r="G114" i="43" s="1"/>
  <c r="M113" i="43"/>
  <c r="O113" i="43" s="1"/>
  <c r="AB110" i="43"/>
  <c r="AF110" i="43"/>
  <c r="AD110" i="43"/>
  <c r="AE111" i="43"/>
  <c r="T112" i="43"/>
  <c r="S112" i="43"/>
  <c r="P112" i="43"/>
  <c r="V112" i="43"/>
  <c r="U112" i="43"/>
  <c r="AB110" i="42"/>
  <c r="AD110" i="42"/>
  <c r="AF110" i="42"/>
  <c r="M113" i="42"/>
  <c r="O113" i="42" s="1"/>
  <c r="L113" i="42"/>
  <c r="I113" i="42"/>
  <c r="J113" i="42" s="1"/>
  <c r="K113" i="42" s="1"/>
  <c r="G114" i="42" s="1"/>
  <c r="Y111" i="42"/>
  <c r="Z111" i="42" s="1"/>
  <c r="P112" i="42"/>
  <c r="V112" i="42"/>
  <c r="U112" i="42"/>
  <c r="W111" i="42"/>
  <c r="AA111" i="42" s="1"/>
  <c r="T112" i="42"/>
  <c r="W112" i="42" s="1"/>
  <c r="AA112" i="42" s="1"/>
  <c r="S112" i="42"/>
  <c r="Y111" i="41"/>
  <c r="Z111" i="41" s="1"/>
  <c r="P112" i="41"/>
  <c r="X112" i="41" s="1"/>
  <c r="U112" i="41"/>
  <c r="V112" i="41"/>
  <c r="AB110" i="41"/>
  <c r="AF110" i="41"/>
  <c r="AD110" i="41"/>
  <c r="M113" i="41"/>
  <c r="O113" i="41" s="1"/>
  <c r="L113" i="41"/>
  <c r="I113" i="41"/>
  <c r="J113" i="41" s="1"/>
  <c r="K113" i="41" s="1"/>
  <c r="G114" i="41" s="1"/>
  <c r="T112" i="41"/>
  <c r="S112" i="41"/>
  <c r="W111" i="41"/>
  <c r="AA111" i="41" s="1"/>
  <c r="I115" i="35"/>
  <c r="J115" i="35" s="1"/>
  <c r="K115" i="35"/>
  <c r="G116" i="35" s="1"/>
  <c r="M115" i="35"/>
  <c r="L115" i="35"/>
  <c r="AD73" i="36"/>
  <c r="K74" i="36"/>
  <c r="G75" i="36" s="1"/>
  <c r="U74" i="36"/>
  <c r="P74" i="36"/>
  <c r="X74" i="36" s="1"/>
  <c r="V74" i="36"/>
  <c r="AA73" i="36"/>
  <c r="AB73" i="36" s="1"/>
  <c r="AE73" i="36"/>
  <c r="S74" i="36"/>
  <c r="T74" i="36"/>
  <c r="X112" i="43" l="1"/>
  <c r="X112" i="42"/>
  <c r="W112" i="41"/>
  <c r="AA112" i="41" s="1"/>
  <c r="Y112" i="43"/>
  <c r="Z112" i="43" s="1"/>
  <c r="L114" i="43"/>
  <c r="I114" i="43"/>
  <c r="J114" i="43" s="1"/>
  <c r="M114" i="43"/>
  <c r="O114" i="43" s="1"/>
  <c r="K114" i="43"/>
  <c r="G115" i="43" s="1"/>
  <c r="AF111" i="43"/>
  <c r="AD111" i="43"/>
  <c r="AB111" i="43"/>
  <c r="T113" i="43"/>
  <c r="S113" i="43"/>
  <c r="W112" i="43"/>
  <c r="AA112" i="43" s="1"/>
  <c r="V113" i="43"/>
  <c r="P113" i="43"/>
  <c r="U113" i="43"/>
  <c r="Y112" i="42"/>
  <c r="Z112" i="42" s="1"/>
  <c r="AE112" i="42"/>
  <c r="T113" i="42"/>
  <c r="S113" i="42"/>
  <c r="X113" i="42" s="1"/>
  <c r="L114" i="42"/>
  <c r="K114" i="42"/>
  <c r="G115" i="42" s="1"/>
  <c r="M114" i="42"/>
  <c r="O114" i="42" s="1"/>
  <c r="I114" i="42"/>
  <c r="J114" i="42" s="1"/>
  <c r="V113" i="42"/>
  <c r="U113" i="42"/>
  <c r="P113" i="42"/>
  <c r="AF111" i="42"/>
  <c r="AD111" i="42"/>
  <c r="AB111" i="42"/>
  <c r="AE111" i="42"/>
  <c r="L114" i="41"/>
  <c r="I114" i="41"/>
  <c r="J114" i="41" s="1"/>
  <c r="K114" i="41" s="1"/>
  <c r="G115" i="41" s="1"/>
  <c r="M114" i="41"/>
  <c r="O114" i="41" s="1"/>
  <c r="Y112" i="41"/>
  <c r="Z112" i="41" s="1"/>
  <c r="AD111" i="41"/>
  <c r="AF111" i="41"/>
  <c r="AE111" i="41"/>
  <c r="AB111" i="41"/>
  <c r="AE112" i="41"/>
  <c r="T113" i="41"/>
  <c r="S113" i="41"/>
  <c r="V113" i="41"/>
  <c r="U113" i="41"/>
  <c r="P113" i="41"/>
  <c r="I116" i="35"/>
  <c r="J116" i="35" s="1"/>
  <c r="K116" i="35"/>
  <c r="G117" i="35" s="1"/>
  <c r="M116" i="35"/>
  <c r="L116" i="35"/>
  <c r="Y74" i="36"/>
  <c r="Z74" i="36" s="1"/>
  <c r="W74" i="36"/>
  <c r="I75" i="36"/>
  <c r="J75" i="36" s="1"/>
  <c r="M75" i="36"/>
  <c r="O75" i="36" s="1"/>
  <c r="L75" i="36"/>
  <c r="AF73" i="36"/>
  <c r="X113" i="43" l="1"/>
  <c r="W113" i="42"/>
  <c r="AA113" i="42" s="1"/>
  <c r="X113" i="41"/>
  <c r="AF112" i="43"/>
  <c r="AD112" i="43"/>
  <c r="AB112" i="43"/>
  <c r="M115" i="43"/>
  <c r="O115" i="43" s="1"/>
  <c r="L115" i="43"/>
  <c r="I115" i="43"/>
  <c r="J115" i="43" s="1"/>
  <c r="K115" i="43" s="1"/>
  <c r="G116" i="43" s="1"/>
  <c r="T114" i="43"/>
  <c r="S114" i="43"/>
  <c r="W113" i="43"/>
  <c r="AA113" i="43" s="1"/>
  <c r="Y113" i="43"/>
  <c r="Z113" i="43" s="1"/>
  <c r="P114" i="43"/>
  <c r="X114" i="43" s="1"/>
  <c r="V114" i="43"/>
  <c r="U114" i="43"/>
  <c r="AE112" i="43"/>
  <c r="Y113" i="42"/>
  <c r="Z113" i="42" s="1"/>
  <c r="AF112" i="42"/>
  <c r="AD112" i="42"/>
  <c r="AB112" i="42"/>
  <c r="AE113" i="42"/>
  <c r="I115" i="42"/>
  <c r="J115" i="42" s="1"/>
  <c r="K115" i="42" s="1"/>
  <c r="G116" i="42" s="1"/>
  <c r="M115" i="42"/>
  <c r="O115" i="42" s="1"/>
  <c r="L115" i="42"/>
  <c r="T114" i="42"/>
  <c r="S114" i="42"/>
  <c r="P114" i="42"/>
  <c r="V114" i="42"/>
  <c r="U114" i="42"/>
  <c r="Y113" i="41"/>
  <c r="Z113" i="41" s="1"/>
  <c r="I115" i="41"/>
  <c r="J115" i="41" s="1"/>
  <c r="K115" i="41"/>
  <c r="G116" i="41" s="1"/>
  <c r="M115" i="41"/>
  <c r="O115" i="41" s="1"/>
  <c r="L115" i="41"/>
  <c r="AF112" i="41"/>
  <c r="AB112" i="41"/>
  <c r="AD112" i="41"/>
  <c r="P114" i="41"/>
  <c r="X114" i="41" s="1"/>
  <c r="U114" i="41"/>
  <c r="V114" i="41"/>
  <c r="W113" i="41"/>
  <c r="AA113" i="41" s="1"/>
  <c r="T114" i="41"/>
  <c r="S114" i="41"/>
  <c r="I117" i="35"/>
  <c r="J117" i="35" s="1"/>
  <c r="K117" i="35"/>
  <c r="G118" i="35" s="1"/>
  <c r="M117" i="35"/>
  <c r="L117" i="35"/>
  <c r="AD74" i="36"/>
  <c r="S75" i="36"/>
  <c r="T75" i="36"/>
  <c r="U75" i="36"/>
  <c r="V75" i="36"/>
  <c r="P75" i="36"/>
  <c r="X75" i="36" s="1"/>
  <c r="K75" i="36"/>
  <c r="G76" i="36" s="1"/>
  <c r="AA74" i="36"/>
  <c r="AB74" i="36" s="1"/>
  <c r="AE74" i="36"/>
  <c r="W114" i="43" l="1"/>
  <c r="AA114" i="43" s="1"/>
  <c r="X114" i="42"/>
  <c r="W114" i="41"/>
  <c r="AA114" i="41" s="1"/>
  <c r="M116" i="43"/>
  <c r="O116" i="43" s="1"/>
  <c r="L116" i="43"/>
  <c r="I116" i="43"/>
  <c r="J116" i="43" s="1"/>
  <c r="K116" i="43" s="1"/>
  <c r="G117" i="43" s="1"/>
  <c r="Y114" i="43"/>
  <c r="Z114" i="43" s="1"/>
  <c r="AD113" i="43"/>
  <c r="AF113" i="43"/>
  <c r="AE114" i="43"/>
  <c r="P115" i="43"/>
  <c r="V115" i="43"/>
  <c r="U115" i="43"/>
  <c r="AB113" i="43"/>
  <c r="AE113" i="43"/>
  <c r="T115" i="43"/>
  <c r="S115" i="43"/>
  <c r="I116" i="42"/>
  <c r="J116" i="42" s="1"/>
  <c r="K116" i="42" s="1"/>
  <c r="G117" i="42" s="1"/>
  <c r="M116" i="42"/>
  <c r="O116" i="42" s="1"/>
  <c r="L116" i="42"/>
  <c r="AD113" i="42"/>
  <c r="AB113" i="42"/>
  <c r="AF113" i="42"/>
  <c r="Y114" i="42"/>
  <c r="Z114" i="42" s="1"/>
  <c r="S115" i="42"/>
  <c r="T115" i="42"/>
  <c r="W114" i="42"/>
  <c r="AA114" i="42" s="1"/>
  <c r="P115" i="42"/>
  <c r="V115" i="42"/>
  <c r="U115" i="42"/>
  <c r="Y114" i="41"/>
  <c r="Z114" i="41"/>
  <c r="AD113" i="41"/>
  <c r="AF113" i="41"/>
  <c r="AB113" i="41"/>
  <c r="AE114" i="41"/>
  <c r="V115" i="41"/>
  <c r="P115" i="41"/>
  <c r="U115" i="41"/>
  <c r="AE113" i="41"/>
  <c r="S115" i="41"/>
  <c r="T115" i="41"/>
  <c r="M116" i="41"/>
  <c r="O116" i="41" s="1"/>
  <c r="L116" i="41"/>
  <c r="I116" i="41"/>
  <c r="J116" i="41" s="1"/>
  <c r="K116" i="41"/>
  <c r="G117" i="41" s="1"/>
  <c r="I118" i="35"/>
  <c r="J118" i="35" s="1"/>
  <c r="K118" i="35"/>
  <c r="G119" i="35" s="1"/>
  <c r="M118" i="35"/>
  <c r="L118" i="35"/>
  <c r="Y75" i="36"/>
  <c r="Z75" i="36" s="1"/>
  <c r="AF74" i="36"/>
  <c r="W75" i="36"/>
  <c r="I76" i="36"/>
  <c r="J76" i="36" s="1"/>
  <c r="M76" i="36"/>
  <c r="O76" i="36" s="1"/>
  <c r="L76" i="36"/>
  <c r="X115" i="43" l="1"/>
  <c r="X115" i="42"/>
  <c r="X115" i="41"/>
  <c r="Y115" i="41" s="1"/>
  <c r="Z115" i="41" s="1"/>
  <c r="AB114" i="43"/>
  <c r="AF114" i="43"/>
  <c r="AD114" i="43"/>
  <c r="L117" i="43"/>
  <c r="I117" i="43"/>
  <c r="J117" i="43" s="1"/>
  <c r="K117" i="43" s="1"/>
  <c r="G118" i="43" s="1"/>
  <c r="M117" i="43"/>
  <c r="O117" i="43" s="1"/>
  <c r="W115" i="43"/>
  <c r="AA115" i="43" s="1"/>
  <c r="T116" i="43"/>
  <c r="S116" i="43"/>
  <c r="P116" i="43"/>
  <c r="X116" i="43" s="1"/>
  <c r="V116" i="43"/>
  <c r="U116" i="43"/>
  <c r="Y115" i="42"/>
  <c r="Z115" i="42" s="1"/>
  <c r="AD114" i="42"/>
  <c r="AF114" i="42"/>
  <c r="T116" i="42"/>
  <c r="S116" i="42"/>
  <c r="AB114" i="42"/>
  <c r="AE114" i="42"/>
  <c r="M117" i="42"/>
  <c r="O117" i="42" s="1"/>
  <c r="L117" i="42"/>
  <c r="I117" i="42"/>
  <c r="J117" i="42" s="1"/>
  <c r="K117" i="42"/>
  <c r="G118" i="42" s="1"/>
  <c r="P116" i="42"/>
  <c r="V116" i="42"/>
  <c r="U116" i="42"/>
  <c r="W115" i="42"/>
  <c r="AA115" i="42" s="1"/>
  <c r="W115" i="41"/>
  <c r="AA115" i="41" s="1"/>
  <c r="M117" i="41"/>
  <c r="O117" i="41" s="1"/>
  <c r="L117" i="41"/>
  <c r="I117" i="41"/>
  <c r="J117" i="41" s="1"/>
  <c r="K117" i="41" s="1"/>
  <c r="G118" i="41" s="1"/>
  <c r="AB114" i="41"/>
  <c r="AF114" i="41"/>
  <c r="AD114" i="41"/>
  <c r="P116" i="41"/>
  <c r="X116" i="41" s="1"/>
  <c r="U116" i="41"/>
  <c r="V116" i="41"/>
  <c r="T116" i="41"/>
  <c r="S116" i="41"/>
  <c r="I119" i="35"/>
  <c r="J119" i="35" s="1"/>
  <c r="K119" i="35"/>
  <c r="G120" i="35" s="1"/>
  <c r="M119" i="35"/>
  <c r="L119" i="35"/>
  <c r="U76" i="36"/>
  <c r="V76" i="36"/>
  <c r="P76" i="36"/>
  <c r="S76" i="36"/>
  <c r="X76" i="36" s="1"/>
  <c r="T76" i="36"/>
  <c r="W76" i="36" s="1"/>
  <c r="K76" i="36"/>
  <c r="G77" i="36" s="1"/>
  <c r="AD75" i="36"/>
  <c r="AA75" i="36"/>
  <c r="AB75" i="36" s="1"/>
  <c r="AE75" i="36"/>
  <c r="Y115" i="43" l="1"/>
  <c r="Z115" i="43" s="1"/>
  <c r="X116" i="42"/>
  <c r="W116" i="41"/>
  <c r="AA116" i="41" s="1"/>
  <c r="L118" i="43"/>
  <c r="I118" i="43"/>
  <c r="J118" i="43" s="1"/>
  <c r="M118" i="43"/>
  <c r="O118" i="43" s="1"/>
  <c r="K118" i="43"/>
  <c r="G119" i="43" s="1"/>
  <c r="Y116" i="43"/>
  <c r="Z116" i="43" s="1"/>
  <c r="W116" i="43"/>
  <c r="AA116" i="43" s="1"/>
  <c r="V117" i="43"/>
  <c r="P117" i="43"/>
  <c r="U117" i="43"/>
  <c r="T117" i="43"/>
  <c r="W117" i="43" s="1"/>
  <c r="AA117" i="43" s="1"/>
  <c r="S117" i="43"/>
  <c r="AE115" i="43"/>
  <c r="Y116" i="42"/>
  <c r="Z116" i="42" s="1"/>
  <c r="AF115" i="42"/>
  <c r="AD115" i="42"/>
  <c r="T117" i="42"/>
  <c r="S117" i="42"/>
  <c r="L118" i="42"/>
  <c r="M118" i="42"/>
  <c r="O118" i="42" s="1"/>
  <c r="I118" i="42"/>
  <c r="J118" i="42" s="1"/>
  <c r="K118" i="42" s="1"/>
  <c r="G119" i="42" s="1"/>
  <c r="AE115" i="42"/>
  <c r="AB115" i="42"/>
  <c r="V117" i="42"/>
  <c r="U117" i="42"/>
  <c r="P117" i="42"/>
  <c r="X117" i="42" s="1"/>
  <c r="W116" i="42"/>
  <c r="AA116" i="42" s="1"/>
  <c r="L118" i="41"/>
  <c r="I118" i="41"/>
  <c r="J118" i="41" s="1"/>
  <c r="K118" i="41" s="1"/>
  <c r="G119" i="41" s="1"/>
  <c r="M118" i="41"/>
  <c r="O118" i="41" s="1"/>
  <c r="Y116" i="41"/>
  <c r="Z116" i="41"/>
  <c r="AD115" i="41"/>
  <c r="AF115" i="41"/>
  <c r="AE116" i="41"/>
  <c r="V117" i="41"/>
  <c r="U117" i="41"/>
  <c r="P117" i="41"/>
  <c r="T117" i="41"/>
  <c r="S117" i="41"/>
  <c r="AE115" i="41"/>
  <c r="AB115" i="41"/>
  <c r="I120" i="35"/>
  <c r="J120" i="35" s="1"/>
  <c r="K120" i="35" s="1"/>
  <c r="G121" i="35" s="1"/>
  <c r="M120" i="35"/>
  <c r="L120" i="35"/>
  <c r="AF75" i="36"/>
  <c r="Y76" i="36"/>
  <c r="Z76" i="36" s="1"/>
  <c r="AA76" i="36"/>
  <c r="AE76" i="36"/>
  <c r="I77" i="36"/>
  <c r="J77" i="36" s="1"/>
  <c r="M77" i="36"/>
  <c r="O77" i="36" s="1"/>
  <c r="L77" i="36"/>
  <c r="X117" i="43" l="1"/>
  <c r="AF115" i="43"/>
  <c r="AD115" i="43"/>
  <c r="AB115" i="43"/>
  <c r="W117" i="42"/>
  <c r="AA117" i="42" s="1"/>
  <c r="W117" i="41"/>
  <c r="AA117" i="41" s="1"/>
  <c r="X117" i="41"/>
  <c r="AF116" i="43"/>
  <c r="AD116" i="43"/>
  <c r="Y117" i="43"/>
  <c r="Z117" i="43" s="1"/>
  <c r="M119" i="43"/>
  <c r="O119" i="43" s="1"/>
  <c r="L119" i="43"/>
  <c r="I119" i="43"/>
  <c r="J119" i="43" s="1"/>
  <c r="K119" i="43" s="1"/>
  <c r="G120" i="43" s="1"/>
  <c r="P118" i="43"/>
  <c r="V118" i="43"/>
  <c r="U118" i="43"/>
  <c r="AE117" i="43"/>
  <c r="AB116" i="43"/>
  <c r="AE116" i="43"/>
  <c r="T118" i="43"/>
  <c r="S118" i="43"/>
  <c r="I119" i="42"/>
  <c r="J119" i="42" s="1"/>
  <c r="K119" i="42" s="1"/>
  <c r="G120" i="42" s="1"/>
  <c r="M119" i="42"/>
  <c r="O119" i="42" s="1"/>
  <c r="L119" i="42"/>
  <c r="AF116" i="42"/>
  <c r="AD116" i="42"/>
  <c r="AB116" i="42"/>
  <c r="Y117" i="42"/>
  <c r="Z117" i="42" s="1"/>
  <c r="T118" i="42"/>
  <c r="S118" i="42"/>
  <c r="P118" i="42"/>
  <c r="V118" i="42"/>
  <c r="U118" i="42"/>
  <c r="X118" i="42"/>
  <c r="AE117" i="42"/>
  <c r="AE116" i="42"/>
  <c r="Y117" i="41"/>
  <c r="Z117" i="41" s="1"/>
  <c r="I119" i="41"/>
  <c r="J119" i="41" s="1"/>
  <c r="K119" i="41" s="1"/>
  <c r="G120" i="41" s="1"/>
  <c r="L119" i="41"/>
  <c r="M119" i="41"/>
  <c r="O119" i="41" s="1"/>
  <c r="AE117" i="41"/>
  <c r="P118" i="41"/>
  <c r="U118" i="41"/>
  <c r="V118" i="41"/>
  <c r="AF116" i="41"/>
  <c r="AB116" i="41"/>
  <c r="AD116" i="41"/>
  <c r="T118" i="41"/>
  <c r="W118" i="41" s="1"/>
  <c r="AA118" i="41" s="1"/>
  <c r="S118" i="41"/>
  <c r="I121" i="35"/>
  <c r="J121" i="35" s="1"/>
  <c r="K121" i="35" s="1"/>
  <c r="G122" i="35" s="1"/>
  <c r="M121" i="35"/>
  <c r="L121" i="35"/>
  <c r="AD76" i="36"/>
  <c r="AF76" i="36" s="1"/>
  <c r="AB76" i="36"/>
  <c r="S77" i="36"/>
  <c r="T77" i="36"/>
  <c r="U77" i="36"/>
  <c r="V77" i="36"/>
  <c r="P77" i="36"/>
  <c r="X77" i="36" s="1"/>
  <c r="K77" i="36"/>
  <c r="G78" i="36" s="1"/>
  <c r="X118" i="43" l="1"/>
  <c r="X118" i="41"/>
  <c r="Y118" i="43"/>
  <c r="Z118" i="43" s="1"/>
  <c r="AD117" i="43"/>
  <c r="AB117" i="43"/>
  <c r="AF117" i="43"/>
  <c r="P119" i="43"/>
  <c r="X119" i="43" s="1"/>
  <c r="V119" i="43"/>
  <c r="U119" i="43"/>
  <c r="T119" i="43"/>
  <c r="S119" i="43"/>
  <c r="W118" i="43"/>
  <c r="AA118" i="43" s="1"/>
  <c r="M120" i="43"/>
  <c r="O120" i="43" s="1"/>
  <c r="L120" i="43"/>
  <c r="I120" i="43"/>
  <c r="J120" i="43" s="1"/>
  <c r="K120" i="43" s="1"/>
  <c r="G121" i="43" s="1"/>
  <c r="Y118" i="42"/>
  <c r="Z118" i="42" s="1"/>
  <c r="T119" i="42"/>
  <c r="S119" i="42"/>
  <c r="AD117" i="42"/>
  <c r="AB117" i="42"/>
  <c r="AF117" i="42"/>
  <c r="I120" i="42"/>
  <c r="J120" i="42" s="1"/>
  <c r="K120" i="42" s="1"/>
  <c r="G121" i="42" s="1"/>
  <c r="L120" i="42"/>
  <c r="M120" i="42"/>
  <c r="O120" i="42" s="1"/>
  <c r="W118" i="42"/>
  <c r="AA118" i="42" s="1"/>
  <c r="P119" i="42"/>
  <c r="X119" i="42" s="1"/>
  <c r="V119" i="42"/>
  <c r="U119" i="42"/>
  <c r="Y118" i="41"/>
  <c r="Z118" i="41"/>
  <c r="AD117" i="41"/>
  <c r="AB117" i="41"/>
  <c r="AF117" i="41"/>
  <c r="AE118" i="41"/>
  <c r="S119" i="41"/>
  <c r="T119" i="41"/>
  <c r="M120" i="41"/>
  <c r="O120" i="41" s="1"/>
  <c r="L120" i="41"/>
  <c r="I120" i="41"/>
  <c r="J120" i="41" s="1"/>
  <c r="K120" i="41" s="1"/>
  <c r="G121" i="41" s="1"/>
  <c r="V119" i="41"/>
  <c r="U119" i="41"/>
  <c r="P119" i="41"/>
  <c r="I122" i="35"/>
  <c r="J122" i="35" s="1"/>
  <c r="K122" i="35"/>
  <c r="G123" i="35" s="1"/>
  <c r="M122" i="35"/>
  <c r="L122" i="35"/>
  <c r="W77" i="36"/>
  <c r="Y77" i="36"/>
  <c r="Z77" i="36" s="1"/>
  <c r="AA77" i="36"/>
  <c r="AE77" i="36"/>
  <c r="I78" i="36"/>
  <c r="J78" i="36" s="1"/>
  <c r="L78" i="36"/>
  <c r="M78" i="36"/>
  <c r="O78" i="36" s="1"/>
  <c r="X119" i="41" l="1"/>
  <c r="L121" i="43"/>
  <c r="I121" i="43"/>
  <c r="J121" i="43" s="1"/>
  <c r="K121" i="43" s="1"/>
  <c r="G122" i="43" s="1"/>
  <c r="M121" i="43"/>
  <c r="O121" i="43" s="1"/>
  <c r="Y119" i="43"/>
  <c r="Z119" i="43" s="1"/>
  <c r="AB118" i="43"/>
  <c r="AF118" i="43"/>
  <c r="AD118" i="43"/>
  <c r="T120" i="43"/>
  <c r="S120" i="43"/>
  <c r="AE118" i="43"/>
  <c r="W119" i="43"/>
  <c r="AA119" i="43" s="1"/>
  <c r="P120" i="43"/>
  <c r="X120" i="43" s="1"/>
  <c r="V120" i="43"/>
  <c r="U120" i="43"/>
  <c r="Y119" i="42"/>
  <c r="Z119" i="42" s="1"/>
  <c r="M121" i="42"/>
  <c r="O121" i="42" s="1"/>
  <c r="L121" i="42"/>
  <c r="I121" i="42"/>
  <c r="J121" i="42" s="1"/>
  <c r="K121" i="42" s="1"/>
  <c r="G122" i="42" s="1"/>
  <c r="AB118" i="42"/>
  <c r="AF118" i="42"/>
  <c r="AD118" i="42"/>
  <c r="W119" i="42"/>
  <c r="AA119" i="42" s="1"/>
  <c r="AE118" i="42"/>
  <c r="P120" i="42"/>
  <c r="V120" i="42"/>
  <c r="U120" i="42"/>
  <c r="T120" i="42"/>
  <c r="S120" i="42"/>
  <c r="Y119" i="41"/>
  <c r="Z119" i="41" s="1"/>
  <c r="M121" i="41"/>
  <c r="O121" i="41" s="1"/>
  <c r="I121" i="41"/>
  <c r="J121" i="41" s="1"/>
  <c r="K121" i="41" s="1"/>
  <c r="G122" i="41" s="1"/>
  <c r="L121" i="41"/>
  <c r="P120" i="41"/>
  <c r="U120" i="41"/>
  <c r="V120" i="41"/>
  <c r="AB118" i="41"/>
  <c r="AF118" i="41"/>
  <c r="AD118" i="41"/>
  <c r="T120" i="41"/>
  <c r="W120" i="41" s="1"/>
  <c r="AA120" i="41" s="1"/>
  <c r="S120" i="41"/>
  <c r="W119" i="41"/>
  <c r="AA119" i="41" s="1"/>
  <c r="I123" i="35"/>
  <c r="J123" i="35" s="1"/>
  <c r="K123" i="35" s="1"/>
  <c r="G124" i="35" s="1"/>
  <c r="M123" i="35"/>
  <c r="L123" i="35"/>
  <c r="AB77" i="36"/>
  <c r="AD77" i="36"/>
  <c r="AF77" i="36" s="1"/>
  <c r="S78" i="36"/>
  <c r="T78" i="36"/>
  <c r="K78" i="36"/>
  <c r="G79" i="36" s="1"/>
  <c r="U78" i="36"/>
  <c r="V78" i="36"/>
  <c r="P78" i="36"/>
  <c r="X78" i="36" s="1"/>
  <c r="X120" i="42" l="1"/>
  <c r="X120" i="41"/>
  <c r="Y120" i="43"/>
  <c r="Z120" i="43" s="1"/>
  <c r="AF119" i="43"/>
  <c r="AD119" i="43"/>
  <c r="AB119" i="43"/>
  <c r="L122" i="43"/>
  <c r="I122" i="43"/>
  <c r="J122" i="43" s="1"/>
  <c r="K122" i="43" s="1"/>
  <c r="G123" i="43" s="1"/>
  <c r="M122" i="43"/>
  <c r="O122" i="43" s="1"/>
  <c r="AE119" i="43"/>
  <c r="V121" i="43"/>
  <c r="P121" i="43"/>
  <c r="U121" i="43"/>
  <c r="W120" i="43"/>
  <c r="AA120" i="43" s="1"/>
  <c r="T121" i="43"/>
  <c r="S121" i="43"/>
  <c r="L122" i="42"/>
  <c r="M122" i="42"/>
  <c r="O122" i="42" s="1"/>
  <c r="I122" i="42"/>
  <c r="J122" i="42" s="1"/>
  <c r="K122" i="42" s="1"/>
  <c r="G123" i="42" s="1"/>
  <c r="Y120" i="42"/>
  <c r="Z120" i="42" s="1"/>
  <c r="AF119" i="42"/>
  <c r="AD119" i="42"/>
  <c r="V121" i="42"/>
  <c r="U121" i="42"/>
  <c r="P121" i="42"/>
  <c r="AB119" i="42"/>
  <c r="AE119" i="42"/>
  <c r="T121" i="42"/>
  <c r="S121" i="42"/>
  <c r="X121" i="42" s="1"/>
  <c r="W120" i="42"/>
  <c r="AA120" i="42" s="1"/>
  <c r="Y120" i="41"/>
  <c r="Z120" i="41"/>
  <c r="L122" i="41"/>
  <c r="I122" i="41"/>
  <c r="J122" i="41" s="1"/>
  <c r="K122" i="41" s="1"/>
  <c r="G123" i="41" s="1"/>
  <c r="M122" i="41"/>
  <c r="O122" i="41" s="1"/>
  <c r="AD119" i="41"/>
  <c r="AF119" i="41"/>
  <c r="AE119" i="41"/>
  <c r="AB119" i="41"/>
  <c r="AE120" i="41"/>
  <c r="T121" i="41"/>
  <c r="S121" i="41"/>
  <c r="V121" i="41"/>
  <c r="U121" i="41"/>
  <c r="P121" i="41"/>
  <c r="X121" i="41" s="1"/>
  <c r="I124" i="35"/>
  <c r="J124" i="35" s="1"/>
  <c r="K124" i="35" s="1"/>
  <c r="M124" i="35"/>
  <c r="L124" i="35"/>
  <c r="Y78" i="36"/>
  <c r="Z78" i="36" s="1"/>
  <c r="I79" i="36"/>
  <c r="J79" i="36" s="1"/>
  <c r="M79" i="36"/>
  <c r="O79" i="36" s="1"/>
  <c r="L79" i="36"/>
  <c r="W78" i="36"/>
  <c r="X121" i="43" l="1"/>
  <c r="W121" i="42"/>
  <c r="AA121" i="42" s="1"/>
  <c r="W121" i="41"/>
  <c r="AA121" i="41" s="1"/>
  <c r="M123" i="43"/>
  <c r="O123" i="43" s="1"/>
  <c r="L123" i="43"/>
  <c r="I123" i="43"/>
  <c r="J123" i="43" s="1"/>
  <c r="K123" i="43" s="1"/>
  <c r="G124" i="43" s="1"/>
  <c r="Y121" i="43"/>
  <c r="Z121" i="43" s="1"/>
  <c r="AF120" i="43"/>
  <c r="AD120" i="43"/>
  <c r="T122" i="43"/>
  <c r="S122" i="43"/>
  <c r="P122" i="43"/>
  <c r="V122" i="43"/>
  <c r="U122" i="43"/>
  <c r="AB120" i="43"/>
  <c r="AE120" i="43"/>
  <c r="W121" i="43"/>
  <c r="AA121" i="43" s="1"/>
  <c r="AF120" i="42"/>
  <c r="AD120" i="42"/>
  <c r="I123" i="42"/>
  <c r="J123" i="42" s="1"/>
  <c r="L123" i="42"/>
  <c r="K123" i="42"/>
  <c r="G124" i="42" s="1"/>
  <c r="M123" i="42"/>
  <c r="O123" i="42" s="1"/>
  <c r="P122" i="42"/>
  <c r="V122" i="42"/>
  <c r="U122" i="42"/>
  <c r="AE120" i="42"/>
  <c r="AB120" i="42"/>
  <c r="Y121" i="42"/>
  <c r="Z121" i="42" s="1"/>
  <c r="T122" i="42"/>
  <c r="S122" i="42"/>
  <c r="Y121" i="41"/>
  <c r="Z121" i="41" s="1"/>
  <c r="I123" i="41"/>
  <c r="J123" i="41" s="1"/>
  <c r="L123" i="41"/>
  <c r="K123" i="41"/>
  <c r="G124" i="41" s="1"/>
  <c r="M123" i="41"/>
  <c r="O123" i="41" s="1"/>
  <c r="AE121" i="41"/>
  <c r="P122" i="41"/>
  <c r="X122" i="41" s="1"/>
  <c r="V122" i="41"/>
  <c r="U122" i="41"/>
  <c r="AF120" i="41"/>
  <c r="AB120" i="41"/>
  <c r="AD120" i="41"/>
  <c r="T122" i="41"/>
  <c r="S122" i="41"/>
  <c r="AD78" i="36"/>
  <c r="S79" i="36"/>
  <c r="T79" i="36"/>
  <c r="K79" i="36"/>
  <c r="G80" i="36" s="1"/>
  <c r="AA78" i="36"/>
  <c r="AB78" i="36" s="1"/>
  <c r="AE78" i="36"/>
  <c r="U79" i="36"/>
  <c r="P79" i="36"/>
  <c r="X79" i="36" s="1"/>
  <c r="V79" i="36"/>
  <c r="X122" i="43" l="1"/>
  <c r="Y122" i="43" s="1"/>
  <c r="Z122" i="43" s="1"/>
  <c r="AE121" i="42"/>
  <c r="X122" i="42"/>
  <c r="W122" i="41"/>
  <c r="AA122" i="41" s="1"/>
  <c r="AD121" i="43"/>
  <c r="AF121" i="43"/>
  <c r="M124" i="43"/>
  <c r="O124" i="43" s="1"/>
  <c r="L124" i="43"/>
  <c r="I124" i="43"/>
  <c r="J124" i="43" s="1"/>
  <c r="K124" i="43" s="1"/>
  <c r="AB121" i="43"/>
  <c r="AE121" i="43"/>
  <c r="W122" i="43"/>
  <c r="AA122" i="43" s="1"/>
  <c r="T123" i="43"/>
  <c r="S123" i="43"/>
  <c r="P123" i="43"/>
  <c r="V123" i="43"/>
  <c r="U123" i="43"/>
  <c r="AD121" i="42"/>
  <c r="AB121" i="42"/>
  <c r="AF121" i="42"/>
  <c r="M124" i="42"/>
  <c r="O124" i="42" s="1"/>
  <c r="L124" i="42"/>
  <c r="I124" i="42"/>
  <c r="J124" i="42" s="1"/>
  <c r="K124" i="42" s="1"/>
  <c r="P123" i="42"/>
  <c r="U123" i="42"/>
  <c r="V123" i="42"/>
  <c r="T123" i="42"/>
  <c r="W123" i="42" s="1"/>
  <c r="AA123" i="42" s="1"/>
  <c r="S123" i="42"/>
  <c r="W122" i="42"/>
  <c r="AA122" i="42" s="1"/>
  <c r="Y122" i="42"/>
  <c r="Z122" i="42" s="1"/>
  <c r="Y122" i="41"/>
  <c r="Z122" i="41"/>
  <c r="AD121" i="41"/>
  <c r="AF121" i="41"/>
  <c r="AB121" i="41"/>
  <c r="AE122" i="41"/>
  <c r="T123" i="41"/>
  <c r="S123" i="41"/>
  <c r="V123" i="41"/>
  <c r="P123" i="41"/>
  <c r="X123" i="41" s="1"/>
  <c r="U123" i="41"/>
  <c r="M124" i="41"/>
  <c r="O124" i="41" s="1"/>
  <c r="L124" i="41"/>
  <c r="I124" i="41"/>
  <c r="J124" i="41" s="1"/>
  <c r="K124" i="41" s="1"/>
  <c r="Y79" i="36"/>
  <c r="Z79" i="36" s="1"/>
  <c r="W79" i="36"/>
  <c r="I80" i="36"/>
  <c r="J80" i="36" s="1"/>
  <c r="M80" i="36"/>
  <c r="O80" i="36" s="1"/>
  <c r="L80" i="36"/>
  <c r="AF78" i="36"/>
  <c r="X123" i="43" l="1"/>
  <c r="W123" i="43"/>
  <c r="AA123" i="43" s="1"/>
  <c r="X123" i="42"/>
  <c r="W123" i="41"/>
  <c r="AA123" i="41" s="1"/>
  <c r="Y123" i="43"/>
  <c r="Z123" i="43" s="1"/>
  <c r="AF122" i="43"/>
  <c r="AD122" i="43"/>
  <c r="T124" i="43"/>
  <c r="W124" i="43" s="1"/>
  <c r="AA124" i="43" s="1"/>
  <c r="S124" i="43"/>
  <c r="AE122" i="43"/>
  <c r="AB122" i="43"/>
  <c r="P124" i="43"/>
  <c r="V124" i="43"/>
  <c r="U124" i="43"/>
  <c r="AF122" i="42"/>
  <c r="AD122" i="42"/>
  <c r="T124" i="42"/>
  <c r="S124" i="42"/>
  <c r="AB122" i="42"/>
  <c r="AE122" i="42"/>
  <c r="AE123" i="42"/>
  <c r="Y123" i="42"/>
  <c r="Z123" i="42" s="1"/>
  <c r="P124" i="42"/>
  <c r="V124" i="42"/>
  <c r="U124" i="42"/>
  <c r="T124" i="41"/>
  <c r="S124" i="41"/>
  <c r="AB122" i="41"/>
  <c r="AF122" i="41"/>
  <c r="AD122" i="41"/>
  <c r="P124" i="41"/>
  <c r="X124" i="41" s="1"/>
  <c r="U124" i="41"/>
  <c r="V124" i="41"/>
  <c r="Y123" i="41"/>
  <c r="Z123" i="41" s="1"/>
  <c r="AD79" i="36"/>
  <c r="S80" i="36"/>
  <c r="T80" i="36"/>
  <c r="U80" i="36"/>
  <c r="V80" i="36"/>
  <c r="P80" i="36"/>
  <c r="X80" i="36" s="1"/>
  <c r="AA79" i="36"/>
  <c r="AB79" i="36" s="1"/>
  <c r="AE79" i="36"/>
  <c r="K80" i="36"/>
  <c r="G81" i="36" s="1"/>
  <c r="AE123" i="43" l="1"/>
  <c r="X124" i="43"/>
  <c r="Y124" i="43" s="1"/>
  <c r="Z124" i="43" s="1"/>
  <c r="X124" i="42"/>
  <c r="AE123" i="41"/>
  <c r="W124" i="41"/>
  <c r="AA124" i="41" s="1"/>
  <c r="AF123" i="43"/>
  <c r="AD123" i="43"/>
  <c r="AB123" i="43"/>
  <c r="AE124" i="43"/>
  <c r="Y124" i="42"/>
  <c r="Z124" i="42" s="1"/>
  <c r="AF123" i="42"/>
  <c r="AD123" i="42"/>
  <c r="AB123" i="42"/>
  <c r="W124" i="42"/>
  <c r="AA124" i="42" s="1"/>
  <c r="AD123" i="41"/>
  <c r="AB123" i="41"/>
  <c r="AF123" i="41"/>
  <c r="Y124" i="41"/>
  <c r="Z124" i="41" s="1"/>
  <c r="Y80" i="36"/>
  <c r="Z80" i="36" s="1"/>
  <c r="I81" i="36"/>
  <c r="J81" i="36" s="1"/>
  <c r="M81" i="36"/>
  <c r="O81" i="36" s="1"/>
  <c r="L81" i="36"/>
  <c r="W80" i="36"/>
  <c r="AF79" i="36"/>
  <c r="AE124" i="41" l="1"/>
  <c r="AF124" i="43"/>
  <c r="AD124" i="43"/>
  <c r="AB124" i="43"/>
  <c r="AF124" i="42"/>
  <c r="AD124" i="42"/>
  <c r="AE124" i="42"/>
  <c r="AB124" i="42"/>
  <c r="AB3" i="42" s="1"/>
  <c r="AF124" i="41"/>
  <c r="AB124" i="41"/>
  <c r="AD124" i="41"/>
  <c r="AD80" i="36"/>
  <c r="U81" i="36"/>
  <c r="V81" i="36"/>
  <c r="P81" i="36"/>
  <c r="S81" i="36"/>
  <c r="X81" i="36" s="1"/>
  <c r="T81" i="36"/>
  <c r="W81" i="36" s="1"/>
  <c r="K81" i="36"/>
  <c r="G82" i="36" s="1"/>
  <c r="AA80" i="36"/>
  <c r="AB80" i="36" s="1"/>
  <c r="AE80" i="36"/>
  <c r="C44" i="43" l="1"/>
  <c r="C43" i="43"/>
  <c r="C44" i="42"/>
  <c r="C43" i="42"/>
  <c r="C43" i="41"/>
  <c r="C44" i="41"/>
  <c r="Y81" i="36"/>
  <c r="Z81" i="36" s="1"/>
  <c r="AA81" i="36"/>
  <c r="AE81" i="36"/>
  <c r="I82" i="36"/>
  <c r="J82" i="36" s="1"/>
  <c r="M82" i="36"/>
  <c r="O82" i="36" s="1"/>
  <c r="L82" i="36"/>
  <c r="AF80" i="36"/>
  <c r="AD81" i="36" l="1"/>
  <c r="AF81" i="36" s="1"/>
  <c r="AB81" i="36"/>
  <c r="S82" i="36"/>
  <c r="T82" i="36"/>
  <c r="U82" i="36"/>
  <c r="P82" i="36"/>
  <c r="X82" i="36"/>
  <c r="V82" i="36"/>
  <c r="K82" i="36"/>
  <c r="G83" i="36" s="1"/>
  <c r="Y82" i="36" l="1"/>
  <c r="Z82" i="36" s="1"/>
  <c r="W82" i="36"/>
  <c r="I83" i="36"/>
  <c r="J83" i="36" s="1"/>
  <c r="M83" i="36"/>
  <c r="O83" i="36" s="1"/>
  <c r="L83" i="36"/>
  <c r="AD82" i="36" l="1"/>
  <c r="U83" i="36"/>
  <c r="V83" i="36"/>
  <c r="P83" i="36"/>
  <c r="X83" i="36" s="1"/>
  <c r="AA82" i="36"/>
  <c r="AB82" i="36" s="1"/>
  <c r="AE82" i="36"/>
  <c r="S83" i="36"/>
  <c r="T83" i="36"/>
  <c r="K83" i="36"/>
  <c r="G84" i="36" s="1"/>
  <c r="Y83" i="36" l="1"/>
  <c r="Z83" i="36"/>
  <c r="I84" i="36"/>
  <c r="J84" i="36" s="1"/>
  <c r="M84" i="36"/>
  <c r="O84" i="36" s="1"/>
  <c r="L84" i="36"/>
  <c r="AF82" i="36"/>
  <c r="W83" i="36"/>
  <c r="U84" i="36" l="1"/>
  <c r="V84" i="36"/>
  <c r="P84" i="36"/>
  <c r="K84" i="36"/>
  <c r="G85" i="36" s="1"/>
  <c r="S84" i="36"/>
  <c r="X84" i="36" s="1"/>
  <c r="T84" i="36"/>
  <c r="AD83" i="36"/>
  <c r="AA83" i="36"/>
  <c r="AB83" i="36" s="1"/>
  <c r="AE83" i="36"/>
  <c r="AF83" i="36" l="1"/>
  <c r="W84" i="36"/>
  <c r="Y84" i="36"/>
  <c r="Z84" i="36" s="1"/>
  <c r="AA84" i="36"/>
  <c r="AE84" i="36"/>
  <c r="I85" i="36"/>
  <c r="J85" i="36" s="1"/>
  <c r="M85" i="36"/>
  <c r="O85" i="36" s="1"/>
  <c r="L85" i="36"/>
  <c r="AD84" i="36" l="1"/>
  <c r="AF84" i="36" s="1"/>
  <c r="AB84" i="36"/>
  <c r="S85" i="36"/>
  <c r="T85" i="36"/>
  <c r="K85" i="36"/>
  <c r="G86" i="36" s="1"/>
  <c r="U85" i="36"/>
  <c r="V85" i="36"/>
  <c r="P85" i="36"/>
  <c r="X85" i="36" s="1"/>
  <c r="Y85" i="36" l="1"/>
  <c r="Z85" i="36" s="1"/>
  <c r="W85" i="36"/>
  <c r="I86" i="36"/>
  <c r="J86" i="36" s="1"/>
  <c r="L86" i="36"/>
  <c r="M86" i="36"/>
  <c r="O86" i="36" s="1"/>
  <c r="AD85" i="36" l="1"/>
  <c r="U86" i="36"/>
  <c r="V86" i="36"/>
  <c r="P86" i="36"/>
  <c r="X86" i="36" s="1"/>
  <c r="AA85" i="36"/>
  <c r="AB85" i="36" s="1"/>
  <c r="AE85" i="36"/>
  <c r="S86" i="36"/>
  <c r="T86" i="36"/>
  <c r="W86" i="36" s="1"/>
  <c r="K86" i="36"/>
  <c r="G87" i="36" s="1"/>
  <c r="Y86" i="36" l="1"/>
  <c r="Z86" i="36" s="1"/>
  <c r="I87" i="36"/>
  <c r="J87" i="36" s="1"/>
  <c r="M87" i="36"/>
  <c r="O87" i="36" s="1"/>
  <c r="L87" i="36"/>
  <c r="AA86" i="36"/>
  <c r="AE86" i="36"/>
  <c r="AF85" i="36"/>
  <c r="AD86" i="36" l="1"/>
  <c r="AF86" i="36" s="1"/>
  <c r="AB86" i="36"/>
  <c r="U87" i="36"/>
  <c r="P87" i="36"/>
  <c r="V87" i="36"/>
  <c r="S87" i="36"/>
  <c r="X87" i="36" s="1"/>
  <c r="T87" i="36"/>
  <c r="W87" i="36" s="1"/>
  <c r="K87" i="36"/>
  <c r="G88" i="36" s="1"/>
  <c r="Y87" i="36" l="1"/>
  <c r="Z87" i="36" s="1"/>
  <c r="AA87" i="36"/>
  <c r="AE87" i="36"/>
  <c r="I88" i="36"/>
  <c r="J88" i="36" s="1"/>
  <c r="M88" i="36"/>
  <c r="O88" i="36" s="1"/>
  <c r="L88" i="36"/>
  <c r="AD87" i="36" l="1"/>
  <c r="AF87" i="36" s="1"/>
  <c r="AB87" i="36"/>
  <c r="S88" i="36"/>
  <c r="T88" i="36"/>
  <c r="K88" i="36"/>
  <c r="G89" i="36" s="1"/>
  <c r="U88" i="36"/>
  <c r="V88" i="36"/>
  <c r="P88" i="36"/>
  <c r="X88" i="36" s="1"/>
  <c r="Y88" i="36" l="1"/>
  <c r="Z88" i="36" s="1"/>
  <c r="W88" i="36"/>
  <c r="I89" i="36"/>
  <c r="J89" i="36" s="1"/>
  <c r="M89" i="36"/>
  <c r="O89" i="36" s="1"/>
  <c r="L89" i="36"/>
  <c r="AD88" i="36" l="1"/>
  <c r="K89" i="36"/>
  <c r="G90" i="36" s="1"/>
  <c r="S89" i="36"/>
  <c r="T89" i="36"/>
  <c r="AA88" i="36"/>
  <c r="AB88" i="36" s="1"/>
  <c r="AE88" i="36"/>
  <c r="U89" i="36"/>
  <c r="V89" i="36"/>
  <c r="P89" i="36"/>
  <c r="X89" i="36" s="1"/>
  <c r="Y89" i="36" l="1"/>
  <c r="Z89" i="36" s="1"/>
  <c r="W89" i="36"/>
  <c r="I90" i="36"/>
  <c r="J90" i="36" s="1"/>
  <c r="M90" i="36"/>
  <c r="O90" i="36" s="1"/>
  <c r="L90" i="36"/>
  <c r="AF88" i="36"/>
  <c r="S90" i="36" l="1"/>
  <c r="T90" i="36"/>
  <c r="AA89" i="36"/>
  <c r="AB89" i="36" s="1"/>
  <c r="AE89" i="36"/>
  <c r="U90" i="36"/>
  <c r="V90" i="36"/>
  <c r="P90" i="36"/>
  <c r="X90" i="36" s="1"/>
  <c r="AD89" i="36"/>
  <c r="K90" i="36"/>
  <c r="G91" i="36" s="1"/>
  <c r="Y90" i="36" l="1"/>
  <c r="Z90" i="36"/>
  <c r="I91" i="36"/>
  <c r="J91" i="36" s="1"/>
  <c r="M91" i="36"/>
  <c r="O91" i="36" s="1"/>
  <c r="L91" i="36"/>
  <c r="W90" i="36"/>
  <c r="AF89" i="36"/>
  <c r="U91" i="36" l="1"/>
  <c r="V91" i="36"/>
  <c r="P91" i="36"/>
  <c r="X91" i="36" s="1"/>
  <c r="K91" i="36"/>
  <c r="G92" i="36" s="1"/>
  <c r="S91" i="36"/>
  <c r="T91" i="36"/>
  <c r="W91" i="36" s="1"/>
  <c r="AD90" i="36"/>
  <c r="AF90" i="36" s="1"/>
  <c r="AA90" i="36"/>
  <c r="AB90" i="36" s="1"/>
  <c r="AE90" i="36"/>
  <c r="Y91" i="36" l="1"/>
  <c r="Z91" i="36"/>
  <c r="AA91" i="36"/>
  <c r="AE91" i="36"/>
  <c r="I92" i="36"/>
  <c r="J92" i="36" s="1"/>
  <c r="M92" i="36"/>
  <c r="O92" i="36" s="1"/>
  <c r="L92" i="36"/>
  <c r="S92" i="36" l="1"/>
  <c r="T92" i="36"/>
  <c r="K92" i="36"/>
  <c r="G93" i="36" s="1"/>
  <c r="AD91" i="36"/>
  <c r="AF91" i="36" s="1"/>
  <c r="AB91" i="36"/>
  <c r="U92" i="36"/>
  <c r="V92" i="36"/>
  <c r="P92" i="36"/>
  <c r="X92" i="36" s="1"/>
  <c r="I93" i="36" l="1"/>
  <c r="J93" i="36" s="1"/>
  <c r="M93" i="36"/>
  <c r="O93" i="36" s="1"/>
  <c r="L93" i="36"/>
  <c r="W92" i="36"/>
  <c r="Y92" i="36"/>
  <c r="Z92" i="36" s="1"/>
  <c r="AD92" i="36" l="1"/>
  <c r="S93" i="36"/>
  <c r="T93" i="36"/>
  <c r="W93" i="36" s="1"/>
  <c r="AA92" i="36"/>
  <c r="AB92" i="36" s="1"/>
  <c r="AE92" i="36"/>
  <c r="U93" i="36"/>
  <c r="V93" i="36"/>
  <c r="P93" i="36"/>
  <c r="X93" i="36" s="1"/>
  <c r="K93" i="36"/>
  <c r="G94" i="36" s="1"/>
  <c r="AA93" i="36" l="1"/>
  <c r="AE93" i="36"/>
  <c r="Y93" i="36"/>
  <c r="Z93" i="36" s="1"/>
  <c r="I94" i="36"/>
  <c r="J94" i="36" s="1"/>
  <c r="L94" i="36"/>
  <c r="M94" i="36"/>
  <c r="O94" i="36" s="1"/>
  <c r="AF92" i="36"/>
  <c r="U94" i="36" l="1"/>
  <c r="V94" i="36"/>
  <c r="P94" i="36"/>
  <c r="X94" i="36" s="1"/>
  <c r="AD93" i="36"/>
  <c r="AF93" i="36" s="1"/>
  <c r="AB93" i="36"/>
  <c r="S94" i="36"/>
  <c r="T94" i="36"/>
  <c r="K94" i="36"/>
  <c r="G95" i="36" s="1"/>
  <c r="W94" i="36" l="1"/>
  <c r="Y94" i="36"/>
  <c r="Z94" i="36"/>
  <c r="AA94" i="36"/>
  <c r="AE94" i="36"/>
  <c r="I95" i="36"/>
  <c r="J95" i="36" s="1"/>
  <c r="M95" i="36"/>
  <c r="O95" i="36" s="1"/>
  <c r="L95" i="36"/>
  <c r="S95" i="36" l="1"/>
  <c r="T95" i="36"/>
  <c r="K95" i="36"/>
  <c r="G96" i="36" s="1"/>
  <c r="U95" i="36"/>
  <c r="V95" i="36"/>
  <c r="P95" i="36"/>
  <c r="X95" i="36" s="1"/>
  <c r="AD94" i="36"/>
  <c r="AF94" i="36" s="1"/>
  <c r="AB94" i="36"/>
  <c r="Y95" i="36" l="1"/>
  <c r="Z95" i="36"/>
  <c r="I96" i="36"/>
  <c r="J96" i="36" s="1"/>
  <c r="M96" i="36"/>
  <c r="O96" i="36" s="1"/>
  <c r="L96" i="36"/>
  <c r="W95" i="36"/>
  <c r="AA95" i="36" l="1"/>
  <c r="AE95" i="36"/>
  <c r="K96" i="36"/>
  <c r="G97" i="36" s="1"/>
  <c r="S96" i="36"/>
  <c r="T96" i="36"/>
  <c r="AD95" i="36"/>
  <c r="AF95" i="36" s="1"/>
  <c r="AB95" i="36"/>
  <c r="U96" i="36"/>
  <c r="V96" i="36"/>
  <c r="P96" i="36"/>
  <c r="X96" i="36" s="1"/>
  <c r="Y96" i="36" l="1"/>
  <c r="Z96" i="36"/>
  <c r="I97" i="36"/>
  <c r="J97" i="36" s="1"/>
  <c r="L97" i="36"/>
  <c r="M97" i="36"/>
  <c r="O97" i="36" s="1"/>
  <c r="K97" i="36"/>
  <c r="G98" i="36" s="1"/>
  <c r="W96" i="36"/>
  <c r="P97" i="36" l="1"/>
  <c r="X97" i="36" s="1"/>
  <c r="V97" i="36"/>
  <c r="U97" i="36"/>
  <c r="AA96" i="36"/>
  <c r="AB96" i="36" s="1"/>
  <c r="AE96" i="36"/>
  <c r="I98" i="36"/>
  <c r="J98" i="36" s="1"/>
  <c r="L98" i="36"/>
  <c r="M98" i="36"/>
  <c r="O98" i="36" s="1"/>
  <c r="T97" i="36"/>
  <c r="S97" i="36"/>
  <c r="AD96" i="36"/>
  <c r="W97" i="36" l="1"/>
  <c r="Y97" i="36"/>
  <c r="Z97" i="36"/>
  <c r="T98" i="36"/>
  <c r="S98" i="36"/>
  <c r="AA97" i="36"/>
  <c r="AE97" i="36"/>
  <c r="K98" i="36"/>
  <c r="G99" i="36" s="1"/>
  <c r="AF96" i="36"/>
  <c r="P98" i="36"/>
  <c r="X98" i="36" s="1"/>
  <c r="V98" i="36"/>
  <c r="U98" i="36"/>
  <c r="Y98" i="36" l="1"/>
  <c r="Z98" i="36" s="1"/>
  <c r="I99" i="36"/>
  <c r="J99" i="36" s="1"/>
  <c r="L99" i="36"/>
  <c r="M99" i="36"/>
  <c r="O99" i="36" s="1"/>
  <c r="W98" i="36"/>
  <c r="AB97" i="36"/>
  <c r="AD97" i="36"/>
  <c r="AF97" i="36" s="1"/>
  <c r="AA98" i="36" l="1"/>
  <c r="AB98" i="36" s="1"/>
  <c r="AE98" i="36"/>
  <c r="K99" i="36"/>
  <c r="G100" i="36" s="1"/>
  <c r="AD98" i="36"/>
  <c r="AF98" i="36" s="1"/>
  <c r="V99" i="36"/>
  <c r="P99" i="36"/>
  <c r="X99" i="36" s="1"/>
  <c r="U99" i="36"/>
  <c r="T99" i="36"/>
  <c r="S99" i="36"/>
  <c r="Y99" i="36" l="1"/>
  <c r="Z99" i="36"/>
  <c r="M100" i="36"/>
  <c r="O100" i="36" s="1"/>
  <c r="I100" i="36"/>
  <c r="J100" i="36" s="1"/>
  <c r="L100" i="36"/>
  <c r="W99" i="36"/>
  <c r="T100" i="36" l="1"/>
  <c r="S100" i="36"/>
  <c r="AE99" i="36"/>
  <c r="AA99" i="36"/>
  <c r="AB99" i="36" s="1"/>
  <c r="K100" i="36"/>
  <c r="G101" i="36" s="1"/>
  <c r="V100" i="36"/>
  <c r="P100" i="36"/>
  <c r="X100" i="36" s="1"/>
  <c r="U100" i="36"/>
  <c r="AD99" i="36"/>
  <c r="AF99" i="36" s="1"/>
  <c r="Y100" i="36" l="1"/>
  <c r="Z100" i="36" s="1"/>
  <c r="M101" i="36"/>
  <c r="O101" i="36" s="1"/>
  <c r="L101" i="36"/>
  <c r="I101" i="36"/>
  <c r="J101" i="36" s="1"/>
  <c r="K101" i="36"/>
  <c r="G102" i="36" s="1"/>
  <c r="W100" i="36"/>
  <c r="AD100" i="36" l="1"/>
  <c r="M102" i="36"/>
  <c r="O102" i="36" s="1"/>
  <c r="L102" i="36"/>
  <c r="I102" i="36"/>
  <c r="J102" i="36" s="1"/>
  <c r="K102" i="36"/>
  <c r="G103" i="36" s="1"/>
  <c r="AE100" i="36"/>
  <c r="AA100" i="36"/>
  <c r="AB100" i="36" s="1"/>
  <c r="T101" i="36"/>
  <c r="S101" i="36"/>
  <c r="V101" i="36"/>
  <c r="U101" i="36"/>
  <c r="P101" i="36"/>
  <c r="X101" i="36" s="1"/>
  <c r="Y101" i="36" l="1"/>
  <c r="Z101" i="36" s="1"/>
  <c r="T102" i="36"/>
  <c r="S102" i="36"/>
  <c r="V102" i="36"/>
  <c r="U102" i="36"/>
  <c r="P102" i="36"/>
  <c r="X102" i="36" s="1"/>
  <c r="M103" i="36"/>
  <c r="O103" i="36" s="1"/>
  <c r="L103" i="36"/>
  <c r="I103" i="36"/>
  <c r="J103" i="36" s="1"/>
  <c r="K103" i="36"/>
  <c r="G104" i="36" s="1"/>
  <c r="W101" i="36"/>
  <c r="AF100" i="36"/>
  <c r="Y102" i="36" l="1"/>
  <c r="Z102" i="36" s="1"/>
  <c r="AD101" i="36"/>
  <c r="W102" i="36"/>
  <c r="AE101" i="36"/>
  <c r="AA101" i="36"/>
  <c r="AB101" i="36" s="1"/>
  <c r="M104" i="36"/>
  <c r="O104" i="36" s="1"/>
  <c r="L104" i="36"/>
  <c r="I104" i="36"/>
  <c r="J104" i="36" s="1"/>
  <c r="K104" i="36"/>
  <c r="G105" i="36" s="1"/>
  <c r="T103" i="36"/>
  <c r="S103" i="36"/>
  <c r="V103" i="36"/>
  <c r="U103" i="36"/>
  <c r="P103" i="36"/>
  <c r="X103" i="36" s="1"/>
  <c r="AD102" i="36" l="1"/>
  <c r="AE102" i="36"/>
  <c r="AA102" i="36"/>
  <c r="AB102" i="36" s="1"/>
  <c r="W103" i="36"/>
  <c r="AF101" i="36"/>
  <c r="X104" i="36"/>
  <c r="V104" i="36"/>
  <c r="U104" i="36"/>
  <c r="P104" i="36"/>
  <c r="Y103" i="36"/>
  <c r="Z103" i="36" s="1"/>
  <c r="M105" i="36"/>
  <c r="O105" i="36" s="1"/>
  <c r="L105" i="36"/>
  <c r="I105" i="36"/>
  <c r="J105" i="36" s="1"/>
  <c r="T104" i="36"/>
  <c r="S104" i="36"/>
  <c r="AD103" i="36" l="1"/>
  <c r="AE103" i="36"/>
  <c r="AA103" i="36"/>
  <c r="AB103" i="36" s="1"/>
  <c r="T105" i="36"/>
  <c r="S105" i="36"/>
  <c r="V105" i="36"/>
  <c r="U105" i="36"/>
  <c r="P105" i="36"/>
  <c r="X105" i="36" s="1"/>
  <c r="K105" i="36"/>
  <c r="G106" i="36" s="1"/>
  <c r="Y104" i="36"/>
  <c r="Z104" i="36" s="1"/>
  <c r="W104" i="36"/>
  <c r="AF102" i="36"/>
  <c r="AD104" i="36" l="1"/>
  <c r="Y105" i="36"/>
  <c r="Z105" i="36" s="1"/>
  <c r="AE104" i="36"/>
  <c r="AA104" i="36"/>
  <c r="AB104" i="36" s="1"/>
  <c r="W105" i="36"/>
  <c r="M106" i="36"/>
  <c r="O106" i="36" s="1"/>
  <c r="L106" i="36"/>
  <c r="I106" i="36"/>
  <c r="J106" i="36" s="1"/>
  <c r="K106" i="36"/>
  <c r="G107" i="36" s="1"/>
  <c r="AF103" i="36"/>
  <c r="AD105" i="36" l="1"/>
  <c r="AE105" i="36"/>
  <c r="AA105" i="36"/>
  <c r="AB105" i="36" s="1"/>
  <c r="M107" i="36"/>
  <c r="O107" i="36" s="1"/>
  <c r="L107" i="36"/>
  <c r="I107" i="36"/>
  <c r="J107" i="36" s="1"/>
  <c r="K107" i="36"/>
  <c r="G108" i="36" s="1"/>
  <c r="V106" i="36"/>
  <c r="U106" i="36"/>
  <c r="P106" i="36"/>
  <c r="X106" i="36" s="1"/>
  <c r="T106" i="36"/>
  <c r="W106" i="36" s="1"/>
  <c r="S106" i="36"/>
  <c r="AF104" i="36"/>
  <c r="Y106" i="36" l="1"/>
  <c r="Z106" i="36" s="1"/>
  <c r="AE106" i="36"/>
  <c r="AA106" i="36"/>
  <c r="M108" i="36"/>
  <c r="O108" i="36" s="1"/>
  <c r="L108" i="36"/>
  <c r="I108" i="36"/>
  <c r="J108" i="36" s="1"/>
  <c r="K108" i="36"/>
  <c r="G109" i="36" s="1"/>
  <c r="T107" i="36"/>
  <c r="S107" i="36"/>
  <c r="V107" i="36"/>
  <c r="U107" i="36"/>
  <c r="P107" i="36"/>
  <c r="X107" i="36" s="1"/>
  <c r="AF105" i="36"/>
  <c r="Y107" i="36" l="1"/>
  <c r="Z107" i="36" s="1"/>
  <c r="AD106" i="36"/>
  <c r="AF106" i="36" s="1"/>
  <c r="AB106" i="36"/>
  <c r="M109" i="36"/>
  <c r="O109" i="36" s="1"/>
  <c r="L109" i="36"/>
  <c r="I109" i="36"/>
  <c r="J109" i="36" s="1"/>
  <c r="T108" i="36"/>
  <c r="S108" i="36"/>
  <c r="V108" i="36"/>
  <c r="U108" i="36"/>
  <c r="P108" i="36"/>
  <c r="X108" i="36" s="1"/>
  <c r="W107" i="36"/>
  <c r="Y108" i="36" l="1"/>
  <c r="Z108" i="36" s="1"/>
  <c r="AD107" i="36"/>
  <c r="T109" i="36"/>
  <c r="W109" i="36" s="1"/>
  <c r="S109" i="36"/>
  <c r="K109" i="36"/>
  <c r="G110" i="36" s="1"/>
  <c r="V109" i="36"/>
  <c r="U109" i="36"/>
  <c r="P109" i="36"/>
  <c r="X109" i="36" s="1"/>
  <c r="AE107" i="36"/>
  <c r="AA107" i="36"/>
  <c r="AB107" i="36" s="1"/>
  <c r="W108" i="36"/>
  <c r="AD108" i="36" l="1"/>
  <c r="M110" i="36"/>
  <c r="O110" i="36" s="1"/>
  <c r="L110" i="36"/>
  <c r="I110" i="36"/>
  <c r="J110" i="36" s="1"/>
  <c r="K110" i="36"/>
  <c r="G111" i="36" s="1"/>
  <c r="AF107" i="36"/>
  <c r="AE109" i="36"/>
  <c r="AA109" i="36"/>
  <c r="Y109" i="36"/>
  <c r="Z109" i="36" s="1"/>
  <c r="AE108" i="36"/>
  <c r="AA108" i="36"/>
  <c r="AB108" i="36" s="1"/>
  <c r="AD109" i="36" l="1"/>
  <c r="AF109" i="36" s="1"/>
  <c r="AB109" i="36"/>
  <c r="V110" i="36"/>
  <c r="U110" i="36"/>
  <c r="P110" i="36"/>
  <c r="X110" i="36" s="1"/>
  <c r="M111" i="36"/>
  <c r="O111" i="36" s="1"/>
  <c r="L111" i="36"/>
  <c r="I111" i="36"/>
  <c r="J111" i="36" s="1"/>
  <c r="K111" i="36"/>
  <c r="G112" i="36" s="1"/>
  <c r="T110" i="36"/>
  <c r="S110" i="36"/>
  <c r="AF108" i="36"/>
  <c r="Y110" i="36" l="1"/>
  <c r="Z110" i="36" s="1"/>
  <c r="T111" i="36"/>
  <c r="S111" i="36"/>
  <c r="M112" i="36"/>
  <c r="O112" i="36" s="1"/>
  <c r="L112" i="36"/>
  <c r="I112" i="36"/>
  <c r="J112" i="36" s="1"/>
  <c r="V111" i="36"/>
  <c r="U111" i="36"/>
  <c r="P111" i="36"/>
  <c r="X111" i="36" s="1"/>
  <c r="W110" i="36"/>
  <c r="W111" i="36" l="1"/>
  <c r="Y111" i="36"/>
  <c r="Z111" i="36" s="1"/>
  <c r="AD110" i="36"/>
  <c r="T112" i="36"/>
  <c r="W112" i="36" s="1"/>
  <c r="S112" i="36"/>
  <c r="AE111" i="36"/>
  <c r="AA111" i="36"/>
  <c r="K112" i="36"/>
  <c r="G113" i="36" s="1"/>
  <c r="V112" i="36"/>
  <c r="U112" i="36"/>
  <c r="P112" i="36"/>
  <c r="X112" i="36" s="1"/>
  <c r="AE110" i="36"/>
  <c r="AA110" i="36"/>
  <c r="AB110" i="36" s="1"/>
  <c r="Y112" i="36" l="1"/>
  <c r="Z112" i="36" s="1"/>
  <c r="AD111" i="36"/>
  <c r="AF111" i="36" s="1"/>
  <c r="AB111" i="36"/>
  <c r="AF110" i="36"/>
  <c r="AE112" i="36"/>
  <c r="AA112" i="36"/>
  <c r="M113" i="36"/>
  <c r="O113" i="36" s="1"/>
  <c r="L113" i="36"/>
  <c r="I113" i="36"/>
  <c r="J113" i="36" s="1"/>
  <c r="K113" i="36"/>
  <c r="G114" i="36" s="1"/>
  <c r="AD112" i="36" l="1"/>
  <c r="AF112" i="36" s="1"/>
  <c r="AB112" i="36"/>
  <c r="V113" i="36"/>
  <c r="U113" i="36"/>
  <c r="P113" i="36"/>
  <c r="X113" i="36" s="1"/>
  <c r="M114" i="36"/>
  <c r="O114" i="36" s="1"/>
  <c r="L114" i="36"/>
  <c r="I114" i="36"/>
  <c r="J114" i="36" s="1"/>
  <c r="K114" i="36"/>
  <c r="G115" i="36" s="1"/>
  <c r="T113" i="36"/>
  <c r="S113" i="36"/>
  <c r="Y113" i="36" l="1"/>
  <c r="Z113" i="36" s="1"/>
  <c r="T114" i="36"/>
  <c r="S114" i="36"/>
  <c r="M115" i="36"/>
  <c r="O115" i="36" s="1"/>
  <c r="L115" i="36"/>
  <c r="I115" i="36"/>
  <c r="J115" i="36" s="1"/>
  <c r="K115" i="36"/>
  <c r="G116" i="36" s="1"/>
  <c r="V114" i="36"/>
  <c r="U114" i="36"/>
  <c r="P114" i="36"/>
  <c r="X114" i="36" s="1"/>
  <c r="W113" i="36"/>
  <c r="Y114" i="36" l="1"/>
  <c r="Z114" i="36" s="1"/>
  <c r="M116" i="36"/>
  <c r="O116" i="36" s="1"/>
  <c r="L116" i="36"/>
  <c r="I116" i="36"/>
  <c r="J116" i="36" s="1"/>
  <c r="K116" i="36"/>
  <c r="G117" i="36" s="1"/>
  <c r="X115" i="36"/>
  <c r="V115" i="36"/>
  <c r="U115" i="36"/>
  <c r="P115" i="36"/>
  <c r="AE113" i="36"/>
  <c r="AA113" i="36"/>
  <c r="AB113" i="36" s="1"/>
  <c r="W114" i="36"/>
  <c r="T115" i="36"/>
  <c r="S115" i="36"/>
  <c r="AD113" i="36"/>
  <c r="AF113" i="36" s="1"/>
  <c r="W115" i="36" l="1"/>
  <c r="AD114" i="36"/>
  <c r="Y115" i="36"/>
  <c r="Z115" i="36" s="1"/>
  <c r="M117" i="36"/>
  <c r="O117" i="36" s="1"/>
  <c r="L117" i="36"/>
  <c r="I117" i="36"/>
  <c r="J117" i="36" s="1"/>
  <c r="K117" i="36"/>
  <c r="G118" i="36" s="1"/>
  <c r="T116" i="36"/>
  <c r="S116" i="36"/>
  <c r="V116" i="36"/>
  <c r="U116" i="36"/>
  <c r="P116" i="36"/>
  <c r="X116" i="36" s="1"/>
  <c r="AE114" i="36"/>
  <c r="AA114" i="36"/>
  <c r="AB114" i="36" s="1"/>
  <c r="AE115" i="36"/>
  <c r="AA115" i="36"/>
  <c r="AD115" i="36" l="1"/>
  <c r="AF115" i="36" s="1"/>
  <c r="AB115" i="36"/>
  <c r="Y116" i="36"/>
  <c r="Z116" i="36" s="1"/>
  <c r="T117" i="36"/>
  <c r="S117" i="36"/>
  <c r="X117" i="36"/>
  <c r="V117" i="36"/>
  <c r="U117" i="36"/>
  <c r="P117" i="36"/>
  <c r="M118" i="36"/>
  <c r="O118" i="36" s="1"/>
  <c r="L118" i="36"/>
  <c r="I118" i="36"/>
  <c r="J118" i="36" s="1"/>
  <c r="K118" i="36"/>
  <c r="G119" i="36" s="1"/>
  <c r="W116" i="36"/>
  <c r="AF114" i="36"/>
  <c r="AD116" i="36" l="1"/>
  <c r="W117" i="36"/>
  <c r="M119" i="36"/>
  <c r="O119" i="36" s="1"/>
  <c r="L119" i="36"/>
  <c r="I119" i="36"/>
  <c r="J119" i="36" s="1"/>
  <c r="K119" i="36"/>
  <c r="G120" i="36" s="1"/>
  <c r="AE116" i="36"/>
  <c r="AA116" i="36"/>
  <c r="AB116" i="36" s="1"/>
  <c r="V118" i="36"/>
  <c r="U118" i="36"/>
  <c r="P118" i="36"/>
  <c r="X118" i="36" s="1"/>
  <c r="Y117" i="36"/>
  <c r="Z117" i="36" s="1"/>
  <c r="T118" i="36"/>
  <c r="W118" i="36" s="1"/>
  <c r="S118" i="36"/>
  <c r="Y118" i="36" l="1"/>
  <c r="Z118" i="36" s="1"/>
  <c r="AD117" i="36"/>
  <c r="AE118" i="36"/>
  <c r="AA118" i="36"/>
  <c r="AE117" i="36"/>
  <c r="AA117" i="36"/>
  <c r="AB117" i="36" s="1"/>
  <c r="M120" i="36"/>
  <c r="O120" i="36" s="1"/>
  <c r="L120" i="36"/>
  <c r="I120" i="36"/>
  <c r="J120" i="36" s="1"/>
  <c r="K120" i="36"/>
  <c r="G121" i="36" s="1"/>
  <c r="V119" i="36"/>
  <c r="U119" i="36"/>
  <c r="P119" i="36"/>
  <c r="X119" i="36" s="1"/>
  <c r="T119" i="36"/>
  <c r="S119" i="36"/>
  <c r="AF116" i="36"/>
  <c r="Y119" i="36" l="1"/>
  <c r="Z119" i="36" s="1"/>
  <c r="AD118" i="36"/>
  <c r="AF118" i="36" s="1"/>
  <c r="AB118" i="36"/>
  <c r="M121" i="36"/>
  <c r="O121" i="36" s="1"/>
  <c r="L121" i="36"/>
  <c r="I121" i="36"/>
  <c r="J121" i="36" s="1"/>
  <c r="AF117" i="36"/>
  <c r="T120" i="36"/>
  <c r="S120" i="36"/>
  <c r="W119" i="36"/>
  <c r="V120" i="36"/>
  <c r="U120" i="36"/>
  <c r="P120" i="36"/>
  <c r="X120" i="36" s="1"/>
  <c r="Y120" i="36" l="1"/>
  <c r="Z120" i="36" s="1"/>
  <c r="AD119" i="36"/>
  <c r="V121" i="36"/>
  <c r="U121" i="36"/>
  <c r="P121" i="36"/>
  <c r="X121" i="36" s="1"/>
  <c r="T121" i="36"/>
  <c r="S121" i="36"/>
  <c r="W120" i="36"/>
  <c r="K121" i="36"/>
  <c r="G122" i="36" s="1"/>
  <c r="AE119" i="36"/>
  <c r="AA119" i="36"/>
  <c r="AB119" i="36" s="1"/>
  <c r="AD120" i="36" l="1"/>
  <c r="AE120" i="36"/>
  <c r="AA120" i="36"/>
  <c r="AB120" i="36" s="1"/>
  <c r="AF119" i="36"/>
  <c r="Y121" i="36"/>
  <c r="Z121" i="36" s="1"/>
  <c r="M122" i="36"/>
  <c r="O122" i="36" s="1"/>
  <c r="L122" i="36"/>
  <c r="I122" i="36"/>
  <c r="J122" i="36" s="1"/>
  <c r="K122" i="36"/>
  <c r="G123" i="36" s="1"/>
  <c r="W121" i="36"/>
  <c r="AD121" i="36" l="1"/>
  <c r="V122" i="36"/>
  <c r="U122" i="36"/>
  <c r="P122" i="36"/>
  <c r="X122" i="36" s="1"/>
  <c r="AE121" i="36"/>
  <c r="AA121" i="36"/>
  <c r="AB121" i="36" s="1"/>
  <c r="M123" i="36"/>
  <c r="O123" i="36" s="1"/>
  <c r="L123" i="36"/>
  <c r="I123" i="36"/>
  <c r="J123" i="36" s="1"/>
  <c r="K123" i="36"/>
  <c r="G124" i="36" s="1"/>
  <c r="T122" i="36"/>
  <c r="W122" i="36" s="1"/>
  <c r="S122" i="36"/>
  <c r="AF120" i="36"/>
  <c r="Y122" i="36" l="1"/>
  <c r="Z122" i="36" s="1"/>
  <c r="AE122" i="36"/>
  <c r="AA122" i="36"/>
  <c r="M124" i="36"/>
  <c r="O124" i="36" s="1"/>
  <c r="L124" i="36"/>
  <c r="I124" i="36"/>
  <c r="J124" i="36" s="1"/>
  <c r="K124" i="36"/>
  <c r="T123" i="36"/>
  <c r="S123" i="36"/>
  <c r="V123" i="36"/>
  <c r="U123" i="36"/>
  <c r="P123" i="36"/>
  <c r="X123" i="36" s="1"/>
  <c r="AF121" i="36"/>
  <c r="Y123" i="36" l="1"/>
  <c r="Z123" i="36" s="1"/>
  <c r="AD122" i="36"/>
  <c r="AF122" i="36" s="1"/>
  <c r="AB122" i="36"/>
  <c r="V124" i="36"/>
  <c r="U124" i="36"/>
  <c r="P124" i="36"/>
  <c r="X124" i="36" s="1"/>
  <c r="T124" i="36"/>
  <c r="S124" i="36"/>
  <c r="W123" i="36"/>
  <c r="Y124" i="36" l="1"/>
  <c r="Z124" i="36" s="1"/>
  <c r="AD123" i="36"/>
  <c r="AE123" i="36"/>
  <c r="AA123" i="36"/>
  <c r="AB123" i="36" s="1"/>
  <c r="W124" i="36"/>
  <c r="AD124" i="36" l="1"/>
  <c r="AE124" i="36"/>
  <c r="AA124" i="36"/>
  <c r="AB124" i="36" s="1"/>
  <c r="AF123" i="36"/>
  <c r="AF124" i="36" l="1"/>
</calcChain>
</file>

<file path=xl/sharedStrings.xml><?xml version="1.0" encoding="utf-8"?>
<sst xmlns="http://schemas.openxmlformats.org/spreadsheetml/2006/main" count="374" uniqueCount="98">
  <si>
    <t>Risked Based Pricing for EnergiCore</t>
  </si>
  <si>
    <t>Instructions:</t>
  </si>
  <si>
    <t>A corporate investment client, EnergiCore (Pty) Ltd has approached Nedbank requesting a loan to finance a major development project. EnergiCore (Pty) Ltd plans to utilize the loan for the construction of a sustainable industrial complex that combines manufacturing facilities, office spaces, and renewable energy infrastructure. This project supports industry-wide sustainability objectives and aims to reduce carbon emissions while improving long-term operational efficiency The loan term is expected to be 120 months. Below are the loan details for each potential client:</t>
  </si>
  <si>
    <t>Summary of loan details:</t>
  </si>
  <si>
    <r>
      <rPr>
        <b/>
        <sz val="11"/>
        <color rgb="FF231F20"/>
        <rFont val="Libre Franklin"/>
      </rPr>
      <t>EnergiCore (Pty) Ltd</t>
    </r>
    <r>
      <rPr>
        <sz val="8"/>
        <color rgb="FF231F20"/>
        <rFont val="Libre Franklin"/>
      </rPr>
      <t> </t>
    </r>
  </si>
  <si>
    <t>Loan amount</t>
  </si>
  <si>
    <t>100 000 000</t>
  </si>
  <si>
    <t>Interest rate</t>
  </si>
  <si>
    <t>Once-off fee</t>
  </si>
  <si>
    <t>Monthly fee</t>
  </si>
  <si>
    <t xml:space="preserve">The information below has been provided and populated in the Model Outputs sheet </t>
  </si>
  <si>
    <t>ECAP (Economic capital) multipliers</t>
  </si>
  <si>
    <t>Inter-Risk Diversification Factors:</t>
  </si>
  <si>
    <t>Other inputs:</t>
  </si>
  <si>
    <t>Cap Rate</t>
  </si>
  <si>
    <t>Credit Risk</t>
  </si>
  <si>
    <t>Tax Rate</t>
  </si>
  <si>
    <t>Business Risk ECAP multiplier</t>
  </si>
  <si>
    <t>Business Risk</t>
  </si>
  <si>
    <t>CoE (NACS)</t>
  </si>
  <si>
    <t>Operational Risk ECAP multiplier</t>
  </si>
  <si>
    <t>Operational Risk</t>
  </si>
  <si>
    <t>CoE (NACM)</t>
  </si>
  <si>
    <t>Risk-free rate</t>
  </si>
  <si>
    <t>Assumptions:</t>
  </si>
  <si>
    <t>The LGD for EnergiCore is 20%</t>
  </si>
  <si>
    <t>Assume a PD of 2.68% for EnergiCore</t>
  </si>
  <si>
    <t>Assume the Cost of Funding (CoF) from the Reserve Bank is 11.75%</t>
  </si>
  <si>
    <t>Assume a cost-to-income ratio of 40%.</t>
  </si>
  <si>
    <t>Assume the LGD is constant over the life of the loan.</t>
  </si>
  <si>
    <t>Note: The Model Outputs sheet has been pre-populated with an EAD formula applying the PIO methodology (3 months accrued interest).</t>
  </si>
  <si>
    <t>Hints:</t>
  </si>
  <si>
    <t>Refer to the RAROC methodology before completing this pricing model</t>
  </si>
  <si>
    <t>Ensure that you complete the Model Outputs from left to right</t>
  </si>
  <si>
    <t>Remember that both Interest Rate and Probability of Default (PD) are usually stated on an annual basis. For monthly calculations, you need to convert these to monthly rates</t>
  </si>
  <si>
    <t>Excel formula hints</t>
  </si>
  <si>
    <t>Calculating monthly payments - use the PMT() function</t>
  </si>
  <si>
    <t>Fixing a cell - A1 becomes $A$1</t>
  </si>
  <si>
    <t xml:space="preserve"> Total expenses uses the cost-to-income approach (i.e operating expenses multipled by operating income)</t>
  </si>
  <si>
    <t>Answer sheet- use these answers to assist with the compiling of your presentation</t>
  </si>
  <si>
    <t>2.1 Assess the potential risks associated with this project (e.g. market saturation and economic downturns).</t>
  </si>
  <si>
    <t>2.2 Refer to the excel file provided with the loan details and calculate the RAROC of this deal.</t>
  </si>
  <si>
    <t>2.3 What interest rate should be charged to the client if we want a RAROC of 17%?  (Hint - use goal seek).</t>
  </si>
  <si>
    <t>2.4 What is the break-even point of the loan? In other words, what is interest rate needed to achieve an EP of R0. How would you use this result? (Hint - use goal seek).</t>
  </si>
  <si>
    <t>2.5 Replace the current PDs with 10 alternative values (all below 100%), calculate the corresponding RAROC for each, plot the relationship between PD and RAROC, and provide an interpretation of the observed trend along with its implications for pricing and risk management.</t>
  </si>
  <si>
    <t>Term</t>
  </si>
  <si>
    <t>Loan Repayment Profile (Amortisation Schedule)</t>
  </si>
  <si>
    <t>Operational Costs</t>
  </si>
  <si>
    <t>Expected Loss</t>
  </si>
  <si>
    <t>ECAP Allocation</t>
  </si>
  <si>
    <t>Taxation</t>
  </si>
  <si>
    <t>Cost of Capital</t>
  </si>
  <si>
    <t>Economic Profit</t>
  </si>
  <si>
    <t>Discounting</t>
  </si>
  <si>
    <t>RAROC</t>
  </si>
  <si>
    <t>Month</t>
  </si>
  <si>
    <t>Year</t>
  </si>
  <si>
    <t>Opening Balance</t>
  </si>
  <si>
    <t>Instalment</t>
  </si>
  <si>
    <t>Interest Payment</t>
  </si>
  <si>
    <t>Capital Payment</t>
  </si>
  <si>
    <t>Closing Balance</t>
  </si>
  <si>
    <t>EAD</t>
  </si>
  <si>
    <t>NII</t>
  </si>
  <si>
    <t>NIR</t>
  </si>
  <si>
    <t>Operating Income (NII + NIR)</t>
  </si>
  <si>
    <t>Total Expenses</t>
  </si>
  <si>
    <t>PD</t>
  </si>
  <si>
    <t>LGD</t>
  </si>
  <si>
    <t>Expected Loss (PD * LGD * EAD)</t>
  </si>
  <si>
    <t>Credit Risk ECAP</t>
  </si>
  <si>
    <t>Business Risk ECAP</t>
  </si>
  <si>
    <t>Operational Risk ECAP</t>
  </si>
  <si>
    <t>Total ECAP</t>
  </si>
  <si>
    <t>Risk Adjusted Headline Earnings before Tax</t>
  </si>
  <si>
    <t>Risk Adjusted Headline Earnings (after tax)</t>
  </si>
  <si>
    <t>Discount Factor</t>
  </si>
  <si>
    <t>Discounted Risk Adjusted Headline Earnings</t>
  </si>
  <si>
    <t xml:space="preserve">Discounted Total ECAP </t>
  </si>
  <si>
    <t>Loan Inputs:</t>
  </si>
  <si>
    <t>Loan Amount</t>
  </si>
  <si>
    <t>Tenor (months)</t>
  </si>
  <si>
    <t>Loan Type</t>
  </si>
  <si>
    <t>Cost of Funding (interest Nedbank pays to Reserve Bank)</t>
  </si>
  <si>
    <t>Interest rate charged to Nedbank client</t>
  </si>
  <si>
    <t>Upfront Fee</t>
  </si>
  <si>
    <t>Monthly Fee</t>
  </si>
  <si>
    <t>Cost Allocation:</t>
  </si>
  <si>
    <t>Cost-to-Income Ratio</t>
  </si>
  <si>
    <t>ECAP Multipliers:</t>
  </si>
  <si>
    <t>Other Inputs:</t>
  </si>
  <si>
    <t>Outputs:</t>
  </si>
  <si>
    <t>Lifetime RAROC Target</t>
  </si>
  <si>
    <t>Lifetime RAROC</t>
  </si>
  <si>
    <t>Lifetime Economic Profit</t>
  </si>
  <si>
    <t>Fully Amortising</t>
  </si>
  <si>
    <t>Corresponding RAROC</t>
  </si>
  <si>
    <t>Annual PD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</si>
</sst>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* #,##0.00_);_(* \(#,##0.00\);_(* &quot;-&quot;??_);_(@_)"/>
    <numFmt numFmtId="165" formatCode="&quot;R&quot;#,##0;[Red]\-&quot;R&quot;#,##0"/>
    <numFmt numFmtId="166" formatCode="&quot;R&quot;#,##0.00;[Red]\-&quot;R&quot;#,##0.00"/>
    <numFmt numFmtId="167" formatCode="_-&quot;R&quot;* #,##0.00_-;\-&quot;R&quot;* #,##0.00_-;_-&quot;R&quot;* &quot;-&quot;??_-;_-@_-"/>
    <numFmt numFmtId="168" formatCode="_ * #,##0.00_ ;_ * \-#,##0.00_ ;_ * &quot;-&quot;??_ ;_ @_ "/>
    <numFmt numFmtId="169" formatCode="#,##0.0_);\(#,##0.0\)"/>
    <numFmt numFmtId="170" formatCode="&quot;R&quot;\ #,##0.00"/>
    <numFmt numFmtId="171" formatCode="&quot;R&quot;\ #,##0"/>
    <numFmt numFmtId="172" formatCode="_ * #,##0.00000_ ;_ * \-#,##0.00000_ ;_ * &quot;-&quot;??_ ;_ @_ "/>
    <numFmt numFmtId="173" formatCode="0.00000%"/>
    <numFmt numFmtId="174" formatCode="&quot;R&quot;#,##0.00"/>
    <numFmt numFmtId="175" formatCode="[$ZAR]\ #,##0.00"/>
    <numFmt numFmtId="176" formatCode="[$R-1C09]#,##0.00;[Red]\-[$R-1C09]#,##0.00"/>
    <numFmt numFmtId="177" formatCode="_-[$R-1C09]* #,##0.00_-;\-[$R-1C09]* #,##0.00_-;_-[$R-1C09]* &quot;-&quot;??_-;_-@_-"/>
    <numFmt numFmtId="179" formatCode="0.000%"/>
    <numFmt numFmtId="180" formatCode="0.0000%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color theme="0"/>
      <name val="Calibri"/>
      <family val="2"/>
      <scheme val="minor"/>
    </font>
    <font>
      <sz val="8"/>
      <name val="Times New Roman"/>
      <family val="1"/>
    </font>
    <font>
      <b/>
      <sz val="12"/>
      <name val="Arial"/>
      <family val="2"/>
    </font>
    <font>
      <sz val="12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Libre Franklin"/>
    </font>
    <font>
      <sz val="10"/>
      <color theme="1"/>
      <name val="Libre Franklin"/>
    </font>
    <font>
      <b/>
      <sz val="14"/>
      <color theme="0"/>
      <name val="Libre Franklin"/>
    </font>
    <font>
      <b/>
      <sz val="12"/>
      <color theme="0"/>
      <name val="Libre Franklin"/>
    </font>
    <font>
      <sz val="11"/>
      <color theme="1"/>
      <name val="Libre Franklin"/>
    </font>
    <font>
      <b/>
      <sz val="10"/>
      <color theme="1"/>
      <name val="Libre Franklin"/>
    </font>
    <font>
      <b/>
      <sz val="12"/>
      <name val="Libre Franklin"/>
    </font>
    <font>
      <sz val="11"/>
      <name val="Libre Franklin"/>
    </font>
    <font>
      <sz val="9"/>
      <name val="Libre Franklin"/>
    </font>
    <font>
      <b/>
      <sz val="10"/>
      <name val="Libre Franklin"/>
    </font>
    <font>
      <b/>
      <sz val="11"/>
      <color theme="1"/>
      <name val="Libre Franklin"/>
    </font>
    <font>
      <b/>
      <sz val="9"/>
      <color theme="0"/>
      <name val="Libre Franklin"/>
    </font>
    <font>
      <b/>
      <sz val="11"/>
      <color rgb="FF231F20"/>
      <name val="Libre Franklin"/>
    </font>
    <font>
      <sz val="8"/>
      <color rgb="FF231F20"/>
      <name val="Libre Franklin"/>
    </font>
    <font>
      <sz val="11"/>
      <color rgb="FF000000"/>
      <name val="Libre Franklin"/>
    </font>
    <font>
      <sz val="11"/>
      <color rgb="FF006100"/>
      <name val="Calibri"/>
      <family val="2"/>
      <scheme val="minor"/>
    </font>
    <font>
      <b/>
      <sz val="10"/>
      <color theme="0"/>
      <name val="Libre Franklin"/>
    </font>
    <font>
      <sz val="10"/>
      <color theme="0"/>
      <name val="Libre Franklin"/>
    </font>
    <font>
      <sz val="10"/>
      <name val="Libre Franklin"/>
    </font>
    <font>
      <sz val="11"/>
      <color theme="3"/>
      <name val="Libre Franklin"/>
    </font>
    <font>
      <b/>
      <sz val="16"/>
      <color theme="0"/>
      <name val="Libre Franklin"/>
    </font>
    <font>
      <sz val="11"/>
      <color theme="0"/>
      <name val="Libre Franklin"/>
    </font>
    <font>
      <b/>
      <sz val="11"/>
      <color theme="0"/>
      <name val="Libre Franklin"/>
    </font>
  </fonts>
  <fills count="25">
    <fill>
      <patternFill patternType="none"/>
    </fill>
    <fill>
      <patternFill patternType="gray125"/>
    </fill>
    <fill>
      <patternFill patternType="solid">
        <fgColor indexed="15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6341"/>
        <bgColor indexed="64"/>
      </patternFill>
    </fill>
    <fill>
      <patternFill patternType="solid">
        <fgColor rgb="FF115740"/>
        <bgColor indexed="64"/>
      </patternFill>
    </fill>
    <fill>
      <patternFill patternType="solid">
        <fgColor rgb="FFB7E97B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DD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ck">
        <color rgb="FF00B388"/>
      </bottom>
      <diagonal/>
    </border>
    <border>
      <left style="dotted">
        <color rgb="FFFF0000"/>
      </left>
      <right style="dotted">
        <color rgb="FFFF0000"/>
      </right>
      <top style="dotted">
        <color rgb="FFFF0000"/>
      </top>
      <bottom/>
      <diagonal/>
    </border>
    <border>
      <left style="dotted">
        <color rgb="FFFF0000"/>
      </left>
      <right style="dotted">
        <color rgb="FFFF0000"/>
      </right>
      <top/>
      <bottom/>
      <diagonal/>
    </border>
    <border>
      <left style="dotted">
        <color rgb="FFFF0000"/>
      </left>
      <right style="dotted">
        <color rgb="FFFF0000"/>
      </right>
      <top/>
      <bottom style="dotted">
        <color rgb="FFFF0000"/>
      </bottom>
      <diagonal/>
    </border>
    <border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>
      <alignment horizontal="center" wrapText="1"/>
      <protection locked="0"/>
    </xf>
    <xf numFmtId="0" fontId="8" fillId="0" borderId="2" applyNumberFormat="0" applyAlignment="0" applyProtection="0">
      <alignment horizontal="left" vertical="center"/>
    </xf>
    <xf numFmtId="0" fontId="8" fillId="0" borderId="1">
      <alignment horizontal="left" vertical="center"/>
    </xf>
    <xf numFmtId="169" fontId="9" fillId="2" borderId="0"/>
    <xf numFmtId="14" fontId="7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7" fillId="23" borderId="0" applyNumberFormat="0" applyBorder="0" applyAlignment="0" applyProtection="0"/>
  </cellStyleXfs>
  <cellXfs count="174">
    <xf numFmtId="0" fontId="0" fillId="0" borderId="0" xfId="0"/>
    <xf numFmtId="0" fontId="2" fillId="0" borderId="0" xfId="0" applyFont="1"/>
    <xf numFmtId="10" fontId="2" fillId="0" borderId="0" xfId="2" applyNumberFormat="1" applyFont="1"/>
    <xf numFmtId="10" fontId="2" fillId="0" borderId="0" xfId="0" applyNumberFormat="1" applyFont="1"/>
    <xf numFmtId="0" fontId="2" fillId="0" borderId="0" xfId="0" applyFont="1" applyAlignment="1">
      <alignment horizontal="center" vertical="center"/>
    </xf>
    <xf numFmtId="170" fontId="2" fillId="0" borderId="0" xfId="0" applyNumberFormat="1" applyFont="1"/>
    <xf numFmtId="0" fontId="2" fillId="0" borderId="0" xfId="0" applyFont="1" applyAlignment="1">
      <alignment horizontal="right"/>
    </xf>
    <xf numFmtId="171" fontId="2" fillId="0" borderId="0" xfId="0" applyNumberFormat="1" applyFont="1"/>
    <xf numFmtId="10" fontId="3" fillId="0" borderId="0" xfId="0" applyNumberFormat="1" applyFont="1"/>
    <xf numFmtId="0" fontId="4" fillId="6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8" borderId="0" xfId="0" applyFont="1" applyFill="1" applyAlignment="1">
      <alignment horizontal="center" vertical="center"/>
    </xf>
    <xf numFmtId="0" fontId="4" fillId="10" borderId="0" xfId="0" applyFont="1" applyFill="1"/>
    <xf numFmtId="0" fontId="4" fillId="9" borderId="0" xfId="0" applyFont="1" applyFill="1"/>
    <xf numFmtId="0" fontId="4" fillId="11" borderId="0" xfId="0" applyFont="1" applyFill="1"/>
    <xf numFmtId="0" fontId="4" fillId="12" borderId="0" xfId="0" applyFont="1" applyFill="1" applyAlignment="1">
      <alignment horizontal="center" vertical="center"/>
    </xf>
    <xf numFmtId="172" fontId="2" fillId="0" borderId="0" xfId="1" applyNumberFormat="1" applyFont="1"/>
    <xf numFmtId="173" fontId="2" fillId="0" borderId="0" xfId="2" applyNumberFormat="1" applyFont="1"/>
    <xf numFmtId="173" fontId="2" fillId="0" borderId="0" xfId="0" applyNumberFormat="1" applyFont="1"/>
    <xf numFmtId="10" fontId="2" fillId="0" borderId="0" xfId="2" applyNumberFormat="1" applyFont="1" applyFill="1"/>
    <xf numFmtId="168" fontId="2" fillId="0" borderId="0" xfId="0" applyNumberFormat="1" applyFont="1"/>
    <xf numFmtId="0" fontId="2" fillId="0" borderId="3" xfId="0" applyFont="1" applyBorder="1" applyAlignment="1">
      <alignment horizontal="center" vertical="center"/>
    </xf>
    <xf numFmtId="170" fontId="2" fillId="0" borderId="3" xfId="0" applyNumberFormat="1" applyFont="1" applyBorder="1"/>
    <xf numFmtId="173" fontId="2" fillId="0" borderId="3" xfId="2" applyNumberFormat="1" applyFont="1" applyBorder="1"/>
    <xf numFmtId="172" fontId="2" fillId="0" borderId="3" xfId="1" applyNumberFormat="1" applyFont="1" applyBorder="1"/>
    <xf numFmtId="10" fontId="2" fillId="0" borderId="3" xfId="2" applyNumberFormat="1" applyFont="1" applyBorder="1"/>
    <xf numFmtId="0" fontId="2" fillId="0" borderId="3" xfId="0" applyFont="1" applyBorder="1"/>
    <xf numFmtId="0" fontId="6" fillId="0" borderId="0" xfId="0" applyFont="1" applyAlignment="1">
      <alignment vertical="center"/>
    </xf>
    <xf numFmtId="0" fontId="6" fillId="15" borderId="4" xfId="0" applyFont="1" applyFill="1" applyBorder="1" applyAlignment="1">
      <alignment horizontal="center" vertical="center" wrapText="1"/>
    </xf>
    <xf numFmtId="0" fontId="6" fillId="16" borderId="0" xfId="0" applyFont="1" applyFill="1" applyAlignment="1">
      <alignment vertical="center"/>
    </xf>
    <xf numFmtId="0" fontId="6" fillId="16" borderId="0" xfId="0" applyFont="1" applyFill="1"/>
    <xf numFmtId="166" fontId="2" fillId="0" borderId="0" xfId="0" applyNumberFormat="1" applyFont="1"/>
    <xf numFmtId="0" fontId="6" fillId="15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173" fontId="12" fillId="0" borderId="0" xfId="2" applyNumberFormat="1" applyFont="1"/>
    <xf numFmtId="0" fontId="16" fillId="0" borderId="0" xfId="0" quotePrefix="1" applyFont="1"/>
    <xf numFmtId="0" fontId="16" fillId="0" borderId="0" xfId="0" applyFont="1"/>
    <xf numFmtId="173" fontId="16" fillId="0" borderId="0" xfId="2" applyNumberFormat="1" applyFont="1"/>
    <xf numFmtId="10" fontId="11" fillId="17" borderId="7" xfId="2" applyNumberFormat="1" applyFont="1" applyFill="1" applyBorder="1"/>
    <xf numFmtId="9" fontId="11" fillId="17" borderId="5" xfId="0" applyNumberFormat="1" applyFont="1" applyFill="1" applyBorder="1"/>
    <xf numFmtId="10" fontId="11" fillId="17" borderId="6" xfId="0" applyNumberFormat="1" applyFont="1" applyFill="1" applyBorder="1"/>
    <xf numFmtId="171" fontId="10" fillId="17" borderId="7" xfId="0" applyNumberFormat="1" applyFont="1" applyFill="1" applyBorder="1"/>
    <xf numFmtId="0" fontId="10" fillId="17" borderId="8" xfId="0" applyFont="1" applyFill="1" applyBorder="1" applyAlignment="1">
      <alignment horizontal="center" vertical="center" wrapText="1"/>
    </xf>
    <xf numFmtId="0" fontId="10" fillId="17" borderId="9" xfId="0" applyFont="1" applyFill="1" applyBorder="1" applyAlignment="1">
      <alignment horizontal="center" vertical="center" wrapText="1"/>
    </xf>
    <xf numFmtId="0" fontId="10" fillId="17" borderId="10" xfId="0" applyFont="1" applyFill="1" applyBorder="1" applyAlignment="1">
      <alignment horizontal="center" vertical="center" wrapText="1"/>
    </xf>
    <xf numFmtId="0" fontId="20" fillId="0" borderId="0" xfId="0" applyFont="1"/>
    <xf numFmtId="10" fontId="13" fillId="0" borderId="0" xfId="2" applyNumberFormat="1" applyFont="1"/>
    <xf numFmtId="0" fontId="6" fillId="0" borderId="0" xfId="0" applyFont="1"/>
    <xf numFmtId="9" fontId="2" fillId="0" borderId="0" xfId="0" applyNumberFormat="1" applyFont="1"/>
    <xf numFmtId="0" fontId="16" fillId="0" borderId="0" xfId="0" applyFont="1" applyAlignment="1">
      <alignment horizontal="left" vertical="center"/>
    </xf>
    <xf numFmtId="0" fontId="21" fillId="0" borderId="0" xfId="0" applyFont="1"/>
    <xf numFmtId="165" fontId="16" fillId="0" borderId="0" xfId="0" applyNumberFormat="1" applyFont="1" applyAlignment="1">
      <alignment horizontal="left" vertical="center" wrapText="1"/>
    </xf>
    <xf numFmtId="9" fontId="16" fillId="0" borderId="11" xfId="0" applyNumberFormat="1" applyFont="1" applyBorder="1" applyAlignment="1">
      <alignment horizontal="left" vertical="center" wrapText="1"/>
    </xf>
    <xf numFmtId="165" fontId="16" fillId="0" borderId="11" xfId="0" applyNumberFormat="1" applyFont="1" applyBorder="1" applyAlignment="1">
      <alignment horizontal="left" vertical="center" wrapText="1"/>
    </xf>
    <xf numFmtId="0" fontId="22" fillId="18" borderId="0" xfId="0" applyFont="1" applyFill="1" applyAlignment="1">
      <alignment horizontal="left" vertical="center" wrapText="1"/>
    </xf>
    <xf numFmtId="10" fontId="16" fillId="0" borderId="0" xfId="2" applyNumberFormat="1" applyFont="1" applyFill="1"/>
    <xf numFmtId="0" fontId="19" fillId="0" borderId="0" xfId="0" applyFont="1"/>
    <xf numFmtId="9" fontId="10" fillId="17" borderId="5" xfId="2" applyFont="1" applyFill="1" applyBorder="1"/>
    <xf numFmtId="174" fontId="2" fillId="0" borderId="0" xfId="0" applyNumberFormat="1" applyFont="1"/>
    <xf numFmtId="0" fontId="16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/>
    </xf>
    <xf numFmtId="174" fontId="16" fillId="0" borderId="0" xfId="0" applyNumberFormat="1" applyFont="1" applyAlignment="1">
      <alignment horizontal="left" vertical="center" wrapText="1"/>
    </xf>
    <xf numFmtId="167" fontId="16" fillId="0" borderId="11" xfId="17" applyFont="1" applyBorder="1" applyAlignment="1">
      <alignment horizontal="left" vertical="center" wrapText="1"/>
    </xf>
    <xf numFmtId="10" fontId="11" fillId="19" borderId="0" xfId="0" applyNumberFormat="1" applyFont="1" applyFill="1"/>
    <xf numFmtId="0" fontId="16" fillId="0" borderId="0" xfId="0" applyFont="1" applyAlignment="1">
      <alignment wrapText="1"/>
    </xf>
    <xf numFmtId="0" fontId="13" fillId="20" borderId="0" xfId="0" applyFont="1" applyFill="1"/>
    <xf numFmtId="0" fontId="20" fillId="20" borderId="0" xfId="0" applyFont="1" applyFill="1"/>
    <xf numFmtId="0" fontId="17" fillId="14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18" borderId="0" xfId="0" applyFont="1" applyFill="1" applyAlignment="1">
      <alignment vertical="center"/>
    </xf>
    <xf numFmtId="0" fontId="22" fillId="14" borderId="0" xfId="0" applyFont="1" applyFill="1" applyAlignment="1">
      <alignment vertical="center"/>
    </xf>
    <xf numFmtId="10" fontId="12" fillId="0" borderId="0" xfId="2" applyNumberFormat="1" applyFont="1"/>
    <xf numFmtId="10" fontId="16" fillId="0" borderId="0" xfId="0" applyNumberFormat="1" applyFont="1"/>
    <xf numFmtId="10" fontId="16" fillId="0" borderId="0" xfId="2" applyNumberFormat="1" applyFont="1"/>
    <xf numFmtId="0" fontId="23" fillId="0" borderId="0" xfId="0" applyFont="1"/>
    <xf numFmtId="0" fontId="24" fillId="18" borderId="11" xfId="0" applyFont="1" applyFill="1" applyBorder="1" applyAlignment="1">
      <alignment horizontal="left" vertical="center" wrapText="1"/>
    </xf>
    <xf numFmtId="0" fontId="16" fillId="21" borderId="0" xfId="0" applyFont="1" applyFill="1" applyAlignment="1">
      <alignment horizontal="left" vertical="center" wrapText="1"/>
    </xf>
    <xf numFmtId="0" fontId="22" fillId="21" borderId="11" xfId="0" applyFont="1" applyFill="1" applyBorder="1" applyAlignment="1">
      <alignment horizontal="left" vertical="center" wrapText="1"/>
    </xf>
    <xf numFmtId="167" fontId="16" fillId="21" borderId="11" xfId="17" applyFont="1" applyFill="1" applyBorder="1" applyAlignment="1">
      <alignment horizontal="left" vertical="center" wrapText="1"/>
    </xf>
    <xf numFmtId="0" fontId="16" fillId="21" borderId="0" xfId="0" applyFont="1" applyFill="1"/>
    <xf numFmtId="0" fontId="13" fillId="21" borderId="0" xfId="0" applyFont="1" applyFill="1"/>
    <xf numFmtId="0" fontId="16" fillId="21" borderId="0" xfId="0" quotePrefix="1" applyFont="1" applyFill="1"/>
    <xf numFmtId="0" fontId="26" fillId="21" borderId="0" xfId="0" applyFont="1" applyFill="1"/>
    <xf numFmtId="0" fontId="19" fillId="21" borderId="0" xfId="0" applyFont="1" applyFill="1"/>
    <xf numFmtId="0" fontId="20" fillId="21" borderId="0" xfId="0" applyFont="1" applyFill="1"/>
    <xf numFmtId="173" fontId="20" fillId="21" borderId="0" xfId="2" applyNumberFormat="1" applyFont="1" applyFill="1" applyAlignment="1"/>
    <xf numFmtId="0" fontId="14" fillId="24" borderId="0" xfId="0" applyFont="1" applyFill="1"/>
    <xf numFmtId="10" fontId="16" fillId="0" borderId="0" xfId="0" applyNumberFormat="1" applyFont="1" applyAlignment="1">
      <alignment horizontal="left" vertical="center" wrapText="1"/>
    </xf>
    <xf numFmtId="0" fontId="17" fillId="6" borderId="0" xfId="0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10" borderId="0" xfId="0" applyFont="1" applyFill="1"/>
    <xf numFmtId="0" fontId="17" fillId="11" borderId="0" xfId="0" applyFont="1" applyFill="1"/>
    <xf numFmtId="0" fontId="17" fillId="9" borderId="0" xfId="0" applyFont="1" applyFill="1"/>
    <xf numFmtId="0" fontId="17" fillId="0" borderId="0" xfId="0" applyFont="1"/>
    <xf numFmtId="0" fontId="17" fillId="12" borderId="0" xfId="0" applyFont="1" applyFill="1" applyAlignment="1">
      <alignment horizontal="center" vertical="center"/>
    </xf>
    <xf numFmtId="166" fontId="13" fillId="0" borderId="0" xfId="0" applyNumberFormat="1" applyFont="1"/>
    <xf numFmtId="173" fontId="13" fillId="0" borderId="0" xfId="2" applyNumberFormat="1" applyFont="1"/>
    <xf numFmtId="173" fontId="13" fillId="0" borderId="0" xfId="0" applyNumberFormat="1" applyFont="1"/>
    <xf numFmtId="0" fontId="28" fillId="15" borderId="4" xfId="0" applyFont="1" applyFill="1" applyBorder="1" applyAlignment="1">
      <alignment horizontal="center" vertical="center" wrapText="1"/>
    </xf>
    <xf numFmtId="0" fontId="21" fillId="17" borderId="8" xfId="0" applyFont="1" applyFill="1" applyBorder="1" applyAlignment="1">
      <alignment horizontal="center" vertical="center" wrapText="1"/>
    </xf>
    <xf numFmtId="0" fontId="21" fillId="17" borderId="9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horizontal="center" vertical="center" wrapText="1"/>
    </xf>
    <xf numFmtId="0" fontId="28" fillId="1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70" fontId="13" fillId="0" borderId="0" xfId="0" applyNumberFormat="1" applyFont="1"/>
    <xf numFmtId="172" fontId="13" fillId="0" borderId="0" xfId="1" applyNumberFormat="1" applyFont="1"/>
    <xf numFmtId="168" fontId="13" fillId="0" borderId="0" xfId="0" applyNumberFormat="1" applyFont="1"/>
    <xf numFmtId="0" fontId="28" fillId="16" borderId="0" xfId="0" applyFont="1" applyFill="1" applyAlignment="1">
      <alignment vertical="center"/>
    </xf>
    <xf numFmtId="0" fontId="21" fillId="17" borderId="0" xfId="0" applyFont="1" applyFill="1" applyAlignment="1">
      <alignment horizontal="center" vertical="center" wrapText="1"/>
    </xf>
    <xf numFmtId="0" fontId="28" fillId="16" borderId="0" xfId="0" applyFont="1" applyFill="1"/>
    <xf numFmtId="10" fontId="13" fillId="0" borderId="0" xfId="0" applyNumberFormat="1" applyFont="1"/>
    <xf numFmtId="10" fontId="29" fillId="0" borderId="0" xfId="0" applyNumberFormat="1" applyFont="1"/>
    <xf numFmtId="0" fontId="28" fillId="0" borderId="0" xfId="0" applyFont="1"/>
    <xf numFmtId="10" fontId="13" fillId="0" borderId="0" xfId="2" applyNumberFormat="1" applyFont="1" applyFill="1"/>
    <xf numFmtId="9" fontId="30" fillId="17" borderId="5" xfId="0" applyNumberFormat="1" applyFont="1" applyFill="1" applyBorder="1"/>
    <xf numFmtId="10" fontId="30" fillId="17" borderId="6" xfId="0" applyNumberFormat="1" applyFont="1" applyFill="1" applyBorder="1"/>
    <xf numFmtId="10" fontId="30" fillId="17" borderId="7" xfId="2" applyNumberFormat="1" applyFont="1" applyFill="1" applyBorder="1"/>
    <xf numFmtId="0" fontId="28" fillId="0" borderId="0" xfId="0" applyFont="1" applyAlignment="1">
      <alignment vertical="center"/>
    </xf>
    <xf numFmtId="9" fontId="21" fillId="17" borderId="5" xfId="2" applyFont="1" applyFill="1" applyBorder="1"/>
    <xf numFmtId="171" fontId="21" fillId="17" borderId="7" xfId="0" applyNumberFormat="1" applyFont="1" applyFill="1" applyBorder="1"/>
    <xf numFmtId="171" fontId="13" fillId="0" borderId="0" xfId="0" applyNumberFormat="1" applyFont="1"/>
    <xf numFmtId="174" fontId="13" fillId="0" borderId="0" xfId="0" applyNumberFormat="1" applyFont="1"/>
    <xf numFmtId="0" fontId="13" fillId="0" borderId="3" xfId="0" applyFont="1" applyBorder="1" applyAlignment="1">
      <alignment horizontal="center" vertical="center"/>
    </xf>
    <xf numFmtId="170" fontId="13" fillId="0" borderId="3" xfId="0" applyNumberFormat="1" applyFont="1" applyBorder="1"/>
    <xf numFmtId="173" fontId="13" fillId="0" borderId="3" xfId="2" applyNumberFormat="1" applyFont="1" applyBorder="1"/>
    <xf numFmtId="172" fontId="13" fillId="0" borderId="3" xfId="1" applyNumberFormat="1" applyFont="1" applyBorder="1"/>
    <xf numFmtId="10" fontId="13" fillId="0" borderId="3" xfId="2" applyNumberFormat="1" applyFont="1" applyBorder="1"/>
    <xf numFmtId="0" fontId="13" fillId="0" borderId="3" xfId="0" applyFont="1" applyBorder="1"/>
    <xf numFmtId="0" fontId="31" fillId="22" borderId="0" xfId="18" applyFont="1" applyFill="1"/>
    <xf numFmtId="0" fontId="34" fillId="22" borderId="0" xfId="18" applyFont="1" applyFill="1" applyBorder="1" applyAlignment="1"/>
    <xf numFmtId="0" fontId="31" fillId="22" borderId="0" xfId="18" applyFont="1" applyFill="1" applyBorder="1" applyAlignment="1">
      <alignment horizontal="left" vertical="top"/>
    </xf>
    <xf numFmtId="0" fontId="33" fillId="22" borderId="0" xfId="18" applyFont="1" applyFill="1"/>
    <xf numFmtId="0" fontId="34" fillId="22" borderId="0" xfId="18" applyFont="1" applyFill="1" applyBorder="1" applyAlignment="1">
      <alignment horizontal="left" vertical="top" wrapText="1"/>
    </xf>
    <xf numFmtId="0" fontId="31" fillId="22" borderId="0" xfId="18" applyFont="1" applyFill="1" applyBorder="1" applyAlignment="1">
      <alignment vertical="top" wrapText="1"/>
    </xf>
    <xf numFmtId="175" fontId="13" fillId="0" borderId="0" xfId="0" applyNumberFormat="1" applyFont="1"/>
    <xf numFmtId="175" fontId="21" fillId="17" borderId="8" xfId="0" applyNumberFormat="1" applyFont="1" applyFill="1" applyBorder="1" applyAlignment="1">
      <alignment horizontal="center" vertical="center" wrapText="1"/>
    </xf>
    <xf numFmtId="10" fontId="21" fillId="17" borderId="0" xfId="0" applyNumberFormat="1" applyFont="1" applyFill="1" applyAlignment="1">
      <alignment horizontal="center" vertical="center" wrapText="1"/>
    </xf>
    <xf numFmtId="176" fontId="13" fillId="0" borderId="0" xfId="0" applyNumberFormat="1" applyFont="1" applyAlignment="1">
      <alignment horizontal="center"/>
    </xf>
    <xf numFmtId="177" fontId="21" fillId="17" borderId="0" xfId="0" applyNumberFormat="1" applyFont="1" applyFill="1" applyAlignment="1">
      <alignment horizontal="center" vertical="center" wrapText="1"/>
    </xf>
    <xf numFmtId="0" fontId="16" fillId="21" borderId="0" xfId="0" applyFont="1" applyFill="1" applyAlignment="1">
      <alignment horizontal="left" vertical="top" wrapText="1"/>
    </xf>
    <xf numFmtId="0" fontId="22" fillId="14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8" fillId="21" borderId="0" xfId="0" applyFont="1" applyFill="1" applyAlignment="1">
      <alignment horizontal="center" vertical="center"/>
    </xf>
    <xf numFmtId="0" fontId="14" fillId="22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5" fillId="22" borderId="0" xfId="18" applyFont="1" applyFill="1" applyBorder="1" applyAlignment="1">
      <alignment horizontal="left"/>
    </xf>
    <xf numFmtId="0" fontId="32" fillId="22" borderId="0" xfId="18" applyFont="1" applyFill="1" applyAlignment="1">
      <alignment horizontal="center"/>
    </xf>
    <xf numFmtId="0" fontId="15" fillId="22" borderId="0" xfId="18" applyFont="1" applyFill="1" applyBorder="1" applyAlignment="1">
      <alignment horizontal="left" vertical="top" wrapText="1"/>
    </xf>
    <xf numFmtId="0" fontId="31" fillId="22" borderId="0" xfId="18" applyFont="1" applyFill="1" applyBorder="1" applyAlignment="1">
      <alignment horizontal="left" vertical="top"/>
    </xf>
    <xf numFmtId="0" fontId="15" fillId="22" borderId="0" xfId="18" applyFont="1" applyFill="1" applyAlignment="1">
      <alignment horizontal="left" vertical="top" wrapText="1"/>
    </xf>
    <xf numFmtId="0" fontId="31" fillId="22" borderId="0" xfId="18" applyFont="1" applyFill="1" applyBorder="1" applyAlignment="1">
      <alignment horizontal="left" vertical="top" wrapText="1"/>
    </xf>
    <xf numFmtId="0" fontId="34" fillId="22" borderId="0" xfId="18" applyFont="1" applyFill="1" applyBorder="1" applyAlignment="1">
      <alignment horizontal="left" vertical="top" wrapText="1"/>
    </xf>
    <xf numFmtId="0" fontId="28" fillId="7" borderId="0" xfId="0" applyFont="1" applyFill="1" applyAlignment="1">
      <alignment horizontal="center" vertical="center"/>
    </xf>
    <xf numFmtId="0" fontId="13" fillId="0" borderId="0" xfId="0" quotePrefix="1" applyFont="1" applyAlignment="1">
      <alignment horizontal="left" vertical="center" wrapText="1"/>
    </xf>
    <xf numFmtId="0" fontId="17" fillId="4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2" fillId="0" borderId="0" xfId="0" quotePrefix="1" applyFont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9" fontId="13" fillId="0" borderId="0" xfId="2" applyFont="1" applyAlignment="1">
      <alignment horizontal="center"/>
    </xf>
    <xf numFmtId="10" fontId="13" fillId="0" borderId="0" xfId="2" applyNumberFormat="1" applyFont="1" applyAlignment="1">
      <alignment horizontal="center"/>
    </xf>
    <xf numFmtId="180" fontId="21" fillId="17" borderId="5" xfId="2" applyNumberFormat="1" applyFont="1" applyFill="1" applyBorder="1"/>
    <xf numFmtId="179" fontId="13" fillId="0" borderId="0" xfId="2" applyNumberFormat="1" applyFont="1" applyAlignment="1">
      <alignment horizontal="center"/>
    </xf>
  </cellXfs>
  <cellStyles count="19">
    <cellStyle name="args.style" xfId="8" xr:uid="{00000000-0005-0000-0000-000000000000}"/>
    <cellStyle name="Comma" xfId="1" builtinId="3"/>
    <cellStyle name="Comma 2" xfId="7" xr:uid="{00000000-0005-0000-0000-000002000000}"/>
    <cellStyle name="Comma 3" xfId="13" xr:uid="{00000000-0005-0000-0000-000003000000}"/>
    <cellStyle name="Comma 3 2" xfId="16" xr:uid="{8C8F7F7D-F6AB-4096-8434-CAC86F3AFA76}"/>
    <cellStyle name="Comma 4" xfId="15" xr:uid="{00000000-0005-0000-0000-000004000000}"/>
    <cellStyle name="Currency" xfId="17" builtinId="4"/>
    <cellStyle name="Good" xfId="18" builtinId="26"/>
    <cellStyle name="Header1" xfId="9" xr:uid="{00000000-0005-0000-0000-000006000000}"/>
    <cellStyle name="Header2" xfId="10" xr:uid="{00000000-0005-0000-0000-000007000000}"/>
    <cellStyle name="Input Cells" xfId="11" xr:uid="{00000000-0005-0000-0000-000008000000}"/>
    <cellStyle name="Normal" xfId="0" builtinId="0"/>
    <cellStyle name="Normal 15" xfId="4" xr:uid="{00000000-0005-0000-0000-00000A000000}"/>
    <cellStyle name="Normal 2" xfId="3" xr:uid="{00000000-0005-0000-0000-00000B000000}"/>
    <cellStyle name="Normal 2 2" xfId="14" xr:uid="{00000000-0005-0000-0000-00000C000000}"/>
    <cellStyle name="Per cent" xfId="2" builtinId="5"/>
    <cellStyle name="per.style" xfId="12" xr:uid="{00000000-0005-0000-0000-00000D000000}"/>
    <cellStyle name="Percent 2" xfId="5" xr:uid="{00000000-0005-0000-0000-00000F000000}"/>
    <cellStyle name="Percent 2 2" xfId="6" xr:uid="{00000000-0005-0000-0000-00001000000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numFmt numFmtId="14" formatCode="0.00%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9639"/>
      <color rgb="FF006341"/>
      <color rgb="FF10A867"/>
      <color rgb="FF00B388"/>
      <color rgb="FFB7E97B"/>
      <color rgb="FF78BE20"/>
      <color rgb="FFB7FFD2"/>
      <color rgb="FFCCDDD8"/>
      <color rgb="FF115740"/>
      <color rgb="FF0045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PD and RAROC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2.5'!$AI$5</c:f>
              <c:strCache>
                <c:ptCount val="1"/>
                <c:pt idx="0">
                  <c:v>Corresponding RAROC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2.5'!$AH$6:$AH$16</c:f>
              <c:numCache>
                <c:formatCode>0.00%</c:formatCode>
                <c:ptCount val="11"/>
                <c:pt idx="0" formatCode="0.000%">
                  <c:v>5.0000000000000002E-5</c:v>
                </c:pt>
                <c:pt idx="1">
                  <c:v>1E-4</c:v>
                </c:pt>
                <c:pt idx="2">
                  <c:v>5.0000000000000001E-4</c:v>
                </c:pt>
                <c:pt idx="3">
                  <c:v>6.7000000000000002E-3</c:v>
                </c:pt>
                <c:pt idx="4">
                  <c:v>1.5299999999999999E-2</c:v>
                </c:pt>
                <c:pt idx="5">
                  <c:v>0.02</c:v>
                </c:pt>
                <c:pt idx="6">
                  <c:v>3.5700000000000003E-2</c:v>
                </c:pt>
                <c:pt idx="7">
                  <c:v>5.5500000000000001E-2</c:v>
                </c:pt>
                <c:pt idx="8">
                  <c:v>8.7300000000000003E-2</c:v>
                </c:pt>
                <c:pt idx="9">
                  <c:v>0.1011</c:v>
                </c:pt>
                <c:pt idx="10">
                  <c:v>0.157</c:v>
                </c:pt>
              </c:numCache>
            </c:numRef>
          </c:xVal>
          <c:yVal>
            <c:numRef>
              <c:f>'Question 2.5'!$AI$6:$AI$16</c:f>
              <c:numCache>
                <c:formatCode>0%</c:formatCode>
                <c:ptCount val="11"/>
                <c:pt idx="0">
                  <c:v>0.23</c:v>
                </c:pt>
                <c:pt idx="1">
                  <c:v>0.23</c:v>
                </c:pt>
                <c:pt idx="2">
                  <c:v>0.23</c:v>
                </c:pt>
                <c:pt idx="3">
                  <c:v>0.21</c:v>
                </c:pt>
                <c:pt idx="4">
                  <c:v>0.18</c:v>
                </c:pt>
                <c:pt idx="5">
                  <c:v>0.16</c:v>
                </c:pt>
                <c:pt idx="6">
                  <c:v>0.11</c:v>
                </c:pt>
                <c:pt idx="7">
                  <c:v>0.05</c:v>
                </c:pt>
                <c:pt idx="8">
                  <c:v>-0.06</c:v>
                </c:pt>
                <c:pt idx="9">
                  <c:v>-0.1</c:v>
                </c:pt>
                <c:pt idx="10">
                  <c:v>-0.28000000000000003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AB-496A-B013-D21EDC17F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4735"/>
        <c:axId val="9781935"/>
      </c:scatterChart>
      <c:valAx>
        <c:axId val="977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Annual PD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1935"/>
        <c:crosses val="autoZero"/>
        <c:crossBetween val="midCat"/>
      </c:valAx>
      <c:valAx>
        <c:axId val="978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RAROC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PD and RAROC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2.5'!$AI$5</c:f>
              <c:strCache>
                <c:ptCount val="1"/>
                <c:pt idx="0">
                  <c:v>Corresponding RAROC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2.5'!$AH$6:$AH$16</c:f>
              <c:numCache>
                <c:formatCode>0.00%</c:formatCode>
                <c:ptCount val="11"/>
                <c:pt idx="0" formatCode="0.000%">
                  <c:v>5.0000000000000002E-5</c:v>
                </c:pt>
                <c:pt idx="1">
                  <c:v>1E-4</c:v>
                </c:pt>
                <c:pt idx="2">
                  <c:v>5.0000000000000001E-4</c:v>
                </c:pt>
                <c:pt idx="3">
                  <c:v>6.7000000000000002E-3</c:v>
                </c:pt>
                <c:pt idx="4">
                  <c:v>1.5299999999999999E-2</c:v>
                </c:pt>
                <c:pt idx="5">
                  <c:v>0.02</c:v>
                </c:pt>
                <c:pt idx="6">
                  <c:v>3.5700000000000003E-2</c:v>
                </c:pt>
                <c:pt idx="7">
                  <c:v>5.5500000000000001E-2</c:v>
                </c:pt>
                <c:pt idx="8">
                  <c:v>8.7300000000000003E-2</c:v>
                </c:pt>
                <c:pt idx="9">
                  <c:v>0.1011</c:v>
                </c:pt>
                <c:pt idx="10">
                  <c:v>0.157</c:v>
                </c:pt>
              </c:numCache>
            </c:numRef>
          </c:xVal>
          <c:yVal>
            <c:numRef>
              <c:f>'Question 2.5'!$AI$6:$AI$16</c:f>
              <c:numCache>
                <c:formatCode>0%</c:formatCode>
                <c:ptCount val="11"/>
                <c:pt idx="0">
                  <c:v>0.23</c:v>
                </c:pt>
                <c:pt idx="1">
                  <c:v>0.23</c:v>
                </c:pt>
                <c:pt idx="2">
                  <c:v>0.23</c:v>
                </c:pt>
                <c:pt idx="3">
                  <c:v>0.21</c:v>
                </c:pt>
                <c:pt idx="4">
                  <c:v>0.18</c:v>
                </c:pt>
                <c:pt idx="5">
                  <c:v>0.16</c:v>
                </c:pt>
                <c:pt idx="6">
                  <c:v>0.11</c:v>
                </c:pt>
                <c:pt idx="7">
                  <c:v>0.05</c:v>
                </c:pt>
                <c:pt idx="8">
                  <c:v>-0.06</c:v>
                </c:pt>
                <c:pt idx="9">
                  <c:v>-0.1</c:v>
                </c:pt>
                <c:pt idx="10">
                  <c:v>-0.28000000000000003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3-4C48-81A7-8BCEC8325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4735"/>
        <c:axId val="9781935"/>
      </c:scatterChart>
      <c:valAx>
        <c:axId val="977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Annual PD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1935"/>
        <c:crosses val="autoZero"/>
        <c:crossBetween val="midCat"/>
      </c:valAx>
      <c:valAx>
        <c:axId val="978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RAROC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3</xdr:row>
      <xdr:rowOff>19815</xdr:rowOff>
    </xdr:from>
    <xdr:to>
      <xdr:col>16</xdr:col>
      <xdr:colOff>835025</xdr:colOff>
      <xdr:row>10</xdr:row>
      <xdr:rowOff>55805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2204A1-3EB3-23A6-A305-9F6C0BFC047A}"/>
            </a:ext>
          </a:extLst>
        </xdr:cNvPr>
        <xdr:cNvSpPr txBox="1"/>
      </xdr:nvSpPr>
      <xdr:spPr>
        <a:xfrm>
          <a:off x="635" y="849050"/>
          <a:ext cx="10336978" cy="16048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endParaRPr lang="en-US" sz="1100">
            <a:solidFill>
              <a:schemeClr val="dk1"/>
            </a:solidFill>
            <a:latin typeface="Libre Franklin" pitchFamily="2" charset="0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10290</xdr:colOff>
      <xdr:row>11</xdr:row>
      <xdr:rowOff>251141</xdr:rowOff>
    </xdr:from>
    <xdr:to>
      <xdr:col>16</xdr:col>
      <xdr:colOff>829235</xdr:colOff>
      <xdr:row>15</xdr:row>
      <xdr:rowOff>322167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8F84EF-5E78-D68A-AA99-9AEAB99DE123}"/>
            </a:ext>
          </a:extLst>
        </xdr:cNvPr>
        <xdr:cNvSpPr txBox="1"/>
      </xdr:nvSpPr>
      <xdr:spPr>
        <a:xfrm>
          <a:off x="10290" y="2873317"/>
          <a:ext cx="10321533" cy="100111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>
              <a:latin typeface="Libre Franklin" pitchFamily="2" charset="0"/>
            </a:rPr>
            <a:t>The RACOS of this deal is 14%.</a:t>
          </a:r>
        </a:p>
      </xdr:txBody>
    </xdr:sp>
    <xdr:clientData/>
  </xdr:twoCellAnchor>
  <xdr:twoCellAnchor>
    <xdr:from>
      <xdr:col>0</xdr:col>
      <xdr:colOff>11244</xdr:colOff>
      <xdr:row>25</xdr:row>
      <xdr:rowOff>21048</xdr:rowOff>
    </xdr:from>
    <xdr:to>
      <xdr:col>17</xdr:col>
      <xdr:colOff>18601</xdr:colOff>
      <xdr:row>29</xdr:row>
      <xdr:rowOff>179294</xdr:rowOff>
    </xdr:to>
    <xdr:sp macro="" textlink="">
      <xdr:nvSpPr>
        <xdr:cNvPr id="6" name="TextBox 3">
          <a:extLst>
            <a:ext uri="{FF2B5EF4-FFF2-40B4-BE49-F238E27FC236}">
              <a16:creationId xmlns:a16="http://schemas.microsoft.com/office/drawing/2014/main" id="{75DE31B0-62DF-BB1E-6E9E-263CF73B40F8}"/>
            </a:ext>
          </a:extLst>
        </xdr:cNvPr>
        <xdr:cNvSpPr txBox="1"/>
      </xdr:nvSpPr>
      <xdr:spPr>
        <a:xfrm>
          <a:off x="11244" y="6004989"/>
          <a:ext cx="10372798" cy="10547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>
              <a:latin typeface="Libre Franklin" pitchFamily="2" charset="0"/>
            </a:rPr>
            <a:t>We should charge 12.35%</a:t>
          </a:r>
        </a:p>
      </xdr:txBody>
    </xdr:sp>
    <xdr:clientData/>
  </xdr:twoCellAnchor>
  <xdr:twoCellAnchor>
    <xdr:from>
      <xdr:col>0</xdr:col>
      <xdr:colOff>18602</xdr:colOff>
      <xdr:row>32</xdr:row>
      <xdr:rowOff>37057</xdr:rowOff>
    </xdr:from>
    <xdr:to>
      <xdr:col>17</xdr:col>
      <xdr:colOff>18602</xdr:colOff>
      <xdr:row>62</xdr:row>
      <xdr:rowOff>53788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F6FF1EC9-DB48-D56B-412B-1EB2B4301A49}"/>
            </a:ext>
          </a:extLst>
        </xdr:cNvPr>
        <xdr:cNvSpPr txBox="1"/>
      </xdr:nvSpPr>
      <xdr:spPr>
        <a:xfrm>
          <a:off x="18602" y="8230798"/>
          <a:ext cx="10318376" cy="67402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>
            <a:latin typeface="Libre Franklin" pitchFamily="2" charset="0"/>
          </a:endParaRPr>
        </a:p>
        <a:p>
          <a:endParaRPr lang="en-ZA" sz="1100" baseline="0">
            <a:solidFill>
              <a:schemeClr val="dk1"/>
            </a:solidFill>
            <a:latin typeface="Libre Franklin" pitchFamily="2" charset="0"/>
            <a:ea typeface="+mn-ea"/>
            <a:cs typeface="+mn-cs"/>
          </a:endParaRPr>
        </a:p>
        <a:p>
          <a:r>
            <a:rPr lang="en-ZA" sz="1100" b="1" baseline="0">
              <a:solidFill>
                <a:schemeClr val="dk1"/>
              </a:solidFill>
              <a:latin typeface="Libre Franklin" pitchFamily="2" charset="0"/>
              <a:ea typeface="+mn-ea"/>
              <a:cs typeface="+mn-cs"/>
            </a:rPr>
            <a:t>As PD increases, RAROC sharply decreases:</a:t>
          </a:r>
        </a:p>
        <a:p>
          <a:r>
            <a:rPr lang="en-ZA" sz="1100" baseline="0">
              <a:solidFill>
                <a:schemeClr val="dk1"/>
              </a:solidFill>
              <a:latin typeface="Libre Franklin" pitchFamily="2" charset="0"/>
              <a:ea typeface="+mn-ea"/>
              <a:cs typeface="+mn-cs"/>
            </a:rPr>
            <a:t>When the PD is low (&lt;2%), there is a high RAROC making the investment more profitable.</a:t>
          </a:r>
        </a:p>
        <a:p>
          <a:r>
            <a:rPr lang="en-ZA" sz="1100" baseline="0">
              <a:solidFill>
                <a:schemeClr val="dk1"/>
              </a:solidFill>
              <a:latin typeface="Libre Franklin" pitchFamily="2" charset="0"/>
              <a:ea typeface="+mn-ea"/>
              <a:cs typeface="+mn-cs"/>
            </a:rPr>
            <a:t>Then the PD is higher (&gt;2%), the RAROC is relatively lower leading to a less profitable investment.</a:t>
          </a:r>
        </a:p>
        <a:p>
          <a:r>
            <a:rPr lang="en-ZA" sz="1100" baseline="0">
              <a:solidFill>
                <a:schemeClr val="dk1"/>
              </a:solidFill>
              <a:latin typeface="Libre Franklin" pitchFamily="2" charset="0"/>
              <a:ea typeface="+mn-ea"/>
              <a:cs typeface="+mn-cs"/>
            </a:rPr>
            <a:t>When the PD is approximately 7%, the RAROC is near 0</a:t>
          </a:r>
        </a:p>
        <a:p>
          <a:r>
            <a:rPr lang="en-ZA" sz="1100" baseline="0">
              <a:solidFill>
                <a:schemeClr val="dk1"/>
              </a:solidFill>
              <a:latin typeface="Libre Franklin" pitchFamily="2" charset="0"/>
              <a:ea typeface="+mn-ea"/>
              <a:cs typeface="+mn-cs"/>
            </a:rPr>
            <a:t>When the PD &gt;7%, the RAROC is negative making the investment unprofitable and the bank will make a loss.</a:t>
          </a:r>
        </a:p>
        <a:p>
          <a:endParaRPr lang="en-ZA" sz="1100" baseline="0">
            <a:solidFill>
              <a:schemeClr val="dk1"/>
            </a:solidFill>
            <a:latin typeface="Libre Franklin" pitchFamily="2" charset="0"/>
            <a:ea typeface="+mn-ea"/>
            <a:cs typeface="+mn-cs"/>
          </a:endParaRPr>
        </a:p>
        <a:p>
          <a:r>
            <a:rPr lang="en-ZA" sz="1100" b="1" baseline="0">
              <a:solidFill>
                <a:schemeClr val="dk1"/>
              </a:solidFill>
              <a:latin typeface="Libre Franklin" pitchFamily="2" charset="0"/>
              <a:ea typeface="+mn-ea"/>
              <a:cs typeface="+mn-cs"/>
            </a:rPr>
            <a:t>Pricing Implications:</a:t>
          </a:r>
        </a:p>
        <a:p>
          <a:r>
            <a:rPr lang="en-ZA" sz="1100" baseline="0">
              <a:solidFill>
                <a:schemeClr val="dk1"/>
              </a:solidFill>
              <a:latin typeface="Libre Franklin" pitchFamily="2" charset="0"/>
              <a:ea typeface="+mn-ea"/>
              <a:cs typeface="+mn-cs"/>
            </a:rPr>
            <a:t>If PD is high, the bank must increase interest rate or fees to maintain RAROC above hurdle rate.</a:t>
          </a:r>
        </a:p>
        <a:p>
          <a:endParaRPr lang="en-ZA" sz="1100" baseline="0">
            <a:solidFill>
              <a:schemeClr val="dk1"/>
            </a:solidFill>
            <a:latin typeface="Libre Franklin" pitchFamily="2" charset="0"/>
            <a:ea typeface="+mn-ea"/>
            <a:cs typeface="+mn-cs"/>
          </a:endParaRPr>
        </a:p>
        <a:p>
          <a:r>
            <a:rPr lang="en-ZA" sz="1100" b="1" baseline="0">
              <a:solidFill>
                <a:schemeClr val="dk1"/>
              </a:solidFill>
              <a:latin typeface="Libre Franklin" pitchFamily="2" charset="0"/>
              <a:ea typeface="+mn-ea"/>
              <a:cs typeface="+mn-cs"/>
            </a:rPr>
            <a:t>Risk Management Implications:</a:t>
          </a:r>
        </a:p>
        <a:p>
          <a:r>
            <a:rPr lang="en-ZA" sz="1100" baseline="0">
              <a:solidFill>
                <a:schemeClr val="dk1"/>
              </a:solidFill>
              <a:latin typeface="Libre Franklin" pitchFamily="2" charset="0"/>
              <a:ea typeface="+mn-ea"/>
              <a:cs typeface="+mn-cs"/>
            </a:rPr>
            <a:t>Avoid too many high-PD loans as they erode portfolio RAROC.</a:t>
          </a:r>
        </a:p>
        <a:p>
          <a:r>
            <a:rPr lang="en-ZA" sz="1100" baseline="0">
              <a:solidFill>
                <a:schemeClr val="dk1"/>
              </a:solidFill>
              <a:latin typeface="Libre Franklin" pitchFamily="2" charset="0"/>
              <a:ea typeface="+mn-ea"/>
              <a:cs typeface="+mn-cs"/>
            </a:rPr>
            <a:t>For higher PD clients, require stronger collateral to reduce LGD to improve RAROC.</a:t>
          </a:r>
        </a:p>
        <a:p>
          <a:r>
            <a:rPr lang="en-ZA" sz="1100" baseline="0">
              <a:solidFill>
                <a:schemeClr val="dk1"/>
              </a:solidFill>
              <a:latin typeface="Libre Franklin" pitchFamily="2" charset="0"/>
              <a:ea typeface="+mn-ea"/>
              <a:cs typeface="+mn-cs"/>
            </a:rPr>
            <a:t>Practice portfolio diversification by mixing low and moderate PD loans to keep average RAROC above target.</a:t>
          </a:r>
        </a:p>
        <a:p>
          <a:endParaRPr lang="en-ZA" sz="1100">
            <a:latin typeface="Libre Franklin" pitchFamily="2" charset="0"/>
          </a:endParaRPr>
        </a:p>
      </xdr:txBody>
    </xdr:sp>
    <xdr:clientData/>
  </xdr:twoCellAnchor>
  <xdr:twoCellAnchor>
    <xdr:from>
      <xdr:col>0</xdr:col>
      <xdr:colOff>0</xdr:colOff>
      <xdr:row>18</xdr:row>
      <xdr:rowOff>40192</xdr:rowOff>
    </xdr:from>
    <xdr:to>
      <xdr:col>17</xdr:col>
      <xdr:colOff>11205</xdr:colOff>
      <xdr:row>21</xdr:row>
      <xdr:rowOff>207795</xdr:rowOff>
    </xdr:to>
    <xdr:sp macro="" textlink="">
      <xdr:nvSpPr>
        <xdr:cNvPr id="8" name="TextBox 5">
          <a:extLst>
            <a:ext uri="{FF2B5EF4-FFF2-40B4-BE49-F238E27FC236}">
              <a16:creationId xmlns:a16="http://schemas.microsoft.com/office/drawing/2014/main" id="{2AA2135C-48EF-BFCA-DAC9-52F630D43C5F}"/>
            </a:ext>
          </a:extLst>
        </xdr:cNvPr>
        <xdr:cNvSpPr txBox="1"/>
      </xdr:nvSpPr>
      <xdr:spPr>
        <a:xfrm>
          <a:off x="0" y="3749339"/>
          <a:ext cx="10376646" cy="8399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>
              <a:latin typeface="Libre Franklin" pitchFamily="2" charset="0"/>
            </a:rPr>
            <a:t>We should charge 14.07%</a:t>
          </a:r>
        </a:p>
      </xdr:txBody>
    </xdr:sp>
    <xdr:clientData/>
  </xdr:twoCellAnchor>
  <xdr:twoCellAnchor editAs="oneCell">
    <xdr:from>
      <xdr:col>0</xdr:col>
      <xdr:colOff>162037</xdr:colOff>
      <xdr:row>32</xdr:row>
      <xdr:rowOff>171528</xdr:rowOff>
    </xdr:from>
    <xdr:to>
      <xdr:col>4</xdr:col>
      <xdr:colOff>472254</xdr:colOff>
      <xdr:row>44</xdr:row>
      <xdr:rowOff>101857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43C6AE-5B20-3085-4C94-DAACC06E6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037" y="8365269"/>
          <a:ext cx="2676899" cy="2619741"/>
        </a:xfrm>
        <a:prstGeom prst="rect">
          <a:avLst/>
        </a:prstGeom>
      </xdr:spPr>
    </xdr:pic>
    <xdr:clientData/>
  </xdr:twoCellAnchor>
  <xdr:twoCellAnchor>
    <xdr:from>
      <xdr:col>5</xdr:col>
      <xdr:colOff>162037</xdr:colOff>
      <xdr:row>33</xdr:row>
      <xdr:rowOff>10163</xdr:rowOff>
    </xdr:from>
    <xdr:to>
      <xdr:col>15</xdr:col>
      <xdr:colOff>38484</xdr:colOff>
      <xdr:row>49</xdr:row>
      <xdr:rowOff>42804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8EB9E0-A8A8-4EA3-8BE7-49D4EF338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508000</xdr:colOff>
      <xdr:row>1</xdr:row>
      <xdr:rowOff>127000</xdr:rowOff>
    </xdr:from>
    <xdr:to>
      <xdr:col>43</xdr:col>
      <xdr:colOff>244229</xdr:colOff>
      <xdr:row>16</xdr:row>
      <xdr:rowOff>121138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B7DD6-17C2-ABAB-DA03-486444A54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B320755/Desktop/Desktop%20Backup/NRBS%20Presentation/Wholesale%20Pricing%20Model%20prototype%20v150923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dbank.sharepoint.com/SenderoData/Rates/Daily%20Curve/Backup%2027%20Jul%202010/Daily%20published%20MMFTP%20Curve%20ver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G"/>
      <sheetName val="CCG Betas"/>
      <sheetName val="PD Term Structure"/>
      <sheetName val="Migration Matrices"/>
      <sheetName val="Survival Probability"/>
      <sheetName val="Instructions"/>
      <sheetName val="Cap Rates"/>
      <sheetName val="FTP Template 2023"/>
      <sheetName val="Inputs Model Outputs (Comments)"/>
      <sheetName val="Inputs Model Outputs Clean"/>
      <sheetName val="Inputs Model Outputs "/>
      <sheetName val="Inputs"/>
      <sheetName val="Cognos Inputs (OLD)"/>
      <sheetName val="Cognos Inputs (NEW)"/>
      <sheetName val="RWA Split"/>
      <sheetName val="Lookups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Rates"/>
      <sheetName val="NACM PRP"/>
      <sheetName val="Rate Interpolation"/>
      <sheetName val="Profiles"/>
      <sheetName val="Daily Published Curve"/>
      <sheetName val="Daily Published Curve (2)"/>
      <sheetName val="RT_Swap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9FC959-D17D-4507-9758-39094CDF1BF7}" name="Table2" displayName="Table2" ref="AH5:AI16" totalsRowShown="0" headerRowDxfId="2" dataDxfId="1" dataCellStyle="Per cent">
  <autoFilter ref="AH5:AI16" xr:uid="{7E9FC959-D17D-4507-9758-39094CDF1BF7}">
    <filterColumn colId="0" hiddenButton="1"/>
    <filterColumn colId="1" hiddenButton="1"/>
  </autoFilter>
  <tableColumns count="2">
    <tableColumn id="1" xr3:uid="{1E531472-6523-41B1-AE04-374BFA8AFC5D}" name="Annual PD value" dataDxfId="3" dataCellStyle="Per cent"/>
    <tableColumn id="2" xr3:uid="{CFA617DC-41AA-4EB8-AD92-2C0F803FDA5B}" name="Corresponding RAROC" dataDxfId="0" dataCellStyle="Per 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edbank_New">
  <a:themeElements>
    <a:clrScheme name="Nedbank Theme 1">
      <a:dk1>
        <a:srgbClr val="231F20"/>
      </a:dk1>
      <a:lt1>
        <a:srgbClr val="FFFFFF"/>
      </a:lt1>
      <a:dk2>
        <a:srgbClr val="006341"/>
      </a:dk2>
      <a:lt2>
        <a:srgbClr val="CAC4C5"/>
      </a:lt2>
      <a:accent1>
        <a:srgbClr val="009639"/>
      </a:accent1>
      <a:accent2>
        <a:srgbClr val="CEDC00"/>
      </a:accent2>
      <a:accent3>
        <a:srgbClr val="78BE20"/>
      </a:accent3>
      <a:accent4>
        <a:srgbClr val="00B388"/>
      </a:accent4>
      <a:accent5>
        <a:srgbClr val="F2A900"/>
      </a:accent5>
      <a:accent6>
        <a:srgbClr val="00B2A9"/>
      </a:accent6>
      <a:hlink>
        <a:srgbClr val="0070C0"/>
      </a:hlink>
      <a:folHlink>
        <a:srgbClr val="E0EAC4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59EB-AA77-4CCF-8110-F430DF3AC19A}">
  <sheetPr codeName="Sheet1">
    <tabColor rgb="FF009639"/>
  </sheetPr>
  <dimension ref="A1:Q75"/>
  <sheetViews>
    <sheetView showGridLines="0" topLeftCell="A11" zoomScale="66" zoomScaleNormal="70" workbookViewId="0">
      <selection activeCell="A13" sqref="A13"/>
    </sheetView>
  </sheetViews>
  <sheetFormatPr defaultColWidth="8.6640625" defaultRowHeight="15.6" x14ac:dyDescent="0.4"/>
  <cols>
    <col min="1" max="1" width="139.6640625" style="34" bestFit="1" customWidth="1"/>
    <col min="2" max="2" width="37.88671875" style="34" bestFit="1" customWidth="1"/>
    <col min="3" max="3" width="17.44140625" style="34" customWidth="1"/>
    <col min="4" max="4" width="7.88671875" style="34" bestFit="1" customWidth="1"/>
    <col min="5" max="5" width="8.6640625" style="34"/>
    <col min="6" max="6" width="17.5546875" style="34" bestFit="1" customWidth="1"/>
    <col min="7" max="7" width="14.88671875" style="34" customWidth="1"/>
    <col min="8" max="8" width="9.33203125" style="34" bestFit="1" customWidth="1"/>
    <col min="9" max="9" width="8.6640625" style="34"/>
    <col min="10" max="10" width="15" style="34" bestFit="1" customWidth="1"/>
    <col min="11" max="11" width="9.109375" style="34" bestFit="1" customWidth="1"/>
    <col min="12" max="13" width="8.6640625" style="34"/>
    <col min="14" max="14" width="13.109375" style="34" customWidth="1"/>
    <col min="15" max="15" width="9.6640625" style="34" customWidth="1"/>
    <col min="16" max="16" width="8.6640625" style="34"/>
    <col min="17" max="17" width="12.6640625" style="34" customWidth="1"/>
    <col min="18" max="18" width="8.5546875" style="34" customWidth="1"/>
    <col min="19" max="19" width="14.44140625" style="34" customWidth="1"/>
    <col min="20" max="16384" width="8.6640625" style="34"/>
  </cols>
  <sheetData>
    <row r="1" spans="1:17" x14ac:dyDescent="0.4">
      <c r="A1" s="147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</row>
    <row r="2" spans="1:17" x14ac:dyDescent="0.4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</row>
    <row r="4" spans="1:17" ht="20.399999999999999" x14ac:dyDescent="0.4">
      <c r="A4" s="145" t="s">
        <v>1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</row>
    <row r="6" spans="1:17" ht="57.9" customHeight="1" x14ac:dyDescent="0.4">
      <c r="A6" s="148" t="s">
        <v>2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</row>
    <row r="7" spans="1:17" ht="17.399999999999999" x14ac:dyDescent="0.4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</row>
    <row r="8" spans="1:17" ht="17.399999999999999" x14ac:dyDescent="0.4">
      <c r="A8" s="149" t="s">
        <v>3</v>
      </c>
      <c r="B8" s="149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</row>
    <row r="9" spans="1:17" ht="17.399999999999999" x14ac:dyDescent="0.4">
      <c r="A9" s="70"/>
      <c r="B9" s="70"/>
      <c r="C9" s="7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ht="39" customHeight="1" x14ac:dyDescent="0.4">
      <c r="A10" s="70"/>
      <c r="B10" s="78" t="s">
        <v>4</v>
      </c>
      <c r="C10" s="8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1:17" ht="17.399999999999999" x14ac:dyDescent="0.4">
      <c r="A11" s="71" t="s">
        <v>5</v>
      </c>
      <c r="B11" s="64" t="s">
        <v>6</v>
      </c>
      <c r="C11" s="81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spans="1:17" ht="17.399999999999999" x14ac:dyDescent="0.4">
      <c r="A12" s="71" t="s">
        <v>7</v>
      </c>
      <c r="B12" s="90">
        <v>0.13750000000000001</v>
      </c>
      <c r="C12" s="54"/>
      <c r="D12" s="70"/>
      <c r="E12" s="70"/>
      <c r="F12" s="70"/>
      <c r="G12" s="70"/>
      <c r="H12" s="70"/>
      <c r="I12" s="70"/>
      <c r="M12" s="70"/>
      <c r="N12" s="70"/>
      <c r="O12" s="70"/>
      <c r="P12" s="70"/>
      <c r="Q12" s="70"/>
    </row>
    <row r="13" spans="1:17" ht="21.6" customHeight="1" x14ac:dyDescent="0.4">
      <c r="A13" s="71" t="s">
        <v>8</v>
      </c>
      <c r="B13" s="63">
        <v>1250000</v>
      </c>
      <c r="C13" s="64"/>
      <c r="D13" s="70"/>
      <c r="E13" s="70"/>
      <c r="F13" s="70"/>
      <c r="G13" s="70"/>
      <c r="H13" s="70"/>
      <c r="I13" s="70"/>
      <c r="M13" s="70"/>
      <c r="N13" s="70"/>
      <c r="O13" s="70"/>
      <c r="P13" s="70"/>
      <c r="Q13" s="70"/>
    </row>
    <row r="14" spans="1:17" ht="17.399999999999999" x14ac:dyDescent="0.4">
      <c r="A14" s="71" t="s">
        <v>9</v>
      </c>
      <c r="B14" s="53">
        <v>12500</v>
      </c>
      <c r="C14" s="55"/>
      <c r="D14" s="70"/>
      <c r="E14" s="70"/>
      <c r="F14" s="70"/>
      <c r="G14" s="70"/>
      <c r="H14" s="70"/>
      <c r="I14" s="70"/>
      <c r="M14" s="70"/>
      <c r="N14" s="70"/>
      <c r="O14" s="70"/>
      <c r="P14" s="70"/>
      <c r="Q14" s="70"/>
    </row>
    <row r="15" spans="1:17" ht="21.6" customHeight="1" x14ac:dyDescent="0.4">
      <c r="A15" s="70"/>
      <c r="B15" s="70"/>
      <c r="C15" s="70"/>
      <c r="D15" s="70"/>
      <c r="E15" s="70"/>
      <c r="F15" s="70"/>
      <c r="G15" s="70"/>
      <c r="H15" s="70"/>
      <c r="I15" s="70"/>
      <c r="M15" s="70"/>
      <c r="N15" s="70"/>
      <c r="O15" s="70"/>
      <c r="P15" s="70"/>
      <c r="Q15" s="70"/>
    </row>
    <row r="16" spans="1:17" ht="24" customHeight="1" x14ac:dyDescent="0.4">
      <c r="A16" s="62" t="s">
        <v>10</v>
      </c>
      <c r="B16" s="51"/>
      <c r="C16" s="51"/>
      <c r="D16" s="51"/>
      <c r="E16" s="51"/>
      <c r="F16" s="51"/>
      <c r="G16" s="51"/>
      <c r="H16" s="51"/>
      <c r="I16" s="51"/>
      <c r="L16" s="74"/>
      <c r="M16" s="51"/>
      <c r="N16" s="51"/>
      <c r="O16" s="51"/>
      <c r="P16" s="51"/>
      <c r="Q16" s="51"/>
    </row>
    <row r="17" spans="1:17" ht="24" customHeight="1" x14ac:dyDescent="0.4">
      <c r="A17" s="51"/>
      <c r="B17" s="51"/>
      <c r="C17" s="51"/>
      <c r="D17" s="51"/>
      <c r="E17" s="51"/>
      <c r="H17" s="74"/>
      <c r="I17" s="51"/>
      <c r="J17" s="51"/>
      <c r="K17" s="51"/>
      <c r="L17" s="51"/>
      <c r="M17" s="51"/>
    </row>
    <row r="18" spans="1:17" ht="57" customHeight="1" x14ac:dyDescent="0.4">
      <c r="B18" s="72" t="s">
        <v>11</v>
      </c>
      <c r="C18" s="72"/>
      <c r="D18" s="56"/>
      <c r="E18" s="38"/>
      <c r="F18" s="144" t="s">
        <v>12</v>
      </c>
      <c r="G18" s="144"/>
      <c r="H18" s="144"/>
      <c r="I18" s="38"/>
      <c r="J18" s="73" t="s">
        <v>13</v>
      </c>
      <c r="K18" s="73"/>
    </row>
    <row r="19" spans="1:17" ht="17.399999999999999" x14ac:dyDescent="0.4">
      <c r="B19" s="38" t="s">
        <v>14</v>
      </c>
      <c r="C19" s="38"/>
      <c r="D19" s="75">
        <v>4.4999999999999998E-2</v>
      </c>
      <c r="E19" s="38"/>
      <c r="F19" s="38" t="s">
        <v>15</v>
      </c>
      <c r="G19" s="38"/>
      <c r="H19" s="75">
        <v>0.94799999999999995</v>
      </c>
      <c r="I19" s="38"/>
      <c r="J19" s="38" t="s">
        <v>16</v>
      </c>
      <c r="K19" s="76">
        <v>0.27</v>
      </c>
    </row>
    <row r="20" spans="1:17" ht="17.399999999999999" x14ac:dyDescent="0.4">
      <c r="B20" s="38" t="s">
        <v>17</v>
      </c>
      <c r="C20" s="38"/>
      <c r="D20" s="76">
        <v>3.3977023695682923E-2</v>
      </c>
      <c r="E20" s="38"/>
      <c r="F20" s="38" t="s">
        <v>18</v>
      </c>
      <c r="G20" s="38"/>
      <c r="H20" s="76">
        <v>0.56399999999999995</v>
      </c>
      <c r="I20" s="38"/>
      <c r="J20" s="38" t="s">
        <v>19</v>
      </c>
      <c r="K20" s="76">
        <v>0.14799999999999999</v>
      </c>
    </row>
    <row r="21" spans="1:17" ht="17.399999999999999" x14ac:dyDescent="0.4">
      <c r="B21" s="38" t="s">
        <v>20</v>
      </c>
      <c r="C21" s="38"/>
      <c r="D21" s="76">
        <v>5.873546000460287E-2</v>
      </c>
      <c r="E21" s="38"/>
      <c r="F21" s="38" t="s">
        <v>21</v>
      </c>
      <c r="G21" s="38"/>
      <c r="H21" s="76">
        <v>0.65200000000000002</v>
      </c>
      <c r="I21" s="38"/>
      <c r="J21" s="38" t="s">
        <v>22</v>
      </c>
      <c r="K21" s="76">
        <v>0.14363279304340359</v>
      </c>
    </row>
    <row r="22" spans="1:17" ht="17.399999999999999" x14ac:dyDescent="0.4">
      <c r="B22" s="38"/>
      <c r="C22" s="38"/>
      <c r="D22" s="38"/>
      <c r="E22" s="38"/>
      <c r="F22" s="38"/>
      <c r="G22" s="38"/>
      <c r="H22" s="38"/>
      <c r="I22" s="76"/>
      <c r="J22" s="38" t="s">
        <v>23</v>
      </c>
      <c r="K22" s="76">
        <v>0.11600978943123419</v>
      </c>
    </row>
    <row r="23" spans="1:17" ht="22.8" x14ac:dyDescent="0.55000000000000004">
      <c r="A23" s="89" t="s">
        <v>24</v>
      </c>
      <c r="I23" s="74"/>
      <c r="M23" s="74"/>
      <c r="P23" s="74"/>
    </row>
    <row r="24" spans="1:17" ht="17.399999999999999" x14ac:dyDescent="0.4">
      <c r="A24" s="38" t="s">
        <v>25</v>
      </c>
      <c r="B24" s="48"/>
      <c r="C24" s="35"/>
    </row>
    <row r="25" spans="1:17" ht="17.399999999999999" x14ac:dyDescent="0.4">
      <c r="A25" s="38" t="s">
        <v>26</v>
      </c>
      <c r="B25" s="57"/>
      <c r="C25" s="38"/>
      <c r="D25" s="38"/>
      <c r="E25" s="38"/>
      <c r="F25" s="38"/>
      <c r="G25" s="38"/>
      <c r="H25" s="38"/>
      <c r="I25" s="38"/>
    </row>
    <row r="26" spans="1:17" ht="17.399999999999999" x14ac:dyDescent="0.4">
      <c r="A26" s="38" t="s">
        <v>27</v>
      </c>
      <c r="B26" s="38"/>
      <c r="C26" s="38"/>
      <c r="D26" s="38"/>
      <c r="E26" s="38"/>
      <c r="F26" s="38"/>
      <c r="G26" s="38"/>
      <c r="H26" s="38"/>
      <c r="I26" s="38"/>
    </row>
    <row r="27" spans="1:17" ht="17.399999999999999" x14ac:dyDescent="0.4">
      <c r="A27" s="37" t="s">
        <v>28</v>
      </c>
      <c r="B27" s="38"/>
      <c r="C27" s="38"/>
      <c r="D27" s="38"/>
      <c r="E27" s="38"/>
      <c r="F27" s="38"/>
      <c r="G27" s="38"/>
      <c r="H27" s="38"/>
      <c r="I27" s="38"/>
    </row>
    <row r="28" spans="1:17" ht="17.399999999999999" x14ac:dyDescent="0.4">
      <c r="A28" s="37" t="s">
        <v>29</v>
      </c>
      <c r="B28" s="38"/>
      <c r="C28" s="38"/>
      <c r="D28" s="38"/>
      <c r="E28" s="38"/>
      <c r="F28" s="38"/>
      <c r="G28" s="38"/>
      <c r="H28" s="38"/>
      <c r="I28" s="38"/>
    </row>
    <row r="29" spans="1:17" ht="17.399999999999999" x14ac:dyDescent="0.4">
      <c r="A29" s="37" t="s">
        <v>30</v>
      </c>
      <c r="B29" s="38"/>
      <c r="C29" s="38"/>
      <c r="D29" s="38"/>
      <c r="E29" s="38"/>
      <c r="F29" s="38"/>
      <c r="G29" s="38"/>
      <c r="H29" s="38"/>
      <c r="I29" s="38"/>
    </row>
    <row r="30" spans="1:17" ht="17.399999999999999" x14ac:dyDescent="0.4">
      <c r="B30" s="38"/>
      <c r="C30" s="38"/>
      <c r="D30" s="38"/>
      <c r="E30" s="38"/>
      <c r="F30" s="38"/>
      <c r="G30" s="38"/>
      <c r="H30" s="38"/>
      <c r="I30" s="38"/>
    </row>
    <row r="32" spans="1:17" ht="20.399999999999999" x14ac:dyDescent="0.4">
      <c r="A32" s="145" t="s">
        <v>31</v>
      </c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</row>
    <row r="33" spans="1:17" ht="16.8" x14ac:dyDescent="0.4">
      <c r="A33" s="52" t="s">
        <v>32</v>
      </c>
      <c r="B33" s="77"/>
      <c r="C33" s="77"/>
    </row>
    <row r="34" spans="1:17" s="35" customFormat="1" ht="17.399999999999999" x14ac:dyDescent="0.4">
      <c r="A34" s="52" t="s">
        <v>33</v>
      </c>
      <c r="B34" s="77"/>
      <c r="C34" s="77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spans="1:17" s="35" customFormat="1" ht="17.399999999999999" x14ac:dyDescent="0.4">
      <c r="A35" s="52" t="s">
        <v>34</v>
      </c>
      <c r="B35" s="77"/>
      <c r="C35" s="77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spans="1:17" s="35" customFormat="1" ht="17.399999999999999" x14ac:dyDescent="0.4">
      <c r="A36" s="69" t="s">
        <v>35</v>
      </c>
      <c r="B36" s="69"/>
      <c r="C36" s="69"/>
      <c r="D36" s="38"/>
      <c r="E36" s="38"/>
      <c r="F36" s="38"/>
      <c r="G36" s="38"/>
      <c r="H36" s="38"/>
      <c r="I36" s="38"/>
      <c r="J36" s="39"/>
      <c r="K36" s="38"/>
      <c r="L36" s="38"/>
      <c r="M36" s="38"/>
      <c r="N36" s="38"/>
      <c r="O36" s="38"/>
      <c r="P36" s="38"/>
    </row>
    <row r="37" spans="1:17" s="35" customFormat="1" ht="17.399999999999999" x14ac:dyDescent="0.4">
      <c r="A37" s="38" t="s">
        <v>36</v>
      </c>
      <c r="B37" s="37"/>
      <c r="C37" s="38"/>
      <c r="D37" s="38"/>
      <c r="E37" s="38"/>
      <c r="F37" s="38"/>
      <c r="G37" s="38"/>
      <c r="H37" s="38"/>
      <c r="I37" s="38"/>
      <c r="J37" s="39"/>
      <c r="K37" s="38"/>
      <c r="L37" s="38"/>
      <c r="M37" s="38"/>
      <c r="N37" s="38"/>
      <c r="O37" s="38"/>
      <c r="P37" s="38"/>
    </row>
    <row r="38" spans="1:17" ht="17.399999999999999" x14ac:dyDescent="0.4">
      <c r="A38" s="37" t="s">
        <v>37</v>
      </c>
      <c r="B38" s="38"/>
      <c r="C38" s="38"/>
      <c r="D38" s="38"/>
      <c r="E38" s="38"/>
      <c r="F38" s="38"/>
      <c r="G38" s="38"/>
      <c r="H38" s="38"/>
      <c r="I38" s="38"/>
      <c r="J38" s="39"/>
      <c r="K38" s="38"/>
      <c r="L38" s="38"/>
      <c r="M38" s="38"/>
      <c r="N38" s="38"/>
      <c r="O38" s="38"/>
      <c r="P38" s="38"/>
    </row>
    <row r="39" spans="1:17" ht="17.399999999999999" x14ac:dyDescent="0.4">
      <c r="A39" s="37" t="s">
        <v>38</v>
      </c>
      <c r="B39" s="38"/>
      <c r="C39" s="38"/>
      <c r="D39" s="38"/>
      <c r="E39" s="38"/>
      <c r="F39" s="38"/>
      <c r="G39" s="38"/>
      <c r="H39" s="38"/>
      <c r="I39" s="38"/>
      <c r="J39" s="39"/>
      <c r="K39" s="38"/>
      <c r="L39" s="38"/>
      <c r="M39" s="38"/>
      <c r="N39" s="38"/>
      <c r="O39" s="38"/>
      <c r="P39" s="38"/>
    </row>
    <row r="40" spans="1:17" ht="17.399999999999999" x14ac:dyDescent="0.4">
      <c r="A40" s="38"/>
      <c r="J40" s="36"/>
    </row>
    <row r="41" spans="1:17" x14ac:dyDescent="0.4">
      <c r="J41" s="36"/>
    </row>
    <row r="42" spans="1:17" ht="20.399999999999999" x14ac:dyDescent="0.4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</row>
    <row r="43" spans="1:17" x14ac:dyDescent="0.4">
      <c r="J43" s="36"/>
    </row>
    <row r="44" spans="1:17" s="35" customFormat="1" ht="18.600000000000001" customHeight="1" x14ac:dyDescent="0.4">
      <c r="A44" s="38"/>
      <c r="B44" s="38"/>
      <c r="C44" s="38"/>
      <c r="D44" s="38"/>
      <c r="E44" s="38"/>
      <c r="F44" s="38"/>
    </row>
    <row r="45" spans="1:17" s="35" customFormat="1" ht="18.600000000000001" customHeight="1" x14ac:dyDescent="0.4">
      <c r="A45" s="82"/>
      <c r="B45" s="82"/>
      <c r="C45" s="82"/>
      <c r="D45" s="82"/>
      <c r="E45" s="82"/>
      <c r="F45" s="82"/>
      <c r="G45" s="83"/>
      <c r="H45" s="83"/>
      <c r="I45" s="83"/>
      <c r="J45" s="83"/>
      <c r="K45" s="67"/>
      <c r="L45" s="67"/>
      <c r="M45" s="67"/>
      <c r="N45" s="67"/>
      <c r="O45" s="67"/>
      <c r="P45" s="67"/>
      <c r="Q45" s="67"/>
    </row>
    <row r="46" spans="1:17" s="35" customFormat="1" ht="17.399999999999999" x14ac:dyDescent="0.4">
      <c r="A46" s="84"/>
      <c r="B46" s="82"/>
      <c r="C46" s="82"/>
      <c r="D46" s="82"/>
      <c r="E46" s="82"/>
      <c r="F46" s="82"/>
      <c r="G46" s="83"/>
      <c r="H46" s="83"/>
      <c r="I46" s="83"/>
      <c r="J46" s="83"/>
      <c r="K46" s="67"/>
      <c r="L46" s="67"/>
      <c r="M46" s="67"/>
      <c r="N46" s="67"/>
      <c r="O46" s="67"/>
      <c r="P46" s="67"/>
      <c r="Q46" s="67"/>
    </row>
    <row r="47" spans="1:17" s="35" customFormat="1" ht="17.399999999999999" x14ac:dyDescent="0.4">
      <c r="A47" s="82"/>
      <c r="B47" s="82"/>
      <c r="C47" s="82"/>
      <c r="D47" s="82"/>
      <c r="E47" s="82"/>
      <c r="F47" s="82"/>
      <c r="G47" s="83"/>
      <c r="H47" s="83"/>
      <c r="I47" s="83"/>
      <c r="J47" s="83"/>
      <c r="K47" s="67"/>
      <c r="L47" s="67"/>
      <c r="M47" s="67"/>
      <c r="N47" s="67"/>
      <c r="O47" s="67"/>
      <c r="P47" s="67"/>
      <c r="Q47" s="67"/>
    </row>
    <row r="48" spans="1:17" s="35" customFormat="1" ht="18" customHeight="1" x14ac:dyDescent="0.4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66"/>
      <c r="L48" s="66"/>
      <c r="M48" s="66"/>
      <c r="N48" s="66"/>
      <c r="O48" s="66"/>
      <c r="P48" s="66"/>
      <c r="Q48" s="66"/>
    </row>
    <row r="49" spans="1:17" s="35" customFormat="1" ht="18" customHeight="1" x14ac:dyDescent="0.4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66"/>
      <c r="L49" s="66"/>
      <c r="M49" s="66"/>
      <c r="N49" s="66"/>
      <c r="O49" s="66"/>
      <c r="P49" s="66"/>
      <c r="Q49" s="66"/>
    </row>
    <row r="50" spans="1:17" s="47" customFormat="1" ht="30" customHeight="1" x14ac:dyDescent="0.4">
      <c r="A50" s="85"/>
      <c r="B50" s="86"/>
      <c r="C50" s="86"/>
      <c r="D50" s="86"/>
      <c r="E50" s="86"/>
      <c r="F50" s="86"/>
      <c r="G50" s="87"/>
      <c r="H50" s="87"/>
      <c r="I50" s="87"/>
      <c r="J50" s="88"/>
      <c r="K50" s="68"/>
      <c r="L50" s="68"/>
      <c r="M50" s="68"/>
      <c r="N50" s="68"/>
      <c r="O50" s="68"/>
      <c r="P50" s="68"/>
      <c r="Q50" s="68"/>
    </row>
    <row r="51" spans="1:17" ht="17.399999999999999" x14ac:dyDescent="0.4">
      <c r="A51" s="38"/>
    </row>
    <row r="52" spans="1:17" ht="17.399999999999999" x14ac:dyDescent="0.4">
      <c r="A52" s="38"/>
      <c r="B52" s="38"/>
      <c r="C52" s="38"/>
      <c r="D52" s="38"/>
      <c r="E52" s="38"/>
      <c r="F52" s="38"/>
      <c r="L52" s="35"/>
    </row>
    <row r="53" spans="1:17" ht="17.399999999999999" x14ac:dyDescent="0.4">
      <c r="A53" s="58"/>
      <c r="J53" s="36"/>
    </row>
    <row r="54" spans="1:17" x14ac:dyDescent="0.4">
      <c r="J54" s="36"/>
    </row>
    <row r="55" spans="1:17" x14ac:dyDescent="0.4">
      <c r="J55" s="36"/>
    </row>
    <row r="56" spans="1:17" x14ac:dyDescent="0.4">
      <c r="J56" s="36"/>
    </row>
    <row r="57" spans="1:17" x14ac:dyDescent="0.4">
      <c r="J57" s="36"/>
    </row>
    <row r="58" spans="1:17" x14ac:dyDescent="0.4">
      <c r="J58" s="36"/>
    </row>
    <row r="59" spans="1:17" x14ac:dyDescent="0.4">
      <c r="J59" s="36"/>
    </row>
    <row r="60" spans="1:17" x14ac:dyDescent="0.4">
      <c r="J60" s="36"/>
    </row>
    <row r="61" spans="1:17" x14ac:dyDescent="0.4">
      <c r="J61" s="36"/>
    </row>
    <row r="62" spans="1:17" x14ac:dyDescent="0.4">
      <c r="J62" s="36"/>
    </row>
    <row r="63" spans="1:17" x14ac:dyDescent="0.4">
      <c r="J63" s="36"/>
    </row>
    <row r="64" spans="1:17" x14ac:dyDescent="0.4">
      <c r="J64" s="36"/>
    </row>
    <row r="65" spans="10:10" x14ac:dyDescent="0.4">
      <c r="J65" s="36"/>
    </row>
    <row r="66" spans="10:10" x14ac:dyDescent="0.4">
      <c r="J66" s="36"/>
    </row>
    <row r="67" spans="10:10" x14ac:dyDescent="0.4">
      <c r="J67" s="36"/>
    </row>
    <row r="69" spans="10:10" x14ac:dyDescent="0.4">
      <c r="J69" s="36"/>
    </row>
    <row r="70" spans="10:10" x14ac:dyDescent="0.4">
      <c r="J70" s="36"/>
    </row>
    <row r="71" spans="10:10" x14ac:dyDescent="0.4">
      <c r="J71" s="36"/>
    </row>
    <row r="72" spans="10:10" x14ac:dyDescent="0.4">
      <c r="J72" s="36"/>
    </row>
    <row r="73" spans="10:10" x14ac:dyDescent="0.4">
      <c r="J73" s="36"/>
    </row>
    <row r="74" spans="10:10" x14ac:dyDescent="0.4">
      <c r="J74" s="36"/>
    </row>
    <row r="75" spans="10:10" x14ac:dyDescent="0.4">
      <c r="J75" s="36"/>
    </row>
  </sheetData>
  <mergeCells count="8">
    <mergeCell ref="A48:J49"/>
    <mergeCell ref="F18:H18"/>
    <mergeCell ref="A32:Q32"/>
    <mergeCell ref="A42:Q42"/>
    <mergeCell ref="A1:Q2"/>
    <mergeCell ref="A4:Q4"/>
    <mergeCell ref="A6:Q6"/>
    <mergeCell ref="A8:B8"/>
  </mergeCell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3729-EB90-42EE-979A-4B7E691D135E}">
  <sheetPr codeName="Sheet5">
    <tabColor rgb="FF009639"/>
  </sheetPr>
  <dimension ref="A1:V35"/>
  <sheetViews>
    <sheetView showGridLines="0" tabSelected="1" topLeftCell="A6" zoomScale="71" zoomScaleNormal="85" workbookViewId="0">
      <selection activeCell="R44" sqref="R44"/>
    </sheetView>
  </sheetViews>
  <sheetFormatPr defaultColWidth="8.6640625" defaultRowHeight="17.399999999999999" x14ac:dyDescent="0.4"/>
  <cols>
    <col min="1" max="16" width="8.6640625" style="132"/>
    <col min="17" max="17" width="12.44140625" style="132" customWidth="1"/>
    <col min="18" max="16384" width="8.6640625" style="132"/>
  </cols>
  <sheetData>
    <row r="1" spans="1:17" ht="27" x14ac:dyDescent="0.65">
      <c r="A1" s="151" t="s">
        <v>39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</row>
    <row r="3" spans="1:17" ht="20.399999999999999" x14ac:dyDescent="0.5">
      <c r="A3" s="150" t="s">
        <v>40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</row>
    <row r="4" spans="1:17" ht="18" customHeight="1" x14ac:dyDescent="0.4">
      <c r="A4" s="133" t="s">
        <v>41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x14ac:dyDescent="0.4">
      <c r="A5" s="133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x14ac:dyDescent="0.4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x14ac:dyDescent="0.4">
      <c r="A7" s="133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x14ac:dyDescent="0.4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</row>
    <row r="9" spans="1:17" x14ac:dyDescent="0.4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</row>
    <row r="10" spans="1:17" x14ac:dyDescent="0.4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17" ht="21" customHeight="1" x14ac:dyDescent="0.4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</row>
    <row r="12" spans="1:17" ht="20.399999999999999" x14ac:dyDescent="0.5">
      <c r="A12" s="150" t="s">
        <v>41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</row>
    <row r="13" spans="1:17" ht="18" customHeight="1" x14ac:dyDescent="0.4">
      <c r="A13" s="153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</row>
    <row r="14" spans="1:17" ht="18" customHeight="1" x14ac:dyDescent="0.4">
      <c r="A14" s="153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</row>
    <row r="15" spans="1:17" ht="18" customHeight="1" x14ac:dyDescent="0.4">
      <c r="A15" s="153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</row>
    <row r="16" spans="1:17" ht="26.4" customHeight="1" x14ac:dyDescent="0.4">
      <c r="A16" s="153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</row>
    <row r="17" spans="1:22" ht="18" customHeight="1" x14ac:dyDescent="0.4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</row>
    <row r="18" spans="1:22" ht="18" customHeight="1" x14ac:dyDescent="0.4">
      <c r="A18" s="152" t="s">
        <v>42</v>
      </c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</row>
    <row r="19" spans="1:22" ht="18" customHeight="1" x14ac:dyDescent="0.4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</row>
    <row r="20" spans="1:22" ht="18" customHeight="1" x14ac:dyDescent="0.4">
      <c r="A20" s="155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</row>
    <row r="21" spans="1:22" x14ac:dyDescent="0.4">
      <c r="A21" s="155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</row>
    <row r="22" spans="1:22" x14ac:dyDescent="0.4">
      <c r="A22" s="155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V22" s="135"/>
    </row>
    <row r="23" spans="1:22" ht="15.6" customHeight="1" x14ac:dyDescent="0.4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</row>
    <row r="24" spans="1:22" ht="18" customHeight="1" x14ac:dyDescent="0.4">
      <c r="A24" s="152" t="s">
        <v>43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</row>
    <row r="25" spans="1:22" ht="24" customHeight="1" x14ac:dyDescent="0.4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</row>
    <row r="26" spans="1:22" ht="18" customHeight="1" x14ac:dyDescent="0.4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</row>
    <row r="27" spans="1:22" ht="18" customHeight="1" x14ac:dyDescent="0.4">
      <c r="A27" s="155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</row>
    <row r="28" spans="1:22" ht="18" customHeight="1" x14ac:dyDescent="0.4">
      <c r="A28" s="155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</row>
    <row r="29" spans="1:22" x14ac:dyDescent="0.4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</row>
    <row r="30" spans="1:22" ht="18" customHeight="1" x14ac:dyDescent="0.4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</row>
    <row r="31" spans="1:22" ht="14.4" customHeight="1" x14ac:dyDescent="0.4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</row>
    <row r="32" spans="1:22" ht="61.2" customHeight="1" x14ac:dyDescent="0.4">
      <c r="A32" s="152" t="s">
        <v>44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</row>
    <row r="33" spans="1:17" ht="17.399999999999999" customHeight="1" x14ac:dyDescent="0.4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</row>
    <row r="34" spans="1:17" x14ac:dyDescent="0.4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</row>
    <row r="35" spans="1:17" x14ac:dyDescent="0.4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</row>
  </sheetData>
  <mergeCells count="10">
    <mergeCell ref="A3:Q3"/>
    <mergeCell ref="A1:N1"/>
    <mergeCell ref="A12:Q12"/>
    <mergeCell ref="A32:Q32"/>
    <mergeCell ref="A13:Q16"/>
    <mergeCell ref="A18:Q19"/>
    <mergeCell ref="A24:Q25"/>
    <mergeCell ref="A26:Q29"/>
    <mergeCell ref="A20:Q23"/>
    <mergeCell ref="A30:Q3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A9C2-13B1-4340-B871-55B77F5E8E46}">
  <sheetPr>
    <tabColor rgb="FF009639"/>
  </sheetPr>
  <dimension ref="B2:AG295"/>
  <sheetViews>
    <sheetView showGridLines="0" topLeftCell="A12" zoomScale="65" zoomScaleNormal="115" workbookViewId="0">
      <selection activeCell="X5" sqref="X5"/>
    </sheetView>
  </sheetViews>
  <sheetFormatPr defaultColWidth="8.88671875" defaultRowHeight="16.8" x14ac:dyDescent="0.4"/>
  <cols>
    <col min="1" max="1" width="2.88671875" style="35" customWidth="1"/>
    <col min="2" max="2" width="54.33203125" style="35" bestFit="1" customWidth="1"/>
    <col min="3" max="3" width="19.109375" style="35" bestFit="1" customWidth="1"/>
    <col min="4" max="4" width="3.44140625" style="35" customWidth="1"/>
    <col min="5" max="6" width="7.21875" style="35" bestFit="1" customWidth="1"/>
    <col min="7" max="7" width="22.77734375" style="138" bestFit="1" customWidth="1"/>
    <col min="8" max="8" width="15.109375" style="35" bestFit="1" customWidth="1"/>
    <col min="9" max="9" width="18.88671875" style="35" bestFit="1" customWidth="1"/>
    <col min="10" max="10" width="19.21875" style="35" bestFit="1" customWidth="1"/>
    <col min="11" max="11" width="17.21875" style="35" bestFit="1" customWidth="1"/>
    <col min="12" max="12" width="18" style="35" bestFit="1" customWidth="1"/>
    <col min="13" max="13" width="13.77734375" style="35" bestFit="1" customWidth="1"/>
    <col min="14" max="14" width="15.44140625" style="35" bestFit="1" customWidth="1"/>
    <col min="15" max="15" width="17.77734375" style="35" bestFit="1" customWidth="1"/>
    <col min="16" max="16" width="17.6640625" style="35" bestFit="1" customWidth="1"/>
    <col min="17" max="17" width="10.77734375" style="100" bestFit="1" customWidth="1"/>
    <col min="18" max="18" width="12.33203125" style="101" bestFit="1" customWidth="1"/>
    <col min="19" max="19" width="12.6640625" style="35" bestFit="1" customWidth="1"/>
    <col min="20" max="20" width="15.77734375" style="35" bestFit="1" customWidth="1"/>
    <col min="21" max="21" width="12.77734375" style="35" bestFit="1" customWidth="1"/>
    <col min="22" max="22" width="13.77734375" style="35" bestFit="1" customWidth="1"/>
    <col min="23" max="23" width="15.21875" style="35" bestFit="1" customWidth="1"/>
    <col min="24" max="24" width="14" style="35" bestFit="1" customWidth="1"/>
    <col min="25" max="25" width="13.44140625" style="35" bestFit="1" customWidth="1"/>
    <col min="26" max="26" width="13.6640625" style="35" bestFit="1" customWidth="1"/>
    <col min="27" max="27" width="14.6640625" style="35" bestFit="1" customWidth="1"/>
    <col min="28" max="28" width="15.6640625" style="35" bestFit="1" customWidth="1"/>
    <col min="29" max="29" width="12" style="35" bestFit="1" customWidth="1"/>
    <col min="30" max="30" width="15" style="35" bestFit="1" customWidth="1"/>
    <col min="31" max="31" width="13.5546875" style="35" bestFit="1" customWidth="1"/>
    <col min="32" max="32" width="8.6640625" style="35" bestFit="1" customWidth="1"/>
    <col min="33" max="33" width="8.88671875" style="35"/>
    <col min="34" max="34" width="15.6640625" style="35" bestFit="1" customWidth="1"/>
    <col min="35" max="35" width="8.88671875" style="35"/>
    <col min="36" max="36" width="12.33203125" style="35" bestFit="1" customWidth="1"/>
    <col min="37" max="37" width="11.44140625" style="35" bestFit="1" customWidth="1"/>
    <col min="38" max="38" width="10.109375" style="35" bestFit="1" customWidth="1"/>
    <col min="39" max="39" width="11.44140625" style="35" bestFit="1" customWidth="1"/>
    <col min="40" max="41" width="12.33203125" style="35" bestFit="1" customWidth="1"/>
    <col min="42" max="42" width="9.33203125" style="35" bestFit="1" customWidth="1"/>
    <col min="43" max="43" width="8.88671875" style="35"/>
    <col min="44" max="45" width="9.33203125" style="35" bestFit="1" customWidth="1"/>
    <col min="46" max="46" width="10.5546875" style="35" bestFit="1" customWidth="1"/>
    <col min="47" max="47" width="10.109375" style="35" bestFit="1" customWidth="1"/>
    <col min="48" max="48" width="13.5546875" style="35" bestFit="1" customWidth="1"/>
    <col min="49" max="53" width="8.88671875" style="35"/>
    <col min="54" max="54" width="9.5546875" style="35" bestFit="1" customWidth="1"/>
    <col min="55" max="55" width="10.109375" style="35" bestFit="1" customWidth="1"/>
    <col min="56" max="56" width="9.33203125" style="35" bestFit="1" customWidth="1"/>
    <col min="57" max="57" width="8.88671875" style="35"/>
    <col min="58" max="58" width="9.33203125" style="35" bestFit="1" customWidth="1"/>
    <col min="59" max="59" width="10.88671875" style="35" bestFit="1" customWidth="1"/>
    <col min="60" max="60" width="13.88671875" style="35" bestFit="1" customWidth="1"/>
    <col min="61" max="61" width="9.33203125" style="35" bestFit="1" customWidth="1"/>
    <col min="62" max="62" width="10.5546875" style="35" bestFit="1" customWidth="1"/>
    <col min="63" max="63" width="11.109375" style="35" bestFit="1" customWidth="1"/>
    <col min="64" max="64" width="12" style="35" bestFit="1" customWidth="1"/>
    <col min="65" max="65" width="8.88671875" style="35"/>
    <col min="66" max="66" width="13.88671875" style="35" bestFit="1" customWidth="1"/>
    <col min="67" max="67" width="9.33203125" style="35" bestFit="1" customWidth="1"/>
    <col min="68" max="16384" width="8.88671875" style="35"/>
  </cols>
  <sheetData>
    <row r="2" spans="2:33" x14ac:dyDescent="0.4">
      <c r="E2" s="159" t="s">
        <v>45</v>
      </c>
      <c r="F2" s="159"/>
      <c r="G2" s="160" t="s">
        <v>46</v>
      </c>
      <c r="H2" s="160"/>
      <c r="I2" s="160"/>
      <c r="J2" s="160"/>
      <c r="K2" s="160"/>
      <c r="L2" s="160"/>
      <c r="N2" s="161"/>
      <c r="O2" s="161"/>
      <c r="P2" s="91" t="s">
        <v>47</v>
      </c>
      <c r="Q2" s="162" t="s">
        <v>48</v>
      </c>
      <c r="R2" s="162"/>
      <c r="S2" s="162"/>
      <c r="T2" s="157" t="s">
        <v>49</v>
      </c>
      <c r="U2" s="157"/>
      <c r="V2" s="157"/>
      <c r="W2" s="157"/>
      <c r="X2" s="92"/>
      <c r="Y2" s="93" t="s">
        <v>50</v>
      </c>
      <c r="Z2" s="92"/>
      <c r="AA2" s="94" t="s">
        <v>51</v>
      </c>
      <c r="AB2" s="95" t="s">
        <v>52</v>
      </c>
      <c r="AC2" s="96" t="s">
        <v>53</v>
      </c>
      <c r="AD2" s="97"/>
      <c r="AE2" s="97"/>
      <c r="AF2" s="98" t="s">
        <v>54</v>
      </c>
    </row>
    <row r="3" spans="2:33" x14ac:dyDescent="0.4">
      <c r="B3" s="99"/>
    </row>
    <row r="4" spans="2:33" ht="47.4" customHeight="1" thickBot="1" x14ac:dyDescent="0.45">
      <c r="B4" s="158"/>
      <c r="C4" s="158"/>
      <c r="E4" s="102" t="s">
        <v>55</v>
      </c>
      <c r="F4" s="102" t="s">
        <v>56</v>
      </c>
      <c r="G4" s="139" t="s">
        <v>57</v>
      </c>
      <c r="H4" s="104" t="s">
        <v>58</v>
      </c>
      <c r="I4" s="104" t="s">
        <v>59</v>
      </c>
      <c r="J4" s="104" t="s">
        <v>60</v>
      </c>
      <c r="K4" s="104" t="s">
        <v>61</v>
      </c>
      <c r="L4" s="102" t="s">
        <v>62</v>
      </c>
      <c r="M4" s="105" t="s">
        <v>63</v>
      </c>
      <c r="N4" s="102" t="s">
        <v>64</v>
      </c>
      <c r="O4" s="103" t="s">
        <v>65</v>
      </c>
      <c r="P4" s="104" t="s">
        <v>66</v>
      </c>
      <c r="Q4" s="104" t="s">
        <v>67</v>
      </c>
      <c r="R4" s="104" t="s">
        <v>68</v>
      </c>
      <c r="S4" s="104" t="s">
        <v>69</v>
      </c>
      <c r="T4" s="104" t="s">
        <v>70</v>
      </c>
      <c r="U4" s="104" t="s">
        <v>71</v>
      </c>
      <c r="V4" s="104" t="s">
        <v>72</v>
      </c>
      <c r="W4" s="102" t="s">
        <v>73</v>
      </c>
      <c r="X4" s="104" t="s">
        <v>74</v>
      </c>
      <c r="Y4" s="104" t="s">
        <v>50</v>
      </c>
      <c r="Z4" s="104" t="s">
        <v>75</v>
      </c>
      <c r="AA4" s="104" t="s">
        <v>51</v>
      </c>
      <c r="AB4" s="104" t="s">
        <v>52</v>
      </c>
      <c r="AC4" s="104" t="s">
        <v>76</v>
      </c>
      <c r="AD4" s="104" t="s">
        <v>77</v>
      </c>
      <c r="AE4" s="104" t="s">
        <v>78</v>
      </c>
      <c r="AF4" s="105" t="s">
        <v>54</v>
      </c>
    </row>
    <row r="5" spans="2:33" ht="17.399999999999999" thickTop="1" x14ac:dyDescent="0.4">
      <c r="B5" s="106" t="s">
        <v>79</v>
      </c>
      <c r="C5" s="106"/>
      <c r="E5" s="107">
        <v>1</v>
      </c>
      <c r="F5" s="107">
        <v>1</v>
      </c>
      <c r="G5" s="141">
        <v>100000000</v>
      </c>
      <c r="H5" s="141">
        <f>PMT($C$11/12,$C$8,-$C$7)</f>
        <v>1537668.1158701384</v>
      </c>
      <c r="I5" s="141">
        <f>($C$11/12)*G5</f>
        <v>1145833.3333333335</v>
      </c>
      <c r="J5" s="141">
        <f>H5-I5</f>
        <v>391834.78253680491</v>
      </c>
      <c r="K5" s="108">
        <f>G5-J5</f>
        <v>99608165.217463195</v>
      </c>
      <c r="L5" s="108">
        <f>G5*(1+$C$11/12)^4</f>
        <v>104662712.86022516</v>
      </c>
      <c r="M5" s="108">
        <f>G5*($C$11-$C$10)/12</f>
        <v>166666.66666666683</v>
      </c>
      <c r="N5" s="108">
        <f>($C$13+$C$14)</f>
        <v>1262500</v>
      </c>
      <c r="O5" s="108">
        <f>SUM(M5:N5)</f>
        <v>1429166.6666666667</v>
      </c>
      <c r="P5" s="108">
        <f>0.4*O5</f>
        <v>571666.66666666674</v>
      </c>
      <c r="Q5" s="100">
        <f>2.68%/12</f>
        <v>2.2333333333333333E-3</v>
      </c>
      <c r="R5" s="100">
        <f>20%</f>
        <v>0.2</v>
      </c>
      <c r="S5" s="108">
        <f>Q5*R5*L5</f>
        <v>46749.345077567239</v>
      </c>
      <c r="T5" s="108">
        <f>L5*($C$22/12)*$C$28</f>
        <v>372075.9442181004</v>
      </c>
      <c r="U5" s="108">
        <f>O5*$C$23</f>
        <v>48558.829698413516</v>
      </c>
      <c r="V5" s="108">
        <f>O5*$C$24</f>
        <v>83942.761589911606</v>
      </c>
      <c r="W5" s="108">
        <f>SUM(T5:V5)</f>
        <v>504577.53550642548</v>
      </c>
      <c r="X5" s="108">
        <f>O5-P5-S5</f>
        <v>810750.65492243273</v>
      </c>
      <c r="Y5" s="108">
        <f>0.27*X5</f>
        <v>218902.67682905684</v>
      </c>
      <c r="Z5" s="108">
        <f>X5-Y5</f>
        <v>591847.97809337592</v>
      </c>
      <c r="AA5" s="108">
        <f>W5*($C$36/12)</f>
        <v>6039.4900609787537</v>
      </c>
      <c r="AB5" s="108">
        <f>Z5-AA5</f>
        <v>585808.48803239712</v>
      </c>
      <c r="AC5" s="109">
        <f>(1+($C$37/12))^-E5</f>
        <v>0.99042508289053799</v>
      </c>
      <c r="AD5" s="108">
        <f>Z5*AC5</f>
        <v>586181.08276172914</v>
      </c>
      <c r="AE5" s="108">
        <f>W5*AC5</f>
        <v>499746.24742865481</v>
      </c>
      <c r="AF5" s="48">
        <f>Z5/W5</f>
        <v>1.1729574474602014</v>
      </c>
      <c r="AG5" s="110"/>
    </row>
    <row r="6" spans="2:33" x14ac:dyDescent="0.4">
      <c r="E6" s="107">
        <v>2</v>
      </c>
      <c r="F6" s="107">
        <v>1</v>
      </c>
      <c r="G6" s="141">
        <f>K5</f>
        <v>99608165.217463195</v>
      </c>
      <c r="H6" s="141">
        <f t="shared" ref="H6:H69" si="0">PMT($C$11/12,$C$8,-$C$7)</f>
        <v>1537668.1158701384</v>
      </c>
      <c r="I6" s="141">
        <f t="shared" ref="I6:I69" si="1">($C$11/12)*G6</f>
        <v>1141343.5597834326</v>
      </c>
      <c r="J6" s="141">
        <f t="shared" ref="J6:J69" si="2">H6-I6</f>
        <v>396324.55608670576</v>
      </c>
      <c r="K6" s="108">
        <f t="shared" ref="K6:K69" si="3">G6-J6</f>
        <v>99211840.661376491</v>
      </c>
      <c r="L6" s="108">
        <f t="shared" ref="L6:L69" si="4">G6*(1+$C$11/12)^4</f>
        <v>104252607.94689217</v>
      </c>
      <c r="M6" s="108">
        <f t="shared" ref="M6:M69" si="5">G6*($C$11-$C$10)/12</f>
        <v>166013.60869577216</v>
      </c>
      <c r="N6" s="108">
        <f t="shared" ref="N6:N69" si="6">$C$14</f>
        <v>12500</v>
      </c>
      <c r="O6" s="108">
        <f t="shared" ref="O6:O69" si="7">SUM(M6:N6)</f>
        <v>178513.60869577216</v>
      </c>
      <c r="P6" s="108">
        <f t="shared" ref="P6:P69" si="8">0.4*O6</f>
        <v>71405.443478308865</v>
      </c>
      <c r="Q6" s="100">
        <f t="shared" ref="Q6:Q69" si="9">2.68%/12</f>
        <v>2.2333333333333333E-3</v>
      </c>
      <c r="R6" s="100">
        <f>20%</f>
        <v>0.2</v>
      </c>
      <c r="S6" s="108">
        <f t="shared" ref="S6:S69" si="10">Q6*R6*L6</f>
        <v>46566.164882945173</v>
      </c>
      <c r="T6" s="108">
        <f t="shared" ref="T6:T69" si="11">L6*($C$22/12)*$C$28</f>
        <v>370618.02125120169</v>
      </c>
      <c r="U6" s="108">
        <f t="shared" ref="U6:U69" si="12">O6*$C$23</f>
        <v>6065.36111265812</v>
      </c>
      <c r="V6" s="108">
        <f t="shared" ref="V6:V69" si="13">O6*$C$24</f>
        <v>10485.078923827852</v>
      </c>
      <c r="W6" s="108">
        <f t="shared" ref="W6:W69" si="14">SUM(T6:V6)</f>
        <v>387168.46128768765</v>
      </c>
      <c r="X6" s="108">
        <f t="shared" ref="X6:X69" si="15">O6-P6-S6</f>
        <v>60542.000334518118</v>
      </c>
      <c r="Y6" s="108">
        <f t="shared" ref="Y6:Y69" si="16">0.27*X6</f>
        <v>16346.340090319893</v>
      </c>
      <c r="Z6" s="108">
        <f t="shared" ref="Z6:Z69" si="17">X6-Y6</f>
        <v>44195.660244198225</v>
      </c>
      <c r="AA6" s="108">
        <f t="shared" ref="AA6:AA69" si="18">W6*($C$36/12)</f>
        <v>4634.1739560889546</v>
      </c>
      <c r="AB6" s="108">
        <f t="shared" ref="AB6:AB69" si="19">Z6-AA6</f>
        <v>39561.48628810927</v>
      </c>
      <c r="AC6" s="109">
        <f t="shared" ref="AC6:AC69" si="20">(1+($C$37/12))^-E6</f>
        <v>0.98094184481872915</v>
      </c>
      <c r="AD6" s="108">
        <f t="shared" ref="AD6:AD69" si="21">Z6*AC6</f>
        <v>43353.37249292557</v>
      </c>
      <c r="AE6" s="108">
        <f t="shared" ref="AE6:AE69" si="22">W6*AC6</f>
        <v>379789.74467117304</v>
      </c>
      <c r="AF6" s="48">
        <f t="shared" ref="AF6:AF69" si="23">Z6/W6</f>
        <v>0.11415098248759058</v>
      </c>
      <c r="AG6" s="110"/>
    </row>
    <row r="7" spans="2:33" x14ac:dyDescent="0.4">
      <c r="B7" s="111" t="s">
        <v>80</v>
      </c>
      <c r="C7" s="142">
        <v>100000000</v>
      </c>
      <c r="E7" s="107">
        <v>3</v>
      </c>
      <c r="F7" s="107">
        <v>1</v>
      </c>
      <c r="G7" s="141">
        <f t="shared" ref="G7:G70" si="24">K6</f>
        <v>99211840.661376491</v>
      </c>
      <c r="H7" s="141">
        <f t="shared" si="0"/>
        <v>1537668.1158701384</v>
      </c>
      <c r="I7" s="141">
        <f t="shared" si="1"/>
        <v>1136802.3409116056</v>
      </c>
      <c r="J7" s="141">
        <f t="shared" si="2"/>
        <v>400865.77495853277</v>
      </c>
      <c r="K7" s="108">
        <f t="shared" si="3"/>
        <v>98810974.886417955</v>
      </c>
      <c r="L7" s="108">
        <f t="shared" si="4"/>
        <v>103837803.91476057</v>
      </c>
      <c r="M7" s="108">
        <f t="shared" si="5"/>
        <v>165353.06776896096</v>
      </c>
      <c r="N7" s="108">
        <f t="shared" si="6"/>
        <v>12500</v>
      </c>
      <c r="O7" s="108">
        <f t="shared" si="7"/>
        <v>177853.06776896096</v>
      </c>
      <c r="P7" s="108">
        <f t="shared" si="8"/>
        <v>71141.227107584389</v>
      </c>
      <c r="Q7" s="100">
        <f t="shared" si="9"/>
        <v>2.2333333333333333E-3</v>
      </c>
      <c r="R7" s="100">
        <f>20%</f>
        <v>0.2</v>
      </c>
      <c r="S7" s="108">
        <f t="shared" si="10"/>
        <v>46380.885748593057</v>
      </c>
      <c r="T7" s="108">
        <f t="shared" si="11"/>
        <v>369143.3929169738</v>
      </c>
      <c r="U7" s="108">
        <f t="shared" si="12"/>
        <v>6042.9178979358876</v>
      </c>
      <c r="V7" s="108">
        <f t="shared" si="13"/>
        <v>10446.281748639731</v>
      </c>
      <c r="W7" s="108">
        <f t="shared" si="14"/>
        <v>385632.59256354941</v>
      </c>
      <c r="X7" s="108">
        <f t="shared" si="15"/>
        <v>60330.954912783513</v>
      </c>
      <c r="Y7" s="108">
        <f t="shared" si="16"/>
        <v>16289.357826451549</v>
      </c>
      <c r="Z7" s="108">
        <f t="shared" si="17"/>
        <v>44041.597086331967</v>
      </c>
      <c r="AA7" s="108">
        <f t="shared" si="18"/>
        <v>4615.7905298726228</v>
      </c>
      <c r="AB7" s="108">
        <f t="shared" si="19"/>
        <v>39425.806556459342</v>
      </c>
      <c r="AC7" s="109">
        <f t="shared" si="20"/>
        <v>0.97154940796538714</v>
      </c>
      <c r="AD7" s="108">
        <f t="shared" si="21"/>
        <v>42788.587575075944</v>
      </c>
      <c r="AE7" s="108">
        <f t="shared" si="22"/>
        <v>374661.11699727376</v>
      </c>
      <c r="AF7" s="48">
        <f t="shared" si="23"/>
        <v>0.11420610688935541</v>
      </c>
      <c r="AG7" s="110"/>
    </row>
    <row r="8" spans="2:33" x14ac:dyDescent="0.4">
      <c r="B8" s="111" t="s">
        <v>81</v>
      </c>
      <c r="C8" s="112">
        <v>120</v>
      </c>
      <c r="E8" s="107">
        <v>4</v>
      </c>
      <c r="F8" s="107">
        <v>1</v>
      </c>
      <c r="G8" s="141">
        <f t="shared" si="24"/>
        <v>98810974.886417955</v>
      </c>
      <c r="H8" s="141">
        <f t="shared" si="0"/>
        <v>1537668.1158701384</v>
      </c>
      <c r="I8" s="141">
        <f t="shared" si="1"/>
        <v>1132209.0872402058</v>
      </c>
      <c r="J8" s="141">
        <f t="shared" si="2"/>
        <v>405459.02862993255</v>
      </c>
      <c r="K8" s="108">
        <f t="shared" si="3"/>
        <v>98405515.857788026</v>
      </c>
      <c r="L8" s="108">
        <f t="shared" si="4"/>
        <v>103418246.91976081</v>
      </c>
      <c r="M8" s="108">
        <f t="shared" si="5"/>
        <v>164684.95814403007</v>
      </c>
      <c r="N8" s="108">
        <f t="shared" si="6"/>
        <v>12500</v>
      </c>
      <c r="O8" s="108">
        <f t="shared" si="7"/>
        <v>177184.95814403007</v>
      </c>
      <c r="P8" s="108">
        <f t="shared" si="8"/>
        <v>70873.983257612024</v>
      </c>
      <c r="Q8" s="100">
        <f t="shared" si="9"/>
        <v>2.2333333333333333E-3</v>
      </c>
      <c r="R8" s="100">
        <f>20%</f>
        <v>0.2</v>
      </c>
      <c r="S8" s="108">
        <f t="shared" si="10"/>
        <v>46193.483624159824</v>
      </c>
      <c r="T8" s="108">
        <f t="shared" si="11"/>
        <v>367651.86779974966</v>
      </c>
      <c r="U8" s="108">
        <f t="shared" si="12"/>
        <v>6020.2175213782966</v>
      </c>
      <c r="V8" s="108">
        <f t="shared" si="13"/>
        <v>10407.040022485911</v>
      </c>
      <c r="W8" s="108">
        <f t="shared" si="14"/>
        <v>384079.12534361385</v>
      </c>
      <c r="X8" s="108">
        <f t="shared" si="15"/>
        <v>60117.49126225822</v>
      </c>
      <c r="Y8" s="108">
        <f t="shared" si="16"/>
        <v>16231.722640809721</v>
      </c>
      <c r="Z8" s="108">
        <f t="shared" si="17"/>
        <v>43885.7686214485</v>
      </c>
      <c r="AA8" s="108">
        <f t="shared" si="18"/>
        <v>4597.1964602308963</v>
      </c>
      <c r="AB8" s="108">
        <f t="shared" si="19"/>
        <v>39288.572161217606</v>
      </c>
      <c r="AC8" s="109">
        <f t="shared" si="20"/>
        <v>0.9622469029163716</v>
      </c>
      <c r="AD8" s="108">
        <f t="shared" si="21"/>
        <v>42228.9449380933</v>
      </c>
      <c r="AE8" s="108">
        <f t="shared" si="22"/>
        <v>369578.94883672131</v>
      </c>
      <c r="AF8" s="48">
        <f t="shared" si="23"/>
        <v>0.11426231139790893</v>
      </c>
      <c r="AG8" s="110"/>
    </row>
    <row r="9" spans="2:33" x14ac:dyDescent="0.4">
      <c r="B9" s="111" t="s">
        <v>82</v>
      </c>
      <c r="C9" s="112"/>
      <c r="E9" s="107">
        <v>5</v>
      </c>
      <c r="F9" s="107">
        <v>1</v>
      </c>
      <c r="G9" s="141">
        <f t="shared" si="24"/>
        <v>98405515.857788026</v>
      </c>
      <c r="H9" s="141">
        <f t="shared" si="0"/>
        <v>1537668.1158701384</v>
      </c>
      <c r="I9" s="141">
        <f t="shared" si="1"/>
        <v>1127563.2025371545</v>
      </c>
      <c r="J9" s="141">
        <f t="shared" si="2"/>
        <v>410104.91333298385</v>
      </c>
      <c r="K9" s="108">
        <f t="shared" si="3"/>
        <v>97995410.944455042</v>
      </c>
      <c r="L9" s="108">
        <f t="shared" si="4"/>
        <v>102993882.50086001</v>
      </c>
      <c r="M9" s="108">
        <f t="shared" si="5"/>
        <v>164009.19309631354</v>
      </c>
      <c r="N9" s="108">
        <f t="shared" si="6"/>
        <v>12500</v>
      </c>
      <c r="O9" s="108">
        <f t="shared" si="7"/>
        <v>176509.19309631354</v>
      </c>
      <c r="P9" s="108">
        <f t="shared" si="8"/>
        <v>70603.677238525415</v>
      </c>
      <c r="Q9" s="100">
        <f t="shared" si="9"/>
        <v>2.2333333333333333E-3</v>
      </c>
      <c r="R9" s="100">
        <f>20%</f>
        <v>0.2</v>
      </c>
      <c r="S9" s="108">
        <f t="shared" si="10"/>
        <v>46003.934183717472</v>
      </c>
      <c r="T9" s="108">
        <f t="shared" si="11"/>
        <v>366143.25229055731</v>
      </c>
      <c r="U9" s="108">
        <f t="shared" si="12"/>
        <v>5997.2570363393179</v>
      </c>
      <c r="V9" s="108">
        <f t="shared" si="13"/>
        <v>10367.34865155325</v>
      </c>
      <c r="W9" s="108">
        <f t="shared" si="14"/>
        <v>382507.8579784499</v>
      </c>
      <c r="X9" s="108">
        <f t="shared" si="15"/>
        <v>59901.58167407065</v>
      </c>
      <c r="Y9" s="108">
        <f t="shared" si="16"/>
        <v>16173.427051999077</v>
      </c>
      <c r="Z9" s="108">
        <f t="shared" si="17"/>
        <v>43728.154622071575</v>
      </c>
      <c r="AA9" s="108">
        <f t="shared" si="18"/>
        <v>4578.3893335411922</v>
      </c>
      <c r="AB9" s="108">
        <f t="shared" si="19"/>
        <v>39149.765288530383</v>
      </c>
      <c r="AC9" s="109">
        <f t="shared" si="20"/>
        <v>0.9530334685821108</v>
      </c>
      <c r="AD9" s="108">
        <f t="shared" si="21"/>
        <v>41674.39487416773</v>
      </c>
      <c r="AE9" s="108">
        <f t="shared" si="22"/>
        <v>364542.79064911552</v>
      </c>
      <c r="AF9" s="48">
        <f t="shared" si="23"/>
        <v>0.1143196243161498</v>
      </c>
      <c r="AG9" s="110"/>
    </row>
    <row r="10" spans="2:33" x14ac:dyDescent="0.4">
      <c r="B10" s="111" t="s">
        <v>83</v>
      </c>
      <c r="C10" s="140">
        <v>0.11749999999999999</v>
      </c>
      <c r="E10" s="107">
        <v>6</v>
      </c>
      <c r="F10" s="107">
        <v>1</v>
      </c>
      <c r="G10" s="141">
        <f t="shared" si="24"/>
        <v>97995410.944455042</v>
      </c>
      <c r="H10" s="141">
        <f t="shared" si="0"/>
        <v>1537668.1158701384</v>
      </c>
      <c r="I10" s="141">
        <f t="shared" si="1"/>
        <v>1122864.0837385475</v>
      </c>
      <c r="J10" s="141">
        <f t="shared" si="2"/>
        <v>414804.03213159088</v>
      </c>
      <c r="K10" s="108">
        <f t="shared" si="3"/>
        <v>97580606.912323445</v>
      </c>
      <c r="L10" s="108">
        <f t="shared" si="4"/>
        <v>102564655.57299264</v>
      </c>
      <c r="M10" s="108">
        <f t="shared" si="5"/>
        <v>163325.68490742522</v>
      </c>
      <c r="N10" s="108">
        <f t="shared" si="6"/>
        <v>12500</v>
      </c>
      <c r="O10" s="108">
        <f t="shared" si="7"/>
        <v>175825.68490742522</v>
      </c>
      <c r="P10" s="108">
        <f t="shared" si="8"/>
        <v>70330.273962970095</v>
      </c>
      <c r="Q10" s="100">
        <f t="shared" si="9"/>
        <v>2.2333333333333333E-3</v>
      </c>
      <c r="R10" s="100">
        <f>20%</f>
        <v>0.2</v>
      </c>
      <c r="S10" s="108">
        <f t="shared" si="10"/>
        <v>45812.212822603375</v>
      </c>
      <c r="T10" s="108">
        <f t="shared" si="11"/>
        <v>364617.35056198883</v>
      </c>
      <c r="U10" s="108">
        <f t="shared" si="12"/>
        <v>5974.0334624092666</v>
      </c>
      <c r="V10" s="108">
        <f t="shared" si="13"/>
        <v>10327.20248366198</v>
      </c>
      <c r="W10" s="108">
        <f t="shared" si="14"/>
        <v>380918.58650806011</v>
      </c>
      <c r="X10" s="108">
        <f t="shared" si="15"/>
        <v>59683.198121851754</v>
      </c>
      <c r="Y10" s="108">
        <f t="shared" si="16"/>
        <v>16114.463492899975</v>
      </c>
      <c r="Z10" s="108">
        <f t="shared" si="17"/>
        <v>43568.734628951781</v>
      </c>
      <c r="AA10" s="108">
        <f t="shared" si="18"/>
        <v>4559.3667085248353</v>
      </c>
      <c r="AB10" s="108">
        <f t="shared" si="19"/>
        <v>39009.367920426943</v>
      </c>
      <c r="AC10" s="109">
        <f t="shared" si="20"/>
        <v>0.94390825211789409</v>
      </c>
      <c r="AD10" s="108">
        <f t="shared" si="21"/>
        <v>41124.888150602237</v>
      </c>
      <c r="AE10" s="108">
        <f t="shared" si="22"/>
        <v>359552.19719004183</v>
      </c>
      <c r="AF10" s="48">
        <f t="shared" si="23"/>
        <v>0.11437807492764568</v>
      </c>
      <c r="AG10" s="110"/>
    </row>
    <row r="11" spans="2:33" x14ac:dyDescent="0.4">
      <c r="B11" s="111" t="s">
        <v>84</v>
      </c>
      <c r="C11" s="140">
        <v>0.13750000000000001</v>
      </c>
      <c r="E11" s="107">
        <v>7</v>
      </c>
      <c r="F11" s="107">
        <v>1</v>
      </c>
      <c r="G11" s="141">
        <f t="shared" si="24"/>
        <v>97580606.912323445</v>
      </c>
      <c r="H11" s="141">
        <f t="shared" si="0"/>
        <v>1537668.1158701384</v>
      </c>
      <c r="I11" s="141">
        <f t="shared" si="1"/>
        <v>1118111.120870373</v>
      </c>
      <c r="J11" s="141">
        <f t="shared" si="2"/>
        <v>419556.99499976542</v>
      </c>
      <c r="K11" s="108">
        <f t="shared" si="3"/>
        <v>97161049.917323679</v>
      </c>
      <c r="L11" s="108">
        <f t="shared" si="4"/>
        <v>102130510.4199101</v>
      </c>
      <c r="M11" s="108">
        <f t="shared" si="5"/>
        <v>162634.34485387255</v>
      </c>
      <c r="N11" s="108">
        <f t="shared" si="6"/>
        <v>12500</v>
      </c>
      <c r="O11" s="108">
        <f t="shared" si="7"/>
        <v>175134.34485387255</v>
      </c>
      <c r="P11" s="108">
        <f t="shared" si="8"/>
        <v>70053.737941549029</v>
      </c>
      <c r="Q11" s="100">
        <f t="shared" si="9"/>
        <v>2.2333333333333333E-3</v>
      </c>
      <c r="R11" s="100">
        <f>20%</f>
        <v>0.2</v>
      </c>
      <c r="S11" s="108">
        <f t="shared" si="10"/>
        <v>45618.294654226513</v>
      </c>
      <c r="T11" s="108">
        <f t="shared" si="11"/>
        <v>363073.96454278042</v>
      </c>
      <c r="U11" s="108">
        <f t="shared" si="12"/>
        <v>5950.5437850279322</v>
      </c>
      <c r="V11" s="108">
        <f t="shared" si="13"/>
        <v>10286.596307596958</v>
      </c>
      <c r="W11" s="108">
        <f t="shared" si="14"/>
        <v>379311.1046354053</v>
      </c>
      <c r="X11" s="108">
        <f t="shared" si="15"/>
        <v>59462.312258097008</v>
      </c>
      <c r="Y11" s="108">
        <f t="shared" si="16"/>
        <v>16054.824309686193</v>
      </c>
      <c r="Z11" s="108">
        <f t="shared" si="17"/>
        <v>43407.487948410817</v>
      </c>
      <c r="AA11" s="108">
        <f t="shared" si="18"/>
        <v>4540.1261159301648</v>
      </c>
      <c r="AB11" s="108">
        <f t="shared" si="19"/>
        <v>38867.361832480652</v>
      </c>
      <c r="AC11" s="109">
        <f t="shared" si="20"/>
        <v>0.93487040884492822</v>
      </c>
      <c r="AD11" s="108">
        <f t="shared" si="21"/>
        <v>40580.376005262115</v>
      </c>
      <c r="AE11" s="108">
        <f t="shared" si="22"/>
        <v>354606.72746992268</v>
      </c>
      <c r="AF11" s="48">
        <f t="shared" si="23"/>
        <v>0.11443769353953978</v>
      </c>
      <c r="AG11" s="110"/>
    </row>
    <row r="12" spans="2:33" x14ac:dyDescent="0.4">
      <c r="E12" s="107">
        <v>8</v>
      </c>
      <c r="F12" s="107">
        <v>1</v>
      </c>
      <c r="G12" s="141">
        <f t="shared" si="24"/>
        <v>97161049.917323679</v>
      </c>
      <c r="H12" s="141">
        <f t="shared" si="0"/>
        <v>1537668.1158701384</v>
      </c>
      <c r="I12" s="141">
        <f t="shared" si="1"/>
        <v>1113303.6969693338</v>
      </c>
      <c r="J12" s="141">
        <f t="shared" si="2"/>
        <v>424364.41890080459</v>
      </c>
      <c r="K12" s="108">
        <f t="shared" si="3"/>
        <v>96736685.498422876</v>
      </c>
      <c r="L12" s="108">
        <f t="shared" si="4"/>
        <v>101691390.68694851</v>
      </c>
      <c r="M12" s="108">
        <f t="shared" si="5"/>
        <v>161935.0831955396</v>
      </c>
      <c r="N12" s="108">
        <f t="shared" si="6"/>
        <v>12500</v>
      </c>
      <c r="O12" s="108">
        <f t="shared" si="7"/>
        <v>174435.0831955396</v>
      </c>
      <c r="P12" s="108">
        <f t="shared" si="8"/>
        <v>69774.033278215837</v>
      </c>
      <c r="Q12" s="100">
        <f t="shared" si="9"/>
        <v>2.2333333333333333E-3</v>
      </c>
      <c r="R12" s="100">
        <f>20%</f>
        <v>0.2</v>
      </c>
      <c r="S12" s="108">
        <f t="shared" si="10"/>
        <v>45422.154506837003</v>
      </c>
      <c r="T12" s="108">
        <f t="shared" si="11"/>
        <v>361512.89389210194</v>
      </c>
      <c r="U12" s="108">
        <f t="shared" si="12"/>
        <v>5926.7849550932706</v>
      </c>
      <c r="V12" s="108">
        <f t="shared" si="13"/>
        <v>10245.52485243119</v>
      </c>
      <c r="W12" s="108">
        <f t="shared" si="14"/>
        <v>377685.20369962644</v>
      </c>
      <c r="X12" s="108">
        <f t="shared" si="15"/>
        <v>59238.895410486759</v>
      </c>
      <c r="Y12" s="108">
        <f t="shared" si="16"/>
        <v>15994.501760831427</v>
      </c>
      <c r="Z12" s="108">
        <f t="shared" si="17"/>
        <v>43244.393649655336</v>
      </c>
      <c r="AA12" s="108">
        <f t="shared" si="18"/>
        <v>4520.6650582120146</v>
      </c>
      <c r="AB12" s="108">
        <f t="shared" si="19"/>
        <v>38723.728591443323</v>
      </c>
      <c r="AC12" s="109">
        <f t="shared" si="20"/>
        <v>0.92591910217214912</v>
      </c>
      <c r="AD12" s="108">
        <f t="shared" si="21"/>
        <v>40040.810142067858</v>
      </c>
      <c r="AE12" s="108">
        <f t="shared" si="22"/>
        <v>349705.94471326336</v>
      </c>
      <c r="AF12" s="48">
        <f t="shared" si="23"/>
        <v>0.11449851152773161</v>
      </c>
      <c r="AG12" s="110"/>
    </row>
    <row r="13" spans="2:33" x14ac:dyDescent="0.4">
      <c r="B13" s="111" t="s">
        <v>85</v>
      </c>
      <c r="C13" s="142">
        <v>1250000</v>
      </c>
      <c r="E13" s="107">
        <v>9</v>
      </c>
      <c r="F13" s="107">
        <v>1</v>
      </c>
      <c r="G13" s="141">
        <f t="shared" si="24"/>
        <v>96736685.498422876</v>
      </c>
      <c r="H13" s="141">
        <f t="shared" si="0"/>
        <v>1537668.1158701384</v>
      </c>
      <c r="I13" s="141">
        <f t="shared" si="1"/>
        <v>1108441.1880027622</v>
      </c>
      <c r="J13" s="141">
        <f t="shared" si="2"/>
        <v>429226.92786737625</v>
      </c>
      <c r="K13" s="108">
        <f t="shared" si="3"/>
        <v>96307458.570555493</v>
      </c>
      <c r="L13" s="108">
        <f t="shared" si="4"/>
        <v>101247239.37371339</v>
      </c>
      <c r="M13" s="108">
        <f t="shared" si="5"/>
        <v>161227.80916403828</v>
      </c>
      <c r="N13" s="108">
        <f t="shared" si="6"/>
        <v>12500</v>
      </c>
      <c r="O13" s="108">
        <f t="shared" si="7"/>
        <v>173727.80916403828</v>
      </c>
      <c r="P13" s="108">
        <f t="shared" si="8"/>
        <v>69491.12366561532</v>
      </c>
      <c r="Q13" s="100">
        <f t="shared" si="9"/>
        <v>2.2333333333333333E-3</v>
      </c>
      <c r="R13" s="100">
        <f>20%</f>
        <v>0.2</v>
      </c>
      <c r="S13" s="108">
        <f t="shared" si="10"/>
        <v>45223.766920258648</v>
      </c>
      <c r="T13" s="108">
        <f t="shared" si="11"/>
        <v>359933.93597355107</v>
      </c>
      <c r="U13" s="108">
        <f t="shared" si="12"/>
        <v>5902.7538885656095</v>
      </c>
      <c r="V13" s="108">
        <f t="shared" si="13"/>
        <v>10203.982786841651</v>
      </c>
      <c r="W13" s="108">
        <f t="shared" si="14"/>
        <v>376040.67264895828</v>
      </c>
      <c r="X13" s="108">
        <f t="shared" si="15"/>
        <v>59012.91857816431</v>
      </c>
      <c r="Y13" s="108">
        <f t="shared" si="16"/>
        <v>15933.488016104364</v>
      </c>
      <c r="Z13" s="108">
        <f t="shared" si="17"/>
        <v>43079.430562059948</v>
      </c>
      <c r="AA13" s="108">
        <f t="shared" si="18"/>
        <v>4500.9810092075086</v>
      </c>
      <c r="AB13" s="108">
        <f t="shared" si="19"/>
        <v>38578.449552852442</v>
      </c>
      <c r="AC13" s="109">
        <f t="shared" si="20"/>
        <v>0.91705350351878334</v>
      </c>
      <c r="AD13" s="108">
        <f t="shared" si="21"/>
        <v>39506.142726531223</v>
      </c>
      <c r="AE13" s="108">
        <f t="shared" si="22"/>
        <v>344849.41631828714</v>
      </c>
      <c r="AF13" s="48">
        <f t="shared" si="23"/>
        <v>0.11456056138447418</v>
      </c>
      <c r="AG13" s="110"/>
    </row>
    <row r="14" spans="2:33" x14ac:dyDescent="0.4">
      <c r="B14" s="111" t="s">
        <v>86</v>
      </c>
      <c r="C14" s="142">
        <v>12500</v>
      </c>
      <c r="E14" s="107">
        <v>10</v>
      </c>
      <c r="F14" s="107">
        <v>1</v>
      </c>
      <c r="G14" s="141">
        <f t="shared" si="24"/>
        <v>96307458.570555493</v>
      </c>
      <c r="H14" s="141">
        <f t="shared" si="0"/>
        <v>1537668.1158701384</v>
      </c>
      <c r="I14" s="141">
        <f t="shared" si="1"/>
        <v>1103522.9627876151</v>
      </c>
      <c r="J14" s="141">
        <f t="shared" si="2"/>
        <v>434145.15308252326</v>
      </c>
      <c r="K14" s="108">
        <f t="shared" si="3"/>
        <v>95873313.417472973</v>
      </c>
      <c r="L14" s="108">
        <f t="shared" si="4"/>
        <v>100797998.82668079</v>
      </c>
      <c r="M14" s="108">
        <f t="shared" si="5"/>
        <v>160512.43095092595</v>
      </c>
      <c r="N14" s="108">
        <f t="shared" si="6"/>
        <v>12500</v>
      </c>
      <c r="O14" s="108">
        <f t="shared" si="7"/>
        <v>173012.43095092595</v>
      </c>
      <c r="P14" s="108">
        <f t="shared" si="8"/>
        <v>69204.972380370382</v>
      </c>
      <c r="Q14" s="100">
        <f t="shared" si="9"/>
        <v>2.2333333333333333E-3</v>
      </c>
      <c r="R14" s="100">
        <f>20%</f>
        <v>0.2</v>
      </c>
      <c r="S14" s="108">
        <f t="shared" si="10"/>
        <v>45023.106142584089</v>
      </c>
      <c r="T14" s="108">
        <f t="shared" si="11"/>
        <v>358336.88582885021</v>
      </c>
      <c r="U14" s="108">
        <f t="shared" si="12"/>
        <v>5878.4474660673168</v>
      </c>
      <c r="V14" s="108">
        <f t="shared" si="13"/>
        <v>10161.964718417226</v>
      </c>
      <c r="W14" s="108">
        <f t="shared" si="14"/>
        <v>374377.29801333474</v>
      </c>
      <c r="X14" s="108">
        <f t="shared" si="15"/>
        <v>58784.352427971477</v>
      </c>
      <c r="Y14" s="108">
        <f t="shared" si="16"/>
        <v>15871.775155552299</v>
      </c>
      <c r="Z14" s="108">
        <f t="shared" si="17"/>
        <v>42912.577272419177</v>
      </c>
      <c r="AA14" s="108">
        <f t="shared" si="18"/>
        <v>4481.0714138081621</v>
      </c>
      <c r="AB14" s="108">
        <f t="shared" si="19"/>
        <v>38431.505858611017</v>
      </c>
      <c r="AC14" s="109">
        <f t="shared" si="20"/>
        <v>0.90827279223764934</v>
      </c>
      <c r="AD14" s="108">
        <f t="shared" si="21"/>
        <v>38976.32638133406</v>
      </c>
      <c r="AE14" s="108">
        <f t="shared" si="22"/>
        <v>340036.71381695813</v>
      </c>
      <c r="AF14" s="48">
        <f t="shared" si="23"/>
        <v>0.11462387676853926</v>
      </c>
      <c r="AG14" s="110"/>
    </row>
    <row r="15" spans="2:33" x14ac:dyDescent="0.4">
      <c r="E15" s="107">
        <v>11</v>
      </c>
      <c r="F15" s="107">
        <v>1</v>
      </c>
      <c r="G15" s="141">
        <f t="shared" si="24"/>
        <v>95873313.417472973</v>
      </c>
      <c r="H15" s="141">
        <f t="shared" si="0"/>
        <v>1537668.1158701384</v>
      </c>
      <c r="I15" s="141">
        <f t="shared" si="1"/>
        <v>1098548.3829085445</v>
      </c>
      <c r="J15" s="141">
        <f t="shared" si="2"/>
        <v>439119.73296159389</v>
      </c>
      <c r="K15" s="108">
        <f t="shared" si="3"/>
        <v>95434193.684511378</v>
      </c>
      <c r="L15" s="108">
        <f t="shared" si="4"/>
        <v>100343610.73171344</v>
      </c>
      <c r="M15" s="108">
        <f t="shared" si="5"/>
        <v>159788.85569578843</v>
      </c>
      <c r="N15" s="108">
        <f t="shared" si="6"/>
        <v>12500</v>
      </c>
      <c r="O15" s="108">
        <f t="shared" si="7"/>
        <v>172288.85569578843</v>
      </c>
      <c r="P15" s="108">
        <f t="shared" si="8"/>
        <v>68915.542278315377</v>
      </c>
      <c r="Q15" s="100">
        <f t="shared" si="9"/>
        <v>2.2333333333333333E-3</v>
      </c>
      <c r="R15" s="100">
        <f>20%</f>
        <v>0.2</v>
      </c>
      <c r="S15" s="108">
        <f t="shared" si="10"/>
        <v>44820.146126832005</v>
      </c>
      <c r="T15" s="108">
        <f t="shared" si="11"/>
        <v>356721.53615124128</v>
      </c>
      <c r="U15" s="108">
        <f t="shared" si="12"/>
        <v>5853.8625324778995</v>
      </c>
      <c r="V15" s="108">
        <f t="shared" si="13"/>
        <v>10119.465192958776</v>
      </c>
      <c r="W15" s="108">
        <f t="shared" si="14"/>
        <v>372694.86387667793</v>
      </c>
      <c r="X15" s="108">
        <f t="shared" si="15"/>
        <v>58553.167290641046</v>
      </c>
      <c r="Y15" s="108">
        <f t="shared" si="16"/>
        <v>15809.355168473083</v>
      </c>
      <c r="Z15" s="108">
        <f t="shared" si="17"/>
        <v>42743.812122167961</v>
      </c>
      <c r="AA15" s="108">
        <f t="shared" si="18"/>
        <v>4460.9336876281959</v>
      </c>
      <c r="AB15" s="108">
        <f t="shared" si="19"/>
        <v>38282.878434539765</v>
      </c>
      <c r="AC15" s="109">
        <f t="shared" si="20"/>
        <v>0.89957615553919423</v>
      </c>
      <c r="AD15" s="108">
        <f t="shared" si="21"/>
        <v>38451.314181949463</v>
      </c>
      <c r="AE15" s="108">
        <f t="shared" si="22"/>
        <v>335267.41283538524</v>
      </c>
      <c r="AF15" s="48">
        <f t="shared" si="23"/>
        <v>0.11468849255811474</v>
      </c>
      <c r="AG15" s="110"/>
    </row>
    <row r="16" spans="2:33" x14ac:dyDescent="0.4">
      <c r="B16" s="106" t="s">
        <v>87</v>
      </c>
      <c r="C16" s="106"/>
      <c r="E16" s="107">
        <v>12</v>
      </c>
      <c r="F16" s="107">
        <v>1</v>
      </c>
      <c r="G16" s="141">
        <f t="shared" si="24"/>
        <v>95434193.684511378</v>
      </c>
      <c r="H16" s="141">
        <f t="shared" si="0"/>
        <v>1537668.1158701384</v>
      </c>
      <c r="I16" s="141">
        <f t="shared" si="1"/>
        <v>1093516.8026350264</v>
      </c>
      <c r="J16" s="141">
        <f t="shared" si="2"/>
        <v>444151.313235112</v>
      </c>
      <c r="K16" s="108">
        <f t="shared" si="3"/>
        <v>94990042.371276259</v>
      </c>
      <c r="L16" s="108">
        <f t="shared" si="4"/>
        <v>99884016.106491268</v>
      </c>
      <c r="M16" s="108">
        <f t="shared" si="5"/>
        <v>159056.98947418577</v>
      </c>
      <c r="N16" s="108">
        <f t="shared" si="6"/>
        <v>12500</v>
      </c>
      <c r="O16" s="108">
        <f t="shared" si="7"/>
        <v>171556.98947418577</v>
      </c>
      <c r="P16" s="108">
        <f t="shared" si="8"/>
        <v>68622.795789674317</v>
      </c>
      <c r="Q16" s="100">
        <f t="shared" si="9"/>
        <v>2.2333333333333333E-3</v>
      </c>
      <c r="R16" s="100">
        <f>20%</f>
        <v>0.2</v>
      </c>
      <c r="S16" s="108">
        <f t="shared" si="10"/>
        <v>44614.860527566096</v>
      </c>
      <c r="T16" s="108">
        <f t="shared" si="11"/>
        <v>355087.67725857638</v>
      </c>
      <c r="U16" s="108">
        <f t="shared" si="12"/>
        <v>5828.9958965244359</v>
      </c>
      <c r="V16" s="108">
        <f t="shared" si="13"/>
        <v>10076.478693771114</v>
      </c>
      <c r="W16" s="108">
        <f t="shared" si="14"/>
        <v>370993.15184887196</v>
      </c>
      <c r="X16" s="108">
        <f t="shared" si="15"/>
        <v>58319.333156945358</v>
      </c>
      <c r="Y16" s="108">
        <f t="shared" si="16"/>
        <v>15746.219952375248</v>
      </c>
      <c r="Z16" s="108">
        <f t="shared" si="17"/>
        <v>42573.113204570109</v>
      </c>
      <c r="AA16" s="108">
        <f t="shared" si="18"/>
        <v>4440.5652166690861</v>
      </c>
      <c r="AB16" s="108">
        <f t="shared" si="19"/>
        <v>38132.547987901024</v>
      </c>
      <c r="AC16" s="109">
        <f t="shared" si="20"/>
        <v>0.89096278841625787</v>
      </c>
      <c r="AD16" s="108">
        <f t="shared" si="21"/>
        <v>37931.059652304793</v>
      </c>
      <c r="AE16" s="108">
        <f t="shared" si="22"/>
        <v>330541.09305460716</v>
      </c>
      <c r="AF16" s="48">
        <f t="shared" si="23"/>
        <v>0.11475444490660766</v>
      </c>
      <c r="AG16" s="110"/>
    </row>
    <row r="17" spans="2:33" x14ac:dyDescent="0.4">
      <c r="E17" s="107">
        <v>13</v>
      </c>
      <c r="F17" s="107">
        <v>2</v>
      </c>
      <c r="G17" s="141">
        <f t="shared" si="24"/>
        <v>94990042.371276259</v>
      </c>
      <c r="H17" s="141">
        <f t="shared" si="0"/>
        <v>1537668.1158701384</v>
      </c>
      <c r="I17" s="141">
        <f t="shared" si="1"/>
        <v>1088427.5688375405</v>
      </c>
      <c r="J17" s="141">
        <f t="shared" si="2"/>
        <v>449240.54703259794</v>
      </c>
      <c r="K17" s="108">
        <f t="shared" si="3"/>
        <v>94540801.824243665</v>
      </c>
      <c r="L17" s="108">
        <f t="shared" si="4"/>
        <v>99419155.292855069</v>
      </c>
      <c r="M17" s="108">
        <f t="shared" si="5"/>
        <v>158316.73728546058</v>
      </c>
      <c r="N17" s="108">
        <f t="shared" si="6"/>
        <v>12500</v>
      </c>
      <c r="O17" s="108">
        <f t="shared" si="7"/>
        <v>170816.73728546058</v>
      </c>
      <c r="P17" s="108">
        <f t="shared" si="8"/>
        <v>68326.694914184234</v>
      </c>
      <c r="Q17" s="100">
        <f t="shared" si="9"/>
        <v>2.2333333333333333E-3</v>
      </c>
      <c r="R17" s="100">
        <f>20%</f>
        <v>0.2</v>
      </c>
      <c r="S17" s="108">
        <f t="shared" si="10"/>
        <v>44407.222697475263</v>
      </c>
      <c r="T17" s="108">
        <f t="shared" si="11"/>
        <v>353435.09706609976</v>
      </c>
      <c r="U17" s="108">
        <f t="shared" si="12"/>
        <v>5803.8443303673384</v>
      </c>
      <c r="V17" s="108">
        <f t="shared" si="13"/>
        <v>10032.999640946926</v>
      </c>
      <c r="W17" s="108">
        <f t="shared" si="14"/>
        <v>369271.94103741401</v>
      </c>
      <c r="X17" s="108">
        <f t="shared" si="15"/>
        <v>58082.819673801081</v>
      </c>
      <c r="Y17" s="108">
        <f t="shared" si="16"/>
        <v>15682.361311926294</v>
      </c>
      <c r="Z17" s="108">
        <f t="shared" si="17"/>
        <v>42400.458361874786</v>
      </c>
      <c r="AA17" s="108">
        <f t="shared" si="18"/>
        <v>4419.9633569802354</v>
      </c>
      <c r="AB17" s="108">
        <f t="shared" si="19"/>
        <v>37980.495004894547</v>
      </c>
      <c r="AC17" s="109">
        <f t="shared" si="20"/>
        <v>0.88243189356955709</v>
      </c>
      <c r="AD17" s="108">
        <f t="shared" si="21"/>
        <v>37415.516760486331</v>
      </c>
      <c r="AE17" s="108">
        <f t="shared" si="22"/>
        <v>325857.33817175106</v>
      </c>
      <c r="AF17" s="48">
        <f t="shared" si="23"/>
        <v>0.1148217713015429</v>
      </c>
      <c r="AG17" s="110"/>
    </row>
    <row r="18" spans="2:33" x14ac:dyDescent="0.4">
      <c r="B18" s="111" t="s">
        <v>88</v>
      </c>
      <c r="C18" s="112"/>
      <c r="E18" s="107">
        <v>14</v>
      </c>
      <c r="F18" s="107">
        <v>2</v>
      </c>
      <c r="G18" s="141">
        <f t="shared" si="24"/>
        <v>94540801.824243665</v>
      </c>
      <c r="H18" s="141">
        <f t="shared" si="0"/>
        <v>1537668.1158701384</v>
      </c>
      <c r="I18" s="141">
        <f t="shared" si="1"/>
        <v>1083280.020902792</v>
      </c>
      <c r="J18" s="141">
        <f t="shared" si="2"/>
        <v>454388.09496734641</v>
      </c>
      <c r="K18" s="108">
        <f t="shared" si="3"/>
        <v>94086413.729276314</v>
      </c>
      <c r="L18" s="108">
        <f t="shared" si="4"/>
        <v>98948967.949062645</v>
      </c>
      <c r="M18" s="108">
        <f t="shared" si="5"/>
        <v>157568.00304040624</v>
      </c>
      <c r="N18" s="108">
        <f t="shared" si="6"/>
        <v>12500</v>
      </c>
      <c r="O18" s="108">
        <f t="shared" si="7"/>
        <v>170068.00304040624</v>
      </c>
      <c r="P18" s="108">
        <f t="shared" si="8"/>
        <v>68027.201216162503</v>
      </c>
      <c r="Q18" s="100">
        <f t="shared" si="9"/>
        <v>2.2333333333333333E-3</v>
      </c>
      <c r="R18" s="100">
        <f>20%</f>
        <v>0.2</v>
      </c>
      <c r="S18" s="108">
        <f t="shared" si="10"/>
        <v>44197.205683914646</v>
      </c>
      <c r="T18" s="108">
        <f t="shared" si="11"/>
        <v>351763.58105891768</v>
      </c>
      <c r="U18" s="108">
        <f t="shared" si="12"/>
        <v>5778.4045691813581</v>
      </c>
      <c r="V18" s="108">
        <f t="shared" si="13"/>
        <v>9989.0223906424599</v>
      </c>
      <c r="W18" s="108">
        <f t="shared" si="14"/>
        <v>367531.0080187415</v>
      </c>
      <c r="X18" s="108">
        <f t="shared" si="15"/>
        <v>57843.596140329093</v>
      </c>
      <c r="Y18" s="108">
        <f t="shared" si="16"/>
        <v>15617.770957888855</v>
      </c>
      <c r="Z18" s="108">
        <f t="shared" si="17"/>
        <v>42225.82518244024</v>
      </c>
      <c r="AA18" s="108">
        <f t="shared" si="18"/>
        <v>4399.1254343157834</v>
      </c>
      <c r="AB18" s="108">
        <f t="shared" si="19"/>
        <v>37826.699748124454</v>
      </c>
      <c r="AC18" s="109">
        <f t="shared" si="20"/>
        <v>0.87398268133388302</v>
      </c>
      <c r="AD18" s="108">
        <f t="shared" si="21"/>
        <v>36904.63991448492</v>
      </c>
      <c r="AE18" s="108">
        <f t="shared" si="22"/>
        <v>321215.73586156458</v>
      </c>
      <c r="AF18" s="48">
        <f t="shared" si="23"/>
        <v>0.11489051062675784</v>
      </c>
      <c r="AG18" s="110"/>
    </row>
    <row r="19" spans="2:33" x14ac:dyDescent="0.4">
      <c r="E19" s="107">
        <v>15</v>
      </c>
      <c r="F19" s="107">
        <v>2</v>
      </c>
      <c r="G19" s="141">
        <f t="shared" si="24"/>
        <v>94086413.729276314</v>
      </c>
      <c r="H19" s="141">
        <f t="shared" si="0"/>
        <v>1537668.1158701384</v>
      </c>
      <c r="I19" s="141">
        <f t="shared" si="1"/>
        <v>1078073.4906479579</v>
      </c>
      <c r="J19" s="141">
        <f t="shared" si="2"/>
        <v>459594.6252221805</v>
      </c>
      <c r="K19" s="108">
        <f t="shared" si="3"/>
        <v>93626819.104054138</v>
      </c>
      <c r="L19" s="108">
        <f t="shared" si="4"/>
        <v>98473393.041955918</v>
      </c>
      <c r="M19" s="108">
        <f t="shared" si="5"/>
        <v>156810.68954879401</v>
      </c>
      <c r="N19" s="108">
        <f t="shared" si="6"/>
        <v>12500</v>
      </c>
      <c r="O19" s="108">
        <f t="shared" si="7"/>
        <v>169310.68954879401</v>
      </c>
      <c r="P19" s="108">
        <f t="shared" si="8"/>
        <v>67724.275819517599</v>
      </c>
      <c r="Q19" s="100">
        <f t="shared" si="9"/>
        <v>2.2333333333333333E-3</v>
      </c>
      <c r="R19" s="100">
        <f>20%</f>
        <v>0.2</v>
      </c>
      <c r="S19" s="108">
        <f t="shared" si="10"/>
        <v>43984.782225406976</v>
      </c>
      <c r="T19" s="108">
        <f t="shared" si="11"/>
        <v>350072.91226415324</v>
      </c>
      <c r="U19" s="108">
        <f t="shared" si="12"/>
        <v>5752.6733107317887</v>
      </c>
      <c r="V19" s="108">
        <f t="shared" si="13"/>
        <v>9944.5412343449243</v>
      </c>
      <c r="W19" s="108">
        <f t="shared" si="14"/>
        <v>365770.12680922996</v>
      </c>
      <c r="X19" s="108">
        <f t="shared" si="15"/>
        <v>57601.63150386943</v>
      </c>
      <c r="Y19" s="108">
        <f t="shared" si="16"/>
        <v>15552.440506044748</v>
      </c>
      <c r="Z19" s="108">
        <f t="shared" si="17"/>
        <v>42049.190997824684</v>
      </c>
      <c r="AA19" s="108">
        <f t="shared" si="18"/>
        <v>4378.0487437874681</v>
      </c>
      <c r="AB19" s="108">
        <f t="shared" si="19"/>
        <v>37671.142254037215</v>
      </c>
      <c r="AC19" s="109">
        <f t="shared" si="20"/>
        <v>0.86561436960500604</v>
      </c>
      <c r="AD19" s="108">
        <f t="shared" si="21"/>
        <v>36398.383957982507</v>
      </c>
      <c r="AE19" s="108">
        <f t="shared" si="22"/>
        <v>316615.87773831468</v>
      </c>
      <c r="AF19" s="48">
        <f t="shared" si="23"/>
        <v>0.11496070322811175</v>
      </c>
      <c r="AG19" s="110"/>
    </row>
    <row r="20" spans="2:33" x14ac:dyDescent="0.4">
      <c r="B20" s="106" t="s">
        <v>89</v>
      </c>
      <c r="C20" s="106"/>
      <c r="E20" s="107">
        <v>16</v>
      </c>
      <c r="F20" s="107">
        <v>2</v>
      </c>
      <c r="G20" s="141">
        <f t="shared" si="24"/>
        <v>93626819.104054138</v>
      </c>
      <c r="H20" s="141">
        <f t="shared" si="0"/>
        <v>1537668.1158701384</v>
      </c>
      <c r="I20" s="141">
        <f t="shared" si="1"/>
        <v>1072807.3022339537</v>
      </c>
      <c r="J20" s="141">
        <f t="shared" si="2"/>
        <v>464860.81363618467</v>
      </c>
      <c r="K20" s="108">
        <f t="shared" si="3"/>
        <v>93161958.290417954</v>
      </c>
      <c r="L20" s="108">
        <f t="shared" si="4"/>
        <v>97992368.83903861</v>
      </c>
      <c r="M20" s="108">
        <f t="shared" si="5"/>
        <v>156044.69850675703</v>
      </c>
      <c r="N20" s="108">
        <f t="shared" si="6"/>
        <v>12500</v>
      </c>
      <c r="O20" s="108">
        <f t="shared" si="7"/>
        <v>168544.69850675703</v>
      </c>
      <c r="P20" s="108">
        <f t="shared" si="8"/>
        <v>67417.87940270282</v>
      </c>
      <c r="Q20" s="100">
        <f t="shared" si="9"/>
        <v>2.2333333333333333E-3</v>
      </c>
      <c r="R20" s="100">
        <f>20%</f>
        <v>0.2</v>
      </c>
      <c r="S20" s="108">
        <f t="shared" si="10"/>
        <v>43769.924748103913</v>
      </c>
      <c r="T20" s="108">
        <f t="shared" si="11"/>
        <v>348362.87122278224</v>
      </c>
      <c r="U20" s="108">
        <f t="shared" si="12"/>
        <v>5726.6472149458177</v>
      </c>
      <c r="V20" s="108">
        <f t="shared" si="13"/>
        <v>9899.5503981314778</v>
      </c>
      <c r="W20" s="108">
        <f t="shared" si="14"/>
        <v>363989.06883585954</v>
      </c>
      <c r="X20" s="108">
        <f t="shared" si="15"/>
        <v>57356.894355950302</v>
      </c>
      <c r="Y20" s="108">
        <f t="shared" si="16"/>
        <v>15486.361476106582</v>
      </c>
      <c r="Z20" s="108">
        <f t="shared" si="17"/>
        <v>41870.532879843719</v>
      </c>
      <c r="AA20" s="108">
        <f t="shared" si="18"/>
        <v>4356.7305495135161</v>
      </c>
      <c r="AB20" s="108">
        <f t="shared" si="19"/>
        <v>37513.802330330203</v>
      </c>
      <c r="AC20" s="109">
        <f t="shared" si="20"/>
        <v>0.85732618376727865</v>
      </c>
      <c r="AD20" s="108">
        <f t="shared" si="21"/>
        <v>35896.704166178781</v>
      </c>
      <c r="AE20" s="108">
        <f t="shared" si="22"/>
        <v>312057.35931805277</v>
      </c>
      <c r="AF20" s="48">
        <f t="shared" si="23"/>
        <v>0.11503239098294236</v>
      </c>
      <c r="AG20" s="110"/>
    </row>
    <row r="21" spans="2:33" x14ac:dyDescent="0.4">
      <c r="E21" s="107">
        <v>17</v>
      </c>
      <c r="F21" s="107">
        <v>2</v>
      </c>
      <c r="G21" s="141">
        <f t="shared" si="24"/>
        <v>93161958.290417954</v>
      </c>
      <c r="H21" s="141">
        <f t="shared" si="0"/>
        <v>1537668.1158701384</v>
      </c>
      <c r="I21" s="141">
        <f t="shared" si="1"/>
        <v>1067480.7720777057</v>
      </c>
      <c r="J21" s="141">
        <f t="shared" si="2"/>
        <v>470187.34379243269</v>
      </c>
      <c r="K21" s="108">
        <f t="shared" si="3"/>
        <v>92691770.946625516</v>
      </c>
      <c r="L21" s="108">
        <f t="shared" si="4"/>
        <v>97505832.900462866</v>
      </c>
      <c r="M21" s="108">
        <f t="shared" si="5"/>
        <v>155269.93048403008</v>
      </c>
      <c r="N21" s="108">
        <f t="shared" si="6"/>
        <v>12500</v>
      </c>
      <c r="O21" s="108">
        <f t="shared" si="7"/>
        <v>167769.93048403008</v>
      </c>
      <c r="P21" s="108">
        <f t="shared" si="8"/>
        <v>67107.972193612033</v>
      </c>
      <c r="Q21" s="100">
        <f t="shared" si="9"/>
        <v>2.2333333333333333E-3</v>
      </c>
      <c r="R21" s="100">
        <f>20%</f>
        <v>0.2</v>
      </c>
      <c r="S21" s="108">
        <f t="shared" si="10"/>
        <v>43552.605362206748</v>
      </c>
      <c r="T21" s="108">
        <f t="shared" si="11"/>
        <v>346633.23596114543</v>
      </c>
      <c r="U21" s="108">
        <f t="shared" si="12"/>
        <v>5700.3229034789665</v>
      </c>
      <c r="V21" s="108">
        <f t="shared" si="13"/>
        <v>9854.044041919753</v>
      </c>
      <c r="W21" s="108">
        <f t="shared" si="14"/>
        <v>362187.60290654417</v>
      </c>
      <c r="X21" s="108">
        <f t="shared" si="15"/>
        <v>57109.352928211294</v>
      </c>
      <c r="Y21" s="108">
        <f t="shared" si="16"/>
        <v>15419.52529061705</v>
      </c>
      <c r="Z21" s="108">
        <f t="shared" si="17"/>
        <v>41689.827637594244</v>
      </c>
      <c r="AA21" s="108">
        <f t="shared" si="18"/>
        <v>4335.1680842635087</v>
      </c>
      <c r="AB21" s="108">
        <f t="shared" si="19"/>
        <v>37354.659553330734</v>
      </c>
      <c r="AC21" s="109">
        <f t="shared" si="20"/>
        <v>0.84911735662193566</v>
      </c>
      <c r="AD21" s="108">
        <f t="shared" si="21"/>
        <v>35399.556241658138</v>
      </c>
      <c r="AE21" s="108">
        <f t="shared" si="22"/>
        <v>307539.77998124011</v>
      </c>
      <c r="AF21" s="48">
        <f t="shared" si="23"/>
        <v>0.11510561737352323</v>
      </c>
      <c r="AG21" s="110"/>
    </row>
    <row r="22" spans="2:33" x14ac:dyDescent="0.4">
      <c r="B22" s="113" t="s">
        <v>14</v>
      </c>
      <c r="C22" s="114">
        <v>4.4999999999999998E-2</v>
      </c>
      <c r="E22" s="107">
        <v>18</v>
      </c>
      <c r="F22" s="107">
        <v>2</v>
      </c>
      <c r="G22" s="141">
        <f t="shared" si="24"/>
        <v>92691770.946625516</v>
      </c>
      <c r="H22" s="141">
        <f t="shared" si="0"/>
        <v>1537668.1158701384</v>
      </c>
      <c r="I22" s="141">
        <f t="shared" si="1"/>
        <v>1062093.2087634176</v>
      </c>
      <c r="J22" s="141">
        <f t="shared" si="2"/>
        <v>475574.90710672084</v>
      </c>
      <c r="K22" s="108">
        <f t="shared" si="3"/>
        <v>92216196.039518788</v>
      </c>
      <c r="L22" s="108">
        <f t="shared" si="4"/>
        <v>97013722.070924267</v>
      </c>
      <c r="M22" s="108">
        <f t="shared" si="5"/>
        <v>154486.28491104266</v>
      </c>
      <c r="N22" s="108">
        <f t="shared" si="6"/>
        <v>12500</v>
      </c>
      <c r="O22" s="108">
        <f t="shared" si="7"/>
        <v>166986.28491104266</v>
      </c>
      <c r="P22" s="108">
        <f t="shared" si="8"/>
        <v>66794.51396441707</v>
      </c>
      <c r="Q22" s="100">
        <f t="shared" si="9"/>
        <v>2.2333333333333333E-3</v>
      </c>
      <c r="R22" s="100">
        <f>20%</f>
        <v>0.2</v>
      </c>
      <c r="S22" s="108">
        <f t="shared" si="10"/>
        <v>43332.795858346173</v>
      </c>
      <c r="T22" s="108">
        <f t="shared" si="11"/>
        <v>344883.78196213575</v>
      </c>
      <c r="U22" s="108">
        <f t="shared" si="12"/>
        <v>5673.6969592765563</v>
      </c>
      <c r="V22" s="108">
        <f t="shared" si="13"/>
        <v>9808.0162587097657</v>
      </c>
      <c r="W22" s="108">
        <f t="shared" si="14"/>
        <v>360365.49518012209</v>
      </c>
      <c r="X22" s="108">
        <f t="shared" si="15"/>
        <v>56858.975088279418</v>
      </c>
      <c r="Y22" s="108">
        <f t="shared" si="16"/>
        <v>15351.923273835444</v>
      </c>
      <c r="Z22" s="108">
        <f t="shared" si="17"/>
        <v>41507.05181444397</v>
      </c>
      <c r="AA22" s="108">
        <f t="shared" si="18"/>
        <v>4313.3585490991773</v>
      </c>
      <c r="AB22" s="108">
        <f t="shared" si="19"/>
        <v>37193.693265344795</v>
      </c>
      <c r="AC22" s="109">
        <f t="shared" si="20"/>
        <v>0.84098712831607514</v>
      </c>
      <c r="AD22" s="108">
        <f t="shared" si="21"/>
        <v>34906.896310295771</v>
      </c>
      <c r="AE22" s="108">
        <f t="shared" si="22"/>
        <v>303062.74293573131</v>
      </c>
      <c r="AF22" s="48">
        <f t="shared" si="23"/>
        <v>0.11518042756479066</v>
      </c>
      <c r="AG22" s="110"/>
    </row>
    <row r="23" spans="2:33" x14ac:dyDescent="0.4">
      <c r="B23" s="113" t="s">
        <v>17</v>
      </c>
      <c r="C23" s="48">
        <v>3.3977023695682923E-2</v>
      </c>
      <c r="E23" s="107">
        <v>19</v>
      </c>
      <c r="F23" s="107">
        <v>2</v>
      </c>
      <c r="G23" s="141">
        <f t="shared" si="24"/>
        <v>92216196.039518788</v>
      </c>
      <c r="H23" s="141">
        <f t="shared" si="0"/>
        <v>1537668.1158701384</v>
      </c>
      <c r="I23" s="141">
        <f t="shared" si="1"/>
        <v>1056643.9129528196</v>
      </c>
      <c r="J23" s="141">
        <f t="shared" si="2"/>
        <v>481024.20291731879</v>
      </c>
      <c r="K23" s="108">
        <f t="shared" si="3"/>
        <v>91735171.836601466</v>
      </c>
      <c r="L23" s="108">
        <f t="shared" si="4"/>
        <v>96515972.471463859</v>
      </c>
      <c r="M23" s="108">
        <f t="shared" si="5"/>
        <v>153693.66006586477</v>
      </c>
      <c r="N23" s="108">
        <f t="shared" si="6"/>
        <v>12500</v>
      </c>
      <c r="O23" s="108">
        <f t="shared" si="7"/>
        <v>166193.66006586477</v>
      </c>
      <c r="P23" s="108">
        <f t="shared" si="8"/>
        <v>66477.464026345915</v>
      </c>
      <c r="Q23" s="100">
        <f t="shared" si="9"/>
        <v>2.2333333333333333E-3</v>
      </c>
      <c r="R23" s="100">
        <f>20%</f>
        <v>0.2</v>
      </c>
      <c r="S23" s="108">
        <f t="shared" si="10"/>
        <v>43110.46770392052</v>
      </c>
      <c r="T23" s="108">
        <f t="shared" si="11"/>
        <v>343114.28213605395</v>
      </c>
      <c r="U23" s="108">
        <f t="shared" si="12"/>
        <v>5646.7659261301596</v>
      </c>
      <c r="V23" s="108">
        <f t="shared" si="13"/>
        <v>9761.461073817165</v>
      </c>
      <c r="W23" s="108">
        <f t="shared" si="14"/>
        <v>358522.50913600129</v>
      </c>
      <c r="X23" s="108">
        <f t="shared" si="15"/>
        <v>56605.728335598331</v>
      </c>
      <c r="Y23" s="108">
        <f t="shared" si="16"/>
        <v>15283.54665061155</v>
      </c>
      <c r="Z23" s="108">
        <f t="shared" si="17"/>
        <v>41322.181684986783</v>
      </c>
      <c r="AA23" s="108">
        <f t="shared" si="18"/>
        <v>4291.2991130110877</v>
      </c>
      <c r="AB23" s="108">
        <f t="shared" si="19"/>
        <v>37030.882571975693</v>
      </c>
      <c r="AC23" s="109">
        <f t="shared" si="20"/>
        <v>0.83293474627232422</v>
      </c>
      <c r="AD23" s="108">
        <f t="shared" si="21"/>
        <v>34418.680917203346</v>
      </c>
      <c r="AE23" s="108">
        <f t="shared" si="22"/>
        <v>298625.8551801123</v>
      </c>
      <c r="AF23" s="48">
        <f t="shared" si="23"/>
        <v>0.1152568684866358</v>
      </c>
      <c r="AG23" s="110"/>
    </row>
    <row r="24" spans="2:33" x14ac:dyDescent="0.4">
      <c r="B24" s="113" t="s">
        <v>20</v>
      </c>
      <c r="C24" s="48">
        <v>5.873546000460287E-2</v>
      </c>
      <c r="E24" s="107">
        <v>20</v>
      </c>
      <c r="F24" s="107">
        <v>2</v>
      </c>
      <c r="G24" s="141">
        <f t="shared" si="24"/>
        <v>91735171.836601466</v>
      </c>
      <c r="H24" s="141">
        <f t="shared" si="0"/>
        <v>1537668.1158701384</v>
      </c>
      <c r="I24" s="141">
        <f t="shared" si="1"/>
        <v>1051132.1772943919</v>
      </c>
      <c r="J24" s="141">
        <f t="shared" si="2"/>
        <v>486535.93857574649</v>
      </c>
      <c r="K24" s="108">
        <f t="shared" si="3"/>
        <v>91248635.898025721</v>
      </c>
      <c r="L24" s="108">
        <f t="shared" si="4"/>
        <v>96012519.491176322</v>
      </c>
      <c r="M24" s="108">
        <f t="shared" si="5"/>
        <v>152891.95306100257</v>
      </c>
      <c r="N24" s="108">
        <f t="shared" si="6"/>
        <v>12500</v>
      </c>
      <c r="O24" s="108">
        <f t="shared" si="7"/>
        <v>165391.95306100257</v>
      </c>
      <c r="P24" s="108">
        <f t="shared" si="8"/>
        <v>66156.781224401027</v>
      </c>
      <c r="Q24" s="100">
        <f t="shared" si="9"/>
        <v>2.2333333333333333E-3</v>
      </c>
      <c r="R24" s="100">
        <f>20%</f>
        <v>0.2</v>
      </c>
      <c r="S24" s="108">
        <f t="shared" si="10"/>
        <v>42885.59203939209</v>
      </c>
      <c r="T24" s="108">
        <f t="shared" si="11"/>
        <v>341324.5067911318</v>
      </c>
      <c r="U24" s="108">
        <f t="shared" si="12"/>
        <v>5619.5263082289621</v>
      </c>
      <c r="V24" s="108">
        <f t="shared" si="13"/>
        <v>9714.3724440976712</v>
      </c>
      <c r="W24" s="108">
        <f t="shared" si="14"/>
        <v>356658.40554345842</v>
      </c>
      <c r="X24" s="108">
        <f t="shared" si="15"/>
        <v>56349.579797209451</v>
      </c>
      <c r="Y24" s="108">
        <f t="shared" si="16"/>
        <v>15214.386545246552</v>
      </c>
      <c r="Z24" s="108">
        <f t="shared" si="17"/>
        <v>41135.193251962897</v>
      </c>
      <c r="AA24" s="108">
        <f t="shared" si="18"/>
        <v>4268.9869125511559</v>
      </c>
      <c r="AB24" s="108">
        <f t="shared" si="19"/>
        <v>36866.206339411743</v>
      </c>
      <c r="AC24" s="109">
        <f t="shared" si="20"/>
        <v>0.82495946511917606</v>
      </c>
      <c r="AD24" s="108">
        <f t="shared" si="21"/>
        <v>33934.867022713253</v>
      </c>
      <c r="AE24" s="108">
        <f t="shared" si="22"/>
        <v>294228.72746738966</v>
      </c>
      <c r="AF24" s="48">
        <f t="shared" si="23"/>
        <v>0.11533498892107456</v>
      </c>
      <c r="AG24" s="110"/>
    </row>
    <row r="25" spans="2:33" x14ac:dyDescent="0.4">
      <c r="E25" s="107">
        <v>21</v>
      </c>
      <c r="F25" s="107">
        <v>2</v>
      </c>
      <c r="G25" s="141">
        <f t="shared" si="24"/>
        <v>91248635.898025721</v>
      </c>
      <c r="H25" s="141">
        <f t="shared" si="0"/>
        <v>1537668.1158701384</v>
      </c>
      <c r="I25" s="141">
        <f t="shared" si="1"/>
        <v>1045557.2863315449</v>
      </c>
      <c r="J25" s="141">
        <f t="shared" si="2"/>
        <v>492110.82953859353</v>
      </c>
      <c r="K25" s="108">
        <f t="shared" si="3"/>
        <v>90756525.068487123</v>
      </c>
      <c r="L25" s="108">
        <f t="shared" si="4"/>
        <v>95503297.778822988</v>
      </c>
      <c r="M25" s="108">
        <f t="shared" si="5"/>
        <v>152081.059830043</v>
      </c>
      <c r="N25" s="108">
        <f t="shared" si="6"/>
        <v>12500</v>
      </c>
      <c r="O25" s="108">
        <f t="shared" si="7"/>
        <v>164581.059830043</v>
      </c>
      <c r="P25" s="108">
        <f t="shared" si="8"/>
        <v>65832.423932017206</v>
      </c>
      <c r="Q25" s="100">
        <f t="shared" si="9"/>
        <v>2.2333333333333333E-3</v>
      </c>
      <c r="R25" s="100">
        <f>20%</f>
        <v>0.2</v>
      </c>
      <c r="S25" s="108">
        <f t="shared" si="10"/>
        <v>42658.139674540937</v>
      </c>
      <c r="T25" s="108">
        <f t="shared" si="11"/>
        <v>339514.22360371565</v>
      </c>
      <c r="U25" s="108">
        <f t="shared" si="12"/>
        <v>5591.9745697059798</v>
      </c>
      <c r="V25" s="108">
        <f t="shared" si="13"/>
        <v>9666.7442571626434</v>
      </c>
      <c r="W25" s="108">
        <f t="shared" si="14"/>
        <v>354772.94243058423</v>
      </c>
      <c r="X25" s="108">
        <f t="shared" si="15"/>
        <v>56090.496223484857</v>
      </c>
      <c r="Y25" s="108">
        <f t="shared" si="16"/>
        <v>15144.433980340913</v>
      </c>
      <c r="Z25" s="108">
        <f t="shared" si="17"/>
        <v>40946.062243143941</v>
      </c>
      <c r="AA25" s="108">
        <f t="shared" si="18"/>
        <v>4246.4190514609536</v>
      </c>
      <c r="AB25" s="108">
        <f t="shared" si="19"/>
        <v>36699.64319168299</v>
      </c>
      <c r="AC25" s="109">
        <f t="shared" si="20"/>
        <v>0.81706054662199368</v>
      </c>
      <c r="AD25" s="108">
        <f t="shared" si="21"/>
        <v>33455.411998401367</v>
      </c>
      <c r="AE25" s="108">
        <f t="shared" si="22"/>
        <v>289870.97426902625</v>
      </c>
      <c r="AF25" s="48">
        <f t="shared" si="23"/>
        <v>0.1154148395946389</v>
      </c>
      <c r="AG25" s="110"/>
    </row>
    <row r="26" spans="2:33" x14ac:dyDescent="0.4">
      <c r="B26" s="106" t="s">
        <v>12</v>
      </c>
      <c r="C26" s="106"/>
      <c r="E26" s="107">
        <v>22</v>
      </c>
      <c r="F26" s="107">
        <v>2</v>
      </c>
      <c r="G26" s="141">
        <f t="shared" si="24"/>
        <v>90756525.068487123</v>
      </c>
      <c r="H26" s="141">
        <f t="shared" si="0"/>
        <v>1537668.1158701384</v>
      </c>
      <c r="I26" s="141">
        <f t="shared" si="1"/>
        <v>1039918.5164097484</v>
      </c>
      <c r="J26" s="141">
        <f t="shared" si="2"/>
        <v>497749.59946039005</v>
      </c>
      <c r="K26" s="108">
        <f t="shared" si="3"/>
        <v>90258775.469026729</v>
      </c>
      <c r="L26" s="108">
        <f t="shared" si="4"/>
        <v>94988241.234348938</v>
      </c>
      <c r="M26" s="108">
        <f t="shared" si="5"/>
        <v>151260.87511414534</v>
      </c>
      <c r="N26" s="108">
        <f t="shared" si="6"/>
        <v>12500</v>
      </c>
      <c r="O26" s="108">
        <f t="shared" si="7"/>
        <v>163760.87511414534</v>
      </c>
      <c r="P26" s="108">
        <f t="shared" si="8"/>
        <v>65504.350045658139</v>
      </c>
      <c r="Q26" s="100">
        <f t="shared" si="9"/>
        <v>2.2333333333333333E-3</v>
      </c>
      <c r="R26" s="100">
        <f>20%</f>
        <v>0.2</v>
      </c>
      <c r="S26" s="108">
        <f t="shared" si="10"/>
        <v>42428.081084675861</v>
      </c>
      <c r="T26" s="108">
        <f t="shared" si="11"/>
        <v>337683.19758811046</v>
      </c>
      <c r="U26" s="108">
        <f t="shared" si="12"/>
        <v>5564.1071341790885</v>
      </c>
      <c r="V26" s="108">
        <f t="shared" si="13"/>
        <v>9618.5703305856496</v>
      </c>
      <c r="W26" s="108">
        <f t="shared" si="14"/>
        <v>352865.8750528752</v>
      </c>
      <c r="X26" s="108">
        <f t="shared" si="15"/>
        <v>55828.443983811339</v>
      </c>
      <c r="Y26" s="108">
        <f t="shared" si="16"/>
        <v>15073.679875629063</v>
      </c>
      <c r="Z26" s="108">
        <f t="shared" si="17"/>
        <v>40754.76410818228</v>
      </c>
      <c r="AA26" s="108">
        <f t="shared" si="18"/>
        <v>4223.5926002957613</v>
      </c>
      <c r="AB26" s="108">
        <f t="shared" si="19"/>
        <v>36531.171507886516</v>
      </c>
      <c r="AC26" s="109">
        <f t="shared" si="20"/>
        <v>0.80923725961467652</v>
      </c>
      <c r="AD26" s="108">
        <f t="shared" si="21"/>
        <v>32980.273623148001</v>
      </c>
      <c r="AE26" s="108">
        <f t="shared" si="22"/>
        <v>285552.21373932355</v>
      </c>
      <c r="AF26" s="48">
        <f t="shared" si="23"/>
        <v>0.11549647327635573</v>
      </c>
      <c r="AG26" s="110"/>
    </row>
    <row r="27" spans="2:33" x14ac:dyDescent="0.4">
      <c r="D27" s="115">
        <v>1.3920062094741E-2</v>
      </c>
      <c r="E27" s="107">
        <v>23</v>
      </c>
      <c r="F27" s="107">
        <v>2</v>
      </c>
      <c r="G27" s="141">
        <f t="shared" si="24"/>
        <v>90258775.469026729</v>
      </c>
      <c r="H27" s="141">
        <f t="shared" si="0"/>
        <v>1537668.1158701384</v>
      </c>
      <c r="I27" s="141">
        <f t="shared" si="1"/>
        <v>1034215.135582598</v>
      </c>
      <c r="J27" s="141">
        <f t="shared" si="2"/>
        <v>503452.98028754035</v>
      </c>
      <c r="K27" s="108">
        <f t="shared" si="3"/>
        <v>89755322.488739192</v>
      </c>
      <c r="L27" s="108">
        <f t="shared" si="4"/>
        <v>94467283.000302777</v>
      </c>
      <c r="M27" s="108">
        <f t="shared" si="5"/>
        <v>150431.29244837802</v>
      </c>
      <c r="N27" s="108">
        <f t="shared" si="6"/>
        <v>12500</v>
      </c>
      <c r="O27" s="108">
        <f t="shared" si="7"/>
        <v>162931.29244837802</v>
      </c>
      <c r="P27" s="108">
        <f t="shared" si="8"/>
        <v>65172.51697935121</v>
      </c>
      <c r="Q27" s="100">
        <f t="shared" si="9"/>
        <v>2.2333333333333333E-3</v>
      </c>
      <c r="R27" s="100">
        <f>20%</f>
        <v>0.2</v>
      </c>
      <c r="S27" s="108">
        <f t="shared" si="10"/>
        <v>42195.38640680191</v>
      </c>
      <c r="T27" s="108">
        <f t="shared" si="11"/>
        <v>335831.1910660764</v>
      </c>
      <c r="U27" s="108">
        <f t="shared" si="12"/>
        <v>5535.9203842867846</v>
      </c>
      <c r="V27" s="108">
        <f t="shared" si="13"/>
        <v>9569.8444110999608</v>
      </c>
      <c r="W27" s="108">
        <f t="shared" si="14"/>
        <v>350936.95586146315</v>
      </c>
      <c r="X27" s="108">
        <f t="shared" si="15"/>
        <v>55563.389062224909</v>
      </c>
      <c r="Y27" s="108">
        <f t="shared" si="16"/>
        <v>15002.115046800727</v>
      </c>
      <c r="Z27" s="108">
        <f t="shared" si="17"/>
        <v>40561.274015424184</v>
      </c>
      <c r="AA27" s="108">
        <f t="shared" si="18"/>
        <v>4200.5045960443003</v>
      </c>
      <c r="AB27" s="108">
        <f t="shared" si="19"/>
        <v>36360.769419379882</v>
      </c>
      <c r="AC27" s="109">
        <f t="shared" si="20"/>
        <v>0.80148887993197793</v>
      </c>
      <c r="AD27" s="108">
        <f t="shared" si="21"/>
        <v>32509.410079236372</v>
      </c>
      <c r="AE27" s="108">
        <f t="shared" si="22"/>
        <v>281272.06768014206</v>
      </c>
      <c r="AF27" s="48">
        <f t="shared" si="23"/>
        <v>0.11557994488171336</v>
      </c>
      <c r="AG27" s="110"/>
    </row>
    <row r="28" spans="2:33" x14ac:dyDescent="0.4">
      <c r="B28" s="113" t="s">
        <v>15</v>
      </c>
      <c r="C28" s="114">
        <v>0.94799999999999995</v>
      </c>
      <c r="D28" s="115"/>
      <c r="E28" s="107">
        <v>24</v>
      </c>
      <c r="F28" s="107">
        <v>2</v>
      </c>
      <c r="G28" s="141">
        <f t="shared" si="24"/>
        <v>89755322.488739192</v>
      </c>
      <c r="H28" s="141">
        <f t="shared" si="0"/>
        <v>1537668.1158701384</v>
      </c>
      <c r="I28" s="141">
        <f t="shared" si="1"/>
        <v>1028446.4035168033</v>
      </c>
      <c r="J28" s="141">
        <f t="shared" si="2"/>
        <v>509221.71235333511</v>
      </c>
      <c r="K28" s="108">
        <f t="shared" si="3"/>
        <v>89246100.776385859</v>
      </c>
      <c r="L28" s="108">
        <f t="shared" si="4"/>
        <v>93940355.453158185</v>
      </c>
      <c r="M28" s="108">
        <f t="shared" si="5"/>
        <v>149592.2041478988</v>
      </c>
      <c r="N28" s="108">
        <f t="shared" si="6"/>
        <v>12500</v>
      </c>
      <c r="O28" s="108">
        <f t="shared" si="7"/>
        <v>162092.2041478988</v>
      </c>
      <c r="P28" s="108">
        <f t="shared" si="8"/>
        <v>64836.881659159524</v>
      </c>
      <c r="Q28" s="100">
        <f t="shared" si="9"/>
        <v>2.2333333333333333E-3</v>
      </c>
      <c r="R28" s="100">
        <f>20%</f>
        <v>0.2</v>
      </c>
      <c r="S28" s="108">
        <f t="shared" si="10"/>
        <v>41960.025435743992</v>
      </c>
      <c r="T28" s="108">
        <f t="shared" si="11"/>
        <v>333957.96363597736</v>
      </c>
      <c r="U28" s="108">
        <f t="shared" si="12"/>
        <v>5507.4106612186315</v>
      </c>
      <c r="V28" s="108">
        <f t="shared" si="13"/>
        <v>9520.5601737868328</v>
      </c>
      <c r="W28" s="108">
        <f t="shared" si="14"/>
        <v>348985.93447098281</v>
      </c>
      <c r="X28" s="108">
        <f t="shared" si="15"/>
        <v>55295.29705299528</v>
      </c>
      <c r="Y28" s="108">
        <f t="shared" si="16"/>
        <v>14929.730204308726</v>
      </c>
      <c r="Z28" s="108">
        <f t="shared" si="17"/>
        <v>40365.566848686554</v>
      </c>
      <c r="AA28" s="108">
        <f t="shared" si="18"/>
        <v>4177.1520417441234</v>
      </c>
      <c r="AB28" s="108">
        <f t="shared" si="19"/>
        <v>36188.414806942434</v>
      </c>
      <c r="AC28" s="109">
        <f t="shared" si="20"/>
        <v>0.79381469034247365</v>
      </c>
      <c r="AD28" s="108">
        <f t="shared" si="21"/>
        <v>32042.779948488536</v>
      </c>
      <c r="AE28" s="108">
        <f t="shared" si="22"/>
        <v>277030.16150596202</v>
      </c>
      <c r="AF28" s="48">
        <f t="shared" si="23"/>
        <v>0.11566531158304558</v>
      </c>
      <c r="AG28" s="110"/>
    </row>
    <row r="29" spans="2:33" x14ac:dyDescent="0.4">
      <c r="B29" s="113" t="s">
        <v>18</v>
      </c>
      <c r="C29" s="48">
        <v>0.56399999999999995</v>
      </c>
      <c r="E29" s="107">
        <v>25</v>
      </c>
      <c r="F29" s="107">
        <v>3</v>
      </c>
      <c r="G29" s="141">
        <f t="shared" si="24"/>
        <v>89246100.776385859</v>
      </c>
      <c r="H29" s="141">
        <f t="shared" si="0"/>
        <v>1537668.1158701384</v>
      </c>
      <c r="I29" s="141">
        <f t="shared" si="1"/>
        <v>1022611.571396088</v>
      </c>
      <c r="J29" s="141">
        <f t="shared" si="2"/>
        <v>515056.5444740504</v>
      </c>
      <c r="K29" s="108">
        <f t="shared" si="3"/>
        <v>88731044.231911808</v>
      </c>
      <c r="L29" s="108">
        <f t="shared" si="4"/>
        <v>93407390.194535896</v>
      </c>
      <c r="M29" s="108">
        <f t="shared" si="5"/>
        <v>148743.50129397656</v>
      </c>
      <c r="N29" s="108">
        <f t="shared" si="6"/>
        <v>12500</v>
      </c>
      <c r="O29" s="108">
        <f t="shared" si="7"/>
        <v>161243.50129397656</v>
      </c>
      <c r="P29" s="108">
        <f t="shared" si="8"/>
        <v>64497.400517590628</v>
      </c>
      <c r="Q29" s="100">
        <f t="shared" si="9"/>
        <v>2.2333333333333333E-3</v>
      </c>
      <c r="R29" s="100">
        <f>20%</f>
        <v>0.2</v>
      </c>
      <c r="S29" s="108">
        <f t="shared" si="10"/>
        <v>41721.967620226031</v>
      </c>
      <c r="T29" s="108">
        <f t="shared" si="11"/>
        <v>332063.27214157506</v>
      </c>
      <c r="U29" s="108">
        <f t="shared" si="12"/>
        <v>5478.574264240322</v>
      </c>
      <c r="V29" s="108">
        <f t="shared" si="13"/>
        <v>9470.7112212544907</v>
      </c>
      <c r="W29" s="108">
        <f t="shared" si="14"/>
        <v>347012.55762706988</v>
      </c>
      <c r="X29" s="108">
        <f t="shared" si="15"/>
        <v>55024.133156159893</v>
      </c>
      <c r="Y29" s="108">
        <f t="shared" si="16"/>
        <v>14856.515952163172</v>
      </c>
      <c r="Z29" s="108">
        <f t="shared" si="17"/>
        <v>40167.61720399672</v>
      </c>
      <c r="AA29" s="108">
        <f t="shared" si="18"/>
        <v>4153.5319060925913</v>
      </c>
      <c r="AB29" s="108">
        <f t="shared" si="19"/>
        <v>36014.08529790413</v>
      </c>
      <c r="AC29" s="109">
        <f t="shared" si="20"/>
        <v>0.78621398048217117</v>
      </c>
      <c r="AD29" s="108">
        <f t="shared" si="21"/>
        <v>31580.3422084384</v>
      </c>
      <c r="AE29" s="108">
        <f t="shared" si="22"/>
        <v>272826.12420927739</v>
      </c>
      <c r="AF29" s="48">
        <f t="shared" si="23"/>
        <v>0.11575263292680135</v>
      </c>
      <c r="AG29" s="110"/>
    </row>
    <row r="30" spans="2:33" x14ac:dyDescent="0.4">
      <c r="B30" s="113" t="s">
        <v>21</v>
      </c>
      <c r="C30" s="48">
        <v>0.65200000000000002</v>
      </c>
      <c r="E30" s="107">
        <v>26</v>
      </c>
      <c r="F30" s="107">
        <v>3</v>
      </c>
      <c r="G30" s="141">
        <f t="shared" si="24"/>
        <v>88731044.231911808</v>
      </c>
      <c r="H30" s="141">
        <f t="shared" si="0"/>
        <v>1537668.1158701384</v>
      </c>
      <c r="I30" s="141">
        <f t="shared" si="1"/>
        <v>1016709.8818239896</v>
      </c>
      <c r="J30" s="141">
        <f t="shared" si="2"/>
        <v>520958.23404614883</v>
      </c>
      <c r="K30" s="108">
        <f t="shared" si="3"/>
        <v>88210085.997865662</v>
      </c>
      <c r="L30" s="108">
        <f t="shared" si="4"/>
        <v>92868318.042325228</v>
      </c>
      <c r="M30" s="108">
        <f t="shared" si="5"/>
        <v>147885.07371985316</v>
      </c>
      <c r="N30" s="108">
        <f t="shared" si="6"/>
        <v>12500</v>
      </c>
      <c r="O30" s="108">
        <f t="shared" si="7"/>
        <v>160385.07371985316</v>
      </c>
      <c r="P30" s="108">
        <f t="shared" si="8"/>
        <v>64154.029487941269</v>
      </c>
      <c r="Q30" s="100">
        <f t="shared" si="9"/>
        <v>2.2333333333333333E-3</v>
      </c>
      <c r="R30" s="100">
        <f>20%</f>
        <v>0.2</v>
      </c>
      <c r="S30" s="108">
        <f t="shared" si="10"/>
        <v>41481.182058905266</v>
      </c>
      <c r="T30" s="108">
        <f t="shared" si="11"/>
        <v>330146.87064046616</v>
      </c>
      <c r="U30" s="108">
        <f t="shared" si="12"/>
        <v>5449.4074502133035</v>
      </c>
      <c r="V30" s="108">
        <f t="shared" si="13"/>
        <v>9420.2910828077183</v>
      </c>
      <c r="W30" s="108">
        <f t="shared" si="14"/>
        <v>345016.56917348719</v>
      </c>
      <c r="X30" s="108">
        <f t="shared" si="15"/>
        <v>54749.862173006622</v>
      </c>
      <c r="Y30" s="108">
        <f t="shared" si="16"/>
        <v>14782.462786711789</v>
      </c>
      <c r="Z30" s="108">
        <f t="shared" si="17"/>
        <v>39967.399386294834</v>
      </c>
      <c r="AA30" s="108">
        <f t="shared" si="18"/>
        <v>4129.6411230533859</v>
      </c>
      <c r="AB30" s="108">
        <f t="shared" si="19"/>
        <v>35837.758263241449</v>
      </c>
      <c r="AC30" s="109">
        <f t="shared" si="20"/>
        <v>0.77868604678875442</v>
      </c>
      <c r="AD30" s="108">
        <f t="shared" si="21"/>
        <v>31122.056228541212</v>
      </c>
      <c r="AE30" s="108">
        <f t="shared" si="22"/>
        <v>268659.58832632157</v>
      </c>
      <c r="AF30" s="48">
        <f t="shared" si="23"/>
        <v>0.11584197095820559</v>
      </c>
      <c r="AG30" s="110"/>
    </row>
    <row r="31" spans="2:33" x14ac:dyDescent="0.4">
      <c r="B31" s="116"/>
      <c r="C31" s="117"/>
      <c r="E31" s="107">
        <v>27</v>
      </c>
      <c r="F31" s="107">
        <v>3</v>
      </c>
      <c r="G31" s="141">
        <f t="shared" si="24"/>
        <v>88210085.997865662</v>
      </c>
      <c r="H31" s="141">
        <f t="shared" si="0"/>
        <v>1537668.1158701384</v>
      </c>
      <c r="I31" s="141">
        <f t="shared" si="1"/>
        <v>1010740.5687255441</v>
      </c>
      <c r="J31" s="141">
        <f t="shared" si="2"/>
        <v>526927.54714459425</v>
      </c>
      <c r="K31" s="108">
        <f t="shared" si="3"/>
        <v>87683158.45072107</v>
      </c>
      <c r="L31" s="108">
        <f t="shared" si="4"/>
        <v>92323069.021703809</v>
      </c>
      <c r="M31" s="108">
        <f t="shared" si="5"/>
        <v>147016.8099964429</v>
      </c>
      <c r="N31" s="108">
        <f t="shared" si="6"/>
        <v>12500</v>
      </c>
      <c r="O31" s="108">
        <f t="shared" si="7"/>
        <v>159516.8099964429</v>
      </c>
      <c r="P31" s="108">
        <f t="shared" si="8"/>
        <v>63806.723998577159</v>
      </c>
      <c r="Q31" s="100">
        <f t="shared" si="9"/>
        <v>2.2333333333333333E-3</v>
      </c>
      <c r="R31" s="100">
        <f>20%</f>
        <v>0.2</v>
      </c>
      <c r="S31" s="108">
        <f t="shared" si="10"/>
        <v>41237.637496361036</v>
      </c>
      <c r="T31" s="108">
        <f t="shared" si="11"/>
        <v>328208.51037215698</v>
      </c>
      <c r="U31" s="108">
        <f t="shared" si="12"/>
        <v>5419.9064331088912</v>
      </c>
      <c r="V31" s="108">
        <f t="shared" si="13"/>
        <v>9369.2932136079071</v>
      </c>
      <c r="W31" s="108">
        <f t="shared" si="14"/>
        <v>342997.7100188738</v>
      </c>
      <c r="X31" s="108">
        <f t="shared" si="15"/>
        <v>54472.448501504703</v>
      </c>
      <c r="Y31" s="108">
        <f t="shared" si="16"/>
        <v>14707.56109540627</v>
      </c>
      <c r="Z31" s="108">
        <f t="shared" si="17"/>
        <v>39764.887406098431</v>
      </c>
      <c r="AA31" s="108">
        <f t="shared" si="18"/>
        <v>4105.4765914585214</v>
      </c>
      <c r="AB31" s="108">
        <f t="shared" si="19"/>
        <v>35659.410814639908</v>
      </c>
      <c r="AC31" s="109">
        <f t="shared" si="20"/>
        <v>0.7712301924364573</v>
      </c>
      <c r="AD31" s="108">
        <f t="shared" si="21"/>
        <v>30667.881766419348</v>
      </c>
      <c r="AE31" s="108">
        <f t="shared" si="22"/>
        <v>264530.18990312022</v>
      </c>
      <c r="AF31" s="48">
        <f t="shared" si="23"/>
        <v>0.11593339035386076</v>
      </c>
      <c r="AG31" s="110"/>
    </row>
    <row r="32" spans="2:33" x14ac:dyDescent="0.4">
      <c r="B32" s="106" t="s">
        <v>90</v>
      </c>
      <c r="C32" s="106"/>
      <c r="E32" s="107">
        <v>28</v>
      </c>
      <c r="F32" s="107">
        <v>3</v>
      </c>
      <c r="G32" s="141">
        <f t="shared" si="24"/>
        <v>87683158.45072107</v>
      </c>
      <c r="H32" s="141">
        <f t="shared" si="0"/>
        <v>1537668.1158701384</v>
      </c>
      <c r="I32" s="141">
        <f t="shared" si="1"/>
        <v>1004702.8572478456</v>
      </c>
      <c r="J32" s="141">
        <f t="shared" si="2"/>
        <v>532965.25862229278</v>
      </c>
      <c r="K32" s="108">
        <f t="shared" si="3"/>
        <v>87150193.192098781</v>
      </c>
      <c r="L32" s="108">
        <f t="shared" si="4"/>
        <v>91771572.35605444</v>
      </c>
      <c r="M32" s="108">
        <f t="shared" si="5"/>
        <v>146138.59741786859</v>
      </c>
      <c r="N32" s="108">
        <f t="shared" si="6"/>
        <v>12500</v>
      </c>
      <c r="O32" s="108">
        <f t="shared" si="7"/>
        <v>158638.59741786859</v>
      </c>
      <c r="P32" s="108">
        <f t="shared" si="8"/>
        <v>63455.438967147435</v>
      </c>
      <c r="Q32" s="100">
        <f t="shared" si="9"/>
        <v>2.2333333333333333E-3</v>
      </c>
      <c r="R32" s="100">
        <f>20%</f>
        <v>0.2</v>
      </c>
      <c r="S32" s="108">
        <f t="shared" si="10"/>
        <v>40991.302319037648</v>
      </c>
      <c r="T32" s="108">
        <f t="shared" si="11"/>
        <v>326247.93972577353</v>
      </c>
      <c r="U32" s="108">
        <f t="shared" si="12"/>
        <v>5390.0673835168245</v>
      </c>
      <c r="V32" s="108">
        <f t="shared" si="13"/>
        <v>9317.7109938235171</v>
      </c>
      <c r="W32" s="108">
        <f t="shared" si="14"/>
        <v>340955.71810311388</v>
      </c>
      <c r="X32" s="108">
        <f t="shared" si="15"/>
        <v>54191.856131683504</v>
      </c>
      <c r="Y32" s="108">
        <f t="shared" si="16"/>
        <v>14631.801155554547</v>
      </c>
      <c r="Z32" s="108">
        <f t="shared" si="17"/>
        <v>39560.054976128959</v>
      </c>
      <c r="AA32" s="108">
        <f t="shared" si="18"/>
        <v>4081.0351746058009</v>
      </c>
      <c r="AB32" s="108">
        <f t="shared" si="19"/>
        <v>35479.019801523158</v>
      </c>
      <c r="AC32" s="109">
        <f t="shared" si="20"/>
        <v>0.76384572727156386</v>
      </c>
      <c r="AD32" s="108">
        <f t="shared" si="21"/>
        <v>30217.778964144272</v>
      </c>
      <c r="AE32" s="108">
        <f t="shared" si="22"/>
        <v>260437.56846187133</v>
      </c>
      <c r="AF32" s="48">
        <f t="shared" si="23"/>
        <v>0.11602695856288578</v>
      </c>
      <c r="AG32" s="110"/>
    </row>
    <row r="33" spans="2:33" x14ac:dyDescent="0.4">
      <c r="E33" s="107">
        <v>29</v>
      </c>
      <c r="F33" s="107">
        <v>3</v>
      </c>
      <c r="G33" s="141">
        <f t="shared" si="24"/>
        <v>87150193.192098781</v>
      </c>
      <c r="H33" s="141">
        <f t="shared" si="0"/>
        <v>1537668.1158701384</v>
      </c>
      <c r="I33" s="141">
        <f t="shared" si="1"/>
        <v>998595.96365946531</v>
      </c>
      <c r="J33" s="141">
        <f t="shared" si="2"/>
        <v>539072.15221067308</v>
      </c>
      <c r="K33" s="108">
        <f t="shared" si="3"/>
        <v>86611121.039888114</v>
      </c>
      <c r="L33" s="108">
        <f t="shared" si="4"/>
        <v>91213756.457777828</v>
      </c>
      <c r="M33" s="108">
        <f t="shared" si="5"/>
        <v>145250.32198683143</v>
      </c>
      <c r="N33" s="108">
        <f t="shared" si="6"/>
        <v>12500</v>
      </c>
      <c r="O33" s="108">
        <f t="shared" si="7"/>
        <v>157750.32198683143</v>
      </c>
      <c r="P33" s="108">
        <f t="shared" si="8"/>
        <v>63100.128794732576</v>
      </c>
      <c r="Q33" s="100">
        <f t="shared" si="9"/>
        <v>2.2333333333333333E-3</v>
      </c>
      <c r="R33" s="100">
        <f>20%</f>
        <v>0.2</v>
      </c>
      <c r="S33" s="108">
        <f t="shared" si="10"/>
        <v>40742.144551140766</v>
      </c>
      <c r="T33" s="108">
        <f t="shared" si="11"/>
        <v>324264.9042074001</v>
      </c>
      <c r="U33" s="108">
        <f t="shared" si="12"/>
        <v>5359.8864281481829</v>
      </c>
      <c r="V33" s="108">
        <f t="shared" si="13"/>
        <v>9265.537727770763</v>
      </c>
      <c r="W33" s="108">
        <f t="shared" si="14"/>
        <v>338890.32836331904</v>
      </c>
      <c r="X33" s="108">
        <f t="shared" si="15"/>
        <v>53908.048640958092</v>
      </c>
      <c r="Y33" s="108">
        <f t="shared" si="16"/>
        <v>14555.173133058686</v>
      </c>
      <c r="Z33" s="108">
        <f t="shared" si="17"/>
        <v>39352.875507899407</v>
      </c>
      <c r="AA33" s="108">
        <f t="shared" si="18"/>
        <v>4056.3136998516411</v>
      </c>
      <c r="AB33" s="108">
        <f t="shared" si="19"/>
        <v>35296.561808047765</v>
      </c>
      <c r="AC33" s="109">
        <f t="shared" si="20"/>
        <v>0.75653196774852183</v>
      </c>
      <c r="AD33" s="108">
        <f t="shared" si="21"/>
        <v>29771.70834455375</v>
      </c>
      <c r="AE33" s="108">
        <f t="shared" si="22"/>
        <v>256381.36696764446</v>
      </c>
      <c r="AF33" s="48">
        <f t="shared" si="23"/>
        <v>0.11612274595724019</v>
      </c>
      <c r="AG33" s="110"/>
    </row>
    <row r="34" spans="2:33" x14ac:dyDescent="0.4">
      <c r="B34" s="111" t="s">
        <v>16</v>
      </c>
      <c r="C34" s="118">
        <v>0.27</v>
      </c>
      <c r="E34" s="107">
        <v>30</v>
      </c>
      <c r="F34" s="107">
        <v>3</v>
      </c>
      <c r="G34" s="141">
        <f t="shared" si="24"/>
        <v>86611121.039888114</v>
      </c>
      <c r="H34" s="141">
        <f t="shared" si="0"/>
        <v>1537668.1158701384</v>
      </c>
      <c r="I34" s="141">
        <f t="shared" si="1"/>
        <v>992419.09524871805</v>
      </c>
      <c r="J34" s="141">
        <f t="shared" si="2"/>
        <v>545249.02062142035</v>
      </c>
      <c r="K34" s="108">
        <f t="shared" si="3"/>
        <v>86065872.019266695</v>
      </c>
      <c r="L34" s="108">
        <f t="shared" si="4"/>
        <v>90649548.919000149</v>
      </c>
      <c r="M34" s="108">
        <f t="shared" si="5"/>
        <v>144351.86839981365</v>
      </c>
      <c r="N34" s="108">
        <f t="shared" si="6"/>
        <v>12500</v>
      </c>
      <c r="O34" s="108">
        <f t="shared" si="7"/>
        <v>156851.86839981365</v>
      </c>
      <c r="P34" s="108">
        <f t="shared" si="8"/>
        <v>62740.747359925466</v>
      </c>
      <c r="Q34" s="100">
        <f t="shared" si="9"/>
        <v>2.2333333333333333E-3</v>
      </c>
      <c r="R34" s="100">
        <f>20%</f>
        <v>0.2</v>
      </c>
      <c r="S34" s="108">
        <f t="shared" si="10"/>
        <v>40490.13185048673</v>
      </c>
      <c r="T34" s="108">
        <f t="shared" si="11"/>
        <v>322259.14640704554</v>
      </c>
      <c r="U34" s="108">
        <f t="shared" si="12"/>
        <v>5329.3596493326077</v>
      </c>
      <c r="V34" s="108">
        <f t="shared" si="13"/>
        <v>9212.7666430444879</v>
      </c>
      <c r="W34" s="108">
        <f t="shared" si="14"/>
        <v>336801.27269942261</v>
      </c>
      <c r="X34" s="108">
        <f t="shared" si="15"/>
        <v>53620.989189401451</v>
      </c>
      <c r="Y34" s="108">
        <f t="shared" si="16"/>
        <v>14477.667081138392</v>
      </c>
      <c r="Z34" s="108">
        <f t="shared" si="17"/>
        <v>39143.322108263063</v>
      </c>
      <c r="AA34" s="108">
        <f t="shared" si="18"/>
        <v>4031.3089581992585</v>
      </c>
      <c r="AB34" s="108">
        <f t="shared" si="19"/>
        <v>35112.013150063802</v>
      </c>
      <c r="AC34" s="109">
        <f t="shared" si="20"/>
        <v>0.74928823686667168</v>
      </c>
      <c r="AD34" s="108">
        <f t="shared" si="21"/>
        <v>29329.630807604641</v>
      </c>
      <c r="AE34" s="108">
        <f t="shared" si="22"/>
        <v>252361.23179540146</v>
      </c>
      <c r="AF34" s="48">
        <f t="shared" si="23"/>
        <v>0.11622082599193861</v>
      </c>
      <c r="AG34" s="110"/>
    </row>
    <row r="35" spans="2:33" x14ac:dyDescent="0.4">
      <c r="B35" s="111" t="s">
        <v>19</v>
      </c>
      <c r="C35" s="119">
        <v>0.14799999999999999</v>
      </c>
      <c r="E35" s="107">
        <v>31</v>
      </c>
      <c r="F35" s="107">
        <v>3</v>
      </c>
      <c r="G35" s="141">
        <f t="shared" si="24"/>
        <v>86065872.019266695</v>
      </c>
      <c r="H35" s="141">
        <f t="shared" si="0"/>
        <v>1537668.1158701384</v>
      </c>
      <c r="I35" s="141">
        <f t="shared" si="1"/>
        <v>986171.45022076427</v>
      </c>
      <c r="J35" s="141">
        <f t="shared" si="2"/>
        <v>551496.66564937413</v>
      </c>
      <c r="K35" s="108">
        <f t="shared" si="3"/>
        <v>85514375.353617325</v>
      </c>
      <c r="L35" s="108">
        <f t="shared" si="4"/>
        <v>90078876.50217396</v>
      </c>
      <c r="M35" s="108">
        <f t="shared" si="5"/>
        <v>143443.12003211127</v>
      </c>
      <c r="N35" s="108">
        <f t="shared" si="6"/>
        <v>12500</v>
      </c>
      <c r="O35" s="108">
        <f t="shared" si="7"/>
        <v>155943.12003211127</v>
      </c>
      <c r="P35" s="108">
        <f t="shared" si="8"/>
        <v>62377.24801284451</v>
      </c>
      <c r="Q35" s="100">
        <f t="shared" si="9"/>
        <v>2.2333333333333333E-3</v>
      </c>
      <c r="R35" s="100">
        <f>20%</f>
        <v>0.2</v>
      </c>
      <c r="S35" s="108">
        <f t="shared" si="10"/>
        <v>40235.231504304371</v>
      </c>
      <c r="T35" s="108">
        <f t="shared" si="11"/>
        <v>320230.40596522839</v>
      </c>
      <c r="U35" s="108">
        <f t="shared" si="12"/>
        <v>5298.4830845097713</v>
      </c>
      <c r="V35" s="108">
        <f t="shared" si="13"/>
        <v>9159.3908896390567</v>
      </c>
      <c r="W35" s="108">
        <f t="shared" si="14"/>
        <v>334688.27993937721</v>
      </c>
      <c r="X35" s="108">
        <f t="shared" si="15"/>
        <v>53330.640514962397</v>
      </c>
      <c r="Y35" s="108">
        <f t="shared" si="16"/>
        <v>14399.272939039849</v>
      </c>
      <c r="Z35" s="108">
        <f t="shared" si="17"/>
        <v>38931.367575922544</v>
      </c>
      <c r="AA35" s="108">
        <f t="shared" si="18"/>
        <v>4006.017703882108</v>
      </c>
      <c r="AB35" s="108">
        <f t="shared" si="19"/>
        <v>34925.349872040439</v>
      </c>
      <c r="AC35" s="109">
        <f t="shared" si="20"/>
        <v>0.74211386410757851</v>
      </c>
      <c r="AD35" s="108">
        <f t="shared" si="21"/>
        <v>28891.507626760373</v>
      </c>
      <c r="AE35" s="108">
        <f t="shared" si="22"/>
        <v>248376.81269733017</v>
      </c>
      <c r="AF35" s="48">
        <f t="shared" si="23"/>
        <v>0.11632127537592372</v>
      </c>
      <c r="AG35" s="110"/>
    </row>
    <row r="36" spans="2:33" x14ac:dyDescent="0.4">
      <c r="B36" s="111" t="s">
        <v>22</v>
      </c>
      <c r="C36" s="119">
        <f>12*((1+C35/2)^(2/12)-1)</f>
        <v>0.14363279304340359</v>
      </c>
      <c r="E36" s="107">
        <v>32</v>
      </c>
      <c r="F36" s="107">
        <v>3</v>
      </c>
      <c r="G36" s="141">
        <f t="shared" si="24"/>
        <v>85514375.353617325</v>
      </c>
      <c r="H36" s="141">
        <f t="shared" si="0"/>
        <v>1537668.1158701384</v>
      </c>
      <c r="I36" s="141">
        <f t="shared" si="1"/>
        <v>979852.21759353194</v>
      </c>
      <c r="J36" s="141">
        <f t="shared" si="2"/>
        <v>557815.89827660646</v>
      </c>
      <c r="K36" s="108">
        <f t="shared" si="3"/>
        <v>84956559.455340713</v>
      </c>
      <c r="L36" s="108">
        <f t="shared" si="4"/>
        <v>89501665.130571648</v>
      </c>
      <c r="M36" s="108">
        <f t="shared" si="5"/>
        <v>142523.95892269566</v>
      </c>
      <c r="N36" s="108">
        <f t="shared" si="6"/>
        <v>12500</v>
      </c>
      <c r="O36" s="108">
        <f t="shared" si="7"/>
        <v>155023.95892269566</v>
      </c>
      <c r="P36" s="108">
        <f t="shared" si="8"/>
        <v>62009.58356907827</v>
      </c>
      <c r="Q36" s="100">
        <f t="shared" si="9"/>
        <v>2.2333333333333333E-3</v>
      </c>
      <c r="R36" s="100">
        <f>20%</f>
        <v>0.2</v>
      </c>
      <c r="S36" s="108">
        <f t="shared" si="10"/>
        <v>39977.410424988666</v>
      </c>
      <c r="T36" s="108">
        <f t="shared" si="11"/>
        <v>318178.41953918221</v>
      </c>
      <c r="U36" s="108">
        <f t="shared" si="12"/>
        <v>5267.2527257150068</v>
      </c>
      <c r="V36" s="108">
        <f t="shared" si="13"/>
        <v>9105.4035390591889</v>
      </c>
      <c r="W36" s="108">
        <f t="shared" si="14"/>
        <v>332551.07580395637</v>
      </c>
      <c r="X36" s="108">
        <f t="shared" si="15"/>
        <v>53036.964928628724</v>
      </c>
      <c r="Y36" s="108">
        <f t="shared" si="16"/>
        <v>14319.980530729756</v>
      </c>
      <c r="Z36" s="108">
        <f t="shared" si="17"/>
        <v>38716.984397898967</v>
      </c>
      <c r="AA36" s="108">
        <f t="shared" si="18"/>
        <v>3980.4366539425737</v>
      </c>
      <c r="AB36" s="108">
        <f t="shared" si="19"/>
        <v>34736.547743956391</v>
      </c>
      <c r="AC36" s="109">
        <f t="shared" si="20"/>
        <v>0.73500818537296575</v>
      </c>
      <c r="AD36" s="108">
        <f t="shared" si="21"/>
        <v>28457.300445413148</v>
      </c>
      <c r="AE36" s="108">
        <f t="shared" si="22"/>
        <v>244427.76277049354</v>
      </c>
      <c r="AF36" s="48">
        <f t="shared" si="23"/>
        <v>0.11642417425443298</v>
      </c>
      <c r="AG36" s="110"/>
    </row>
    <row r="37" spans="2:33" x14ac:dyDescent="0.4">
      <c r="B37" s="111" t="s">
        <v>23</v>
      </c>
      <c r="C37" s="120">
        <v>0.11600978943123419</v>
      </c>
      <c r="E37" s="107">
        <v>33</v>
      </c>
      <c r="F37" s="107">
        <v>3</v>
      </c>
      <c r="G37" s="141">
        <f t="shared" si="24"/>
        <v>84956559.455340713</v>
      </c>
      <c r="H37" s="141">
        <f t="shared" si="0"/>
        <v>1537668.1158701384</v>
      </c>
      <c r="I37" s="141">
        <f t="shared" si="1"/>
        <v>973460.5770924458</v>
      </c>
      <c r="J37" s="141">
        <f t="shared" si="2"/>
        <v>564207.53877769259</v>
      </c>
      <c r="K37" s="108">
        <f t="shared" si="3"/>
        <v>84392351.916563019</v>
      </c>
      <c r="L37" s="108">
        <f t="shared" si="4"/>
        <v>88917839.878669709</v>
      </c>
      <c r="M37" s="108">
        <f t="shared" si="5"/>
        <v>141594.26575890131</v>
      </c>
      <c r="N37" s="108">
        <f t="shared" si="6"/>
        <v>12500</v>
      </c>
      <c r="O37" s="108">
        <f t="shared" si="7"/>
        <v>154094.26575890131</v>
      </c>
      <c r="P37" s="108">
        <f t="shared" si="8"/>
        <v>61637.706303560524</v>
      </c>
      <c r="Q37" s="100">
        <f t="shared" si="9"/>
        <v>2.2333333333333333E-3</v>
      </c>
      <c r="R37" s="100">
        <f>20%</f>
        <v>0.2</v>
      </c>
      <c r="S37" s="108">
        <f t="shared" si="10"/>
        <v>39716.635145805805</v>
      </c>
      <c r="T37" s="108">
        <f t="shared" si="11"/>
        <v>316102.9207686708</v>
      </c>
      <c r="U37" s="108">
        <f t="shared" si="12"/>
        <v>5235.6645190590516</v>
      </c>
      <c r="V37" s="108">
        <f t="shared" si="13"/>
        <v>9050.7975834205936</v>
      </c>
      <c r="W37" s="108">
        <f t="shared" si="14"/>
        <v>330389.38287115045</v>
      </c>
      <c r="X37" s="108">
        <f t="shared" si="15"/>
        <v>52739.924309534981</v>
      </c>
      <c r="Y37" s="108">
        <f t="shared" si="16"/>
        <v>14239.779563574446</v>
      </c>
      <c r="Z37" s="108">
        <f t="shared" si="17"/>
        <v>38500.144745960533</v>
      </c>
      <c r="AA37" s="108">
        <f t="shared" si="18"/>
        <v>3954.5624878058152</v>
      </c>
      <c r="AB37" s="108">
        <f t="shared" si="19"/>
        <v>34545.582258154718</v>
      </c>
      <c r="AC37" s="109">
        <f t="shared" si="20"/>
        <v>0.72797054292324348</v>
      </c>
      <c r="AD37" s="108">
        <f t="shared" si="21"/>
        <v>28026.97127334035</v>
      </c>
      <c r="AE37" s="108">
        <f t="shared" si="22"/>
        <v>240513.73842478674</v>
      </c>
      <c r="AF37" s="48">
        <f t="shared" si="23"/>
        <v>0.11652960640377273</v>
      </c>
      <c r="AG37" s="110"/>
    </row>
    <row r="38" spans="2:33" x14ac:dyDescent="0.4">
      <c r="B38" s="121"/>
      <c r="C38" s="117"/>
      <c r="E38" s="107">
        <v>34</v>
      </c>
      <c r="F38" s="107">
        <v>3</v>
      </c>
      <c r="G38" s="141">
        <f t="shared" si="24"/>
        <v>84392351.916563019</v>
      </c>
      <c r="H38" s="141">
        <f t="shared" si="0"/>
        <v>1537668.1158701384</v>
      </c>
      <c r="I38" s="141">
        <f t="shared" si="1"/>
        <v>966995.69904395135</v>
      </c>
      <c r="J38" s="141">
        <f t="shared" si="2"/>
        <v>570672.41682618705</v>
      </c>
      <c r="K38" s="108">
        <f t="shared" si="3"/>
        <v>83821679.499736831</v>
      </c>
      <c r="L38" s="108">
        <f t="shared" si="4"/>
        <v>88327324.962423071</v>
      </c>
      <c r="M38" s="108">
        <f t="shared" si="5"/>
        <v>140653.91986093848</v>
      </c>
      <c r="N38" s="108">
        <f t="shared" si="6"/>
        <v>12500</v>
      </c>
      <c r="O38" s="108">
        <f t="shared" si="7"/>
        <v>153153.91986093848</v>
      </c>
      <c r="P38" s="108">
        <f t="shared" si="8"/>
        <v>61261.567944375391</v>
      </c>
      <c r="Q38" s="100">
        <f t="shared" si="9"/>
        <v>2.2333333333333333E-3</v>
      </c>
      <c r="R38" s="100">
        <f>20%</f>
        <v>0.2</v>
      </c>
      <c r="S38" s="108">
        <f t="shared" si="10"/>
        <v>39452.87181654897</v>
      </c>
      <c r="T38" s="108">
        <f t="shared" si="11"/>
        <v>314003.64024141402</v>
      </c>
      <c r="U38" s="108">
        <f t="shared" si="12"/>
        <v>5203.71436420183</v>
      </c>
      <c r="V38" s="108">
        <f t="shared" si="13"/>
        <v>8995.5659345403055</v>
      </c>
      <c r="W38" s="108">
        <f t="shared" si="14"/>
        <v>328202.92054015613</v>
      </c>
      <c r="X38" s="108">
        <f t="shared" si="15"/>
        <v>52439.480100014116</v>
      </c>
      <c r="Y38" s="108">
        <f t="shared" si="16"/>
        <v>14158.659627003812</v>
      </c>
      <c r="Z38" s="108">
        <f t="shared" si="17"/>
        <v>38280.820473010303</v>
      </c>
      <c r="AA38" s="108">
        <f t="shared" si="18"/>
        <v>3928.39184684874</v>
      </c>
      <c r="AB38" s="108">
        <f t="shared" si="19"/>
        <v>34352.428626161563</v>
      </c>
      <c r="AC38" s="109">
        <f t="shared" si="20"/>
        <v>0.72100028531662341</v>
      </c>
      <c r="AD38" s="108">
        <f t="shared" si="21"/>
        <v>27600.482483194868</v>
      </c>
      <c r="AE38" s="108">
        <f t="shared" si="22"/>
        <v>236634.39935120166</v>
      </c>
      <c r="AF38" s="48">
        <f t="shared" si="23"/>
        <v>0.11663765943949479</v>
      </c>
      <c r="AG38" s="110"/>
    </row>
    <row r="39" spans="2:33" x14ac:dyDescent="0.4">
      <c r="B39" s="106" t="s">
        <v>91</v>
      </c>
      <c r="C39" s="106"/>
      <c r="E39" s="107">
        <v>35</v>
      </c>
      <c r="F39" s="107">
        <v>3</v>
      </c>
      <c r="G39" s="141">
        <f t="shared" si="24"/>
        <v>83821679.499736831</v>
      </c>
      <c r="H39" s="141">
        <f t="shared" si="0"/>
        <v>1537668.1158701384</v>
      </c>
      <c r="I39" s="141">
        <f t="shared" si="1"/>
        <v>960456.74426781794</v>
      </c>
      <c r="J39" s="141">
        <f t="shared" si="2"/>
        <v>577211.37160232046</v>
      </c>
      <c r="K39" s="108">
        <f t="shared" si="3"/>
        <v>83244468.128134504</v>
      </c>
      <c r="L39" s="108">
        <f t="shared" si="4"/>
        <v>87730043.72942777</v>
      </c>
      <c r="M39" s="108">
        <f t="shared" si="5"/>
        <v>139702.79916622819</v>
      </c>
      <c r="N39" s="108">
        <f t="shared" si="6"/>
        <v>12500</v>
      </c>
      <c r="O39" s="108">
        <f t="shared" si="7"/>
        <v>152202.79916622819</v>
      </c>
      <c r="P39" s="108">
        <f t="shared" si="8"/>
        <v>60881.119666491279</v>
      </c>
      <c r="Q39" s="100">
        <f t="shared" si="9"/>
        <v>2.2333333333333333E-3</v>
      </c>
      <c r="R39" s="100">
        <f>20%</f>
        <v>0.2</v>
      </c>
      <c r="S39" s="108">
        <f t="shared" si="10"/>
        <v>39186.086199144404</v>
      </c>
      <c r="T39" s="108">
        <f t="shared" si="11"/>
        <v>311880.3054581157</v>
      </c>
      <c r="U39" s="108">
        <f t="shared" si="12"/>
        <v>5171.3981138202043</v>
      </c>
      <c r="V39" s="108">
        <f t="shared" si="13"/>
        <v>8939.7014230165987</v>
      </c>
      <c r="W39" s="108">
        <f t="shared" si="14"/>
        <v>325991.40499495249</v>
      </c>
      <c r="X39" s="108">
        <f t="shared" si="15"/>
        <v>52135.593300592496</v>
      </c>
      <c r="Y39" s="108">
        <f t="shared" si="16"/>
        <v>14076.610191159974</v>
      </c>
      <c r="Z39" s="108">
        <f t="shared" si="17"/>
        <v>38058.98310943252</v>
      </c>
      <c r="AA39" s="108">
        <f t="shared" si="18"/>
        <v>3901.9213339640314</v>
      </c>
      <c r="AB39" s="108">
        <f t="shared" si="19"/>
        <v>34157.061775468486</v>
      </c>
      <c r="AC39" s="109">
        <f t="shared" si="20"/>
        <v>0.71409676734881833</v>
      </c>
      <c r="AD39" s="108">
        <f t="shared" si="21"/>
        <v>27177.796807029041</v>
      </c>
      <c r="AE39" s="108">
        <f t="shared" si="22"/>
        <v>232789.408490395</v>
      </c>
      <c r="AF39" s="48">
        <f t="shared" si="23"/>
        <v>0.11674842503906448</v>
      </c>
      <c r="AG39" s="110"/>
    </row>
    <row r="40" spans="2:33" x14ac:dyDescent="0.4">
      <c r="E40" s="107">
        <v>36</v>
      </c>
      <c r="F40" s="107">
        <v>3</v>
      </c>
      <c r="G40" s="141">
        <f t="shared" si="24"/>
        <v>83244468.128134504</v>
      </c>
      <c r="H40" s="141">
        <f t="shared" si="0"/>
        <v>1537668.1158701384</v>
      </c>
      <c r="I40" s="141">
        <f t="shared" si="1"/>
        <v>953842.86396820797</v>
      </c>
      <c r="J40" s="141">
        <f t="shared" si="2"/>
        <v>583825.25190193043</v>
      </c>
      <c r="K40" s="108">
        <f t="shared" si="3"/>
        <v>82660642.876232579</v>
      </c>
      <c r="L40" s="108">
        <f t="shared" si="4"/>
        <v>87125918.648971051</v>
      </c>
      <c r="M40" s="108">
        <f t="shared" si="5"/>
        <v>138740.78021355762</v>
      </c>
      <c r="N40" s="108">
        <f t="shared" si="6"/>
        <v>12500</v>
      </c>
      <c r="O40" s="108">
        <f t="shared" si="7"/>
        <v>151240.78021355762</v>
      </c>
      <c r="P40" s="108">
        <f t="shared" si="8"/>
        <v>60496.312085423051</v>
      </c>
      <c r="Q40" s="100">
        <f t="shared" si="9"/>
        <v>2.2333333333333333E-3</v>
      </c>
      <c r="R40" s="100">
        <f>20%</f>
        <v>0.2</v>
      </c>
      <c r="S40" s="108">
        <f t="shared" si="10"/>
        <v>38916.243663207068</v>
      </c>
      <c r="T40" s="108">
        <f t="shared" si="11"/>
        <v>309732.64079709206</v>
      </c>
      <c r="U40" s="108">
        <f t="shared" si="12"/>
        <v>5138.7115730696205</v>
      </c>
      <c r="V40" s="108">
        <f t="shared" si="13"/>
        <v>8883.1967972983475</v>
      </c>
      <c r="W40" s="108">
        <f t="shared" si="14"/>
        <v>323754.54916746001</v>
      </c>
      <c r="X40" s="108">
        <f t="shared" si="15"/>
        <v>51828.224464927502</v>
      </c>
      <c r="Y40" s="108">
        <f t="shared" si="16"/>
        <v>13993.620605530426</v>
      </c>
      <c r="Z40" s="108">
        <f t="shared" si="17"/>
        <v>37834.603859397073</v>
      </c>
      <c r="AA40" s="108">
        <f t="shared" si="18"/>
        <v>3875.1475131191846</v>
      </c>
      <c r="AB40" s="108">
        <f t="shared" si="19"/>
        <v>33959.45634627789</v>
      </c>
      <c r="AC40" s="109">
        <f t="shared" si="20"/>
        <v>0.70725934999331863</v>
      </c>
      <c r="AD40" s="108">
        <f t="shared" si="21"/>
        <v>26758.87733285188</v>
      </c>
      <c r="AE40" s="108">
        <f t="shared" si="22"/>
        <v>228978.43200155767</v>
      </c>
      <c r="AF40" s="48">
        <f t="shared" si="23"/>
        <v>0.11686199918021033</v>
      </c>
      <c r="AG40" s="110"/>
    </row>
    <row r="41" spans="2:33" x14ac:dyDescent="0.4">
      <c r="E41" s="107">
        <v>37</v>
      </c>
      <c r="F41" s="107">
        <v>4</v>
      </c>
      <c r="G41" s="141">
        <f t="shared" si="24"/>
        <v>82660642.876232579</v>
      </c>
      <c r="H41" s="141">
        <f t="shared" si="0"/>
        <v>1537668.1158701384</v>
      </c>
      <c r="I41" s="141">
        <f t="shared" si="1"/>
        <v>947153.19962349837</v>
      </c>
      <c r="J41" s="141">
        <f t="shared" si="2"/>
        <v>590514.91624664003</v>
      </c>
      <c r="K41" s="108">
        <f t="shared" si="3"/>
        <v>82070127.959985942</v>
      </c>
      <c r="L41" s="108">
        <f t="shared" si="4"/>
        <v>86514871.301967457</v>
      </c>
      <c r="M41" s="108">
        <f t="shared" si="5"/>
        <v>137767.73812705441</v>
      </c>
      <c r="N41" s="108">
        <f t="shared" si="6"/>
        <v>12500</v>
      </c>
      <c r="O41" s="108">
        <f t="shared" si="7"/>
        <v>150267.73812705441</v>
      </c>
      <c r="P41" s="108">
        <f t="shared" si="8"/>
        <v>60107.095250821767</v>
      </c>
      <c r="Q41" s="100">
        <f t="shared" si="9"/>
        <v>2.2333333333333333E-3</v>
      </c>
      <c r="R41" s="100">
        <f>20%</f>
        <v>0.2</v>
      </c>
      <c r="S41" s="108">
        <f t="shared" si="10"/>
        <v>38643.309181545461</v>
      </c>
      <c r="T41" s="108">
        <f t="shared" si="11"/>
        <v>307560.36747849424</v>
      </c>
      <c r="U41" s="108">
        <f t="shared" si="12"/>
        <v>5105.6504990396043</v>
      </c>
      <c r="V41" s="108">
        <f t="shared" si="13"/>
        <v>8826.0447227437417</v>
      </c>
      <c r="W41" s="108">
        <f t="shared" si="14"/>
        <v>321492.0627002776</v>
      </c>
      <c r="X41" s="108">
        <f t="shared" si="15"/>
        <v>51517.333694687193</v>
      </c>
      <c r="Y41" s="108">
        <f t="shared" si="16"/>
        <v>13909.680097565542</v>
      </c>
      <c r="Z41" s="108">
        <f t="shared" si="17"/>
        <v>37607.653597121651</v>
      </c>
      <c r="AA41" s="108">
        <f t="shared" si="18"/>
        <v>3848.0669089104922</v>
      </c>
      <c r="AB41" s="108">
        <f t="shared" si="19"/>
        <v>33759.586688211159</v>
      </c>
      <c r="AC41" s="109">
        <f t="shared" si="20"/>
        <v>0.70048740034224055</v>
      </c>
      <c r="AD41" s="108">
        <f t="shared" si="21"/>
        <v>26343.687501219258</v>
      </c>
      <c r="AE41" s="108">
        <f t="shared" si="22"/>
        <v>225201.13923158206</v>
      </c>
      <c r="AF41" s="48">
        <f t="shared" si="23"/>
        <v>0.11697848239625973</v>
      </c>
      <c r="AG41" s="110"/>
    </row>
    <row r="42" spans="2:33" x14ac:dyDescent="0.4">
      <c r="B42" s="111" t="s">
        <v>92</v>
      </c>
      <c r="C42" s="114">
        <v>0.17</v>
      </c>
      <c r="E42" s="107">
        <v>38</v>
      </c>
      <c r="F42" s="107">
        <v>4</v>
      </c>
      <c r="G42" s="141">
        <f t="shared" si="24"/>
        <v>82070127.959985942</v>
      </c>
      <c r="H42" s="141">
        <f t="shared" si="0"/>
        <v>1537668.1158701384</v>
      </c>
      <c r="I42" s="141">
        <f t="shared" si="1"/>
        <v>940386.88287483901</v>
      </c>
      <c r="J42" s="141">
        <f t="shared" si="2"/>
        <v>597281.23299529939</v>
      </c>
      <c r="K42" s="108">
        <f t="shared" si="3"/>
        <v>81472846.72699064</v>
      </c>
      <c r="L42" s="108">
        <f t="shared" si="4"/>
        <v>85896822.37077944</v>
      </c>
      <c r="M42" s="108">
        <f t="shared" si="5"/>
        <v>136783.54659997669</v>
      </c>
      <c r="N42" s="108">
        <f t="shared" si="6"/>
        <v>12500</v>
      </c>
      <c r="O42" s="108">
        <f t="shared" si="7"/>
        <v>149283.54659997669</v>
      </c>
      <c r="P42" s="108">
        <f t="shared" si="8"/>
        <v>59713.418639990676</v>
      </c>
      <c r="Q42" s="100">
        <f t="shared" si="9"/>
        <v>2.2333333333333333E-3</v>
      </c>
      <c r="R42" s="100">
        <f>20%</f>
        <v>0.2</v>
      </c>
      <c r="S42" s="108">
        <f t="shared" si="10"/>
        <v>38367.247325614815</v>
      </c>
      <c r="T42" s="108">
        <f t="shared" si="11"/>
        <v>305363.20352812088</v>
      </c>
      <c r="U42" s="108">
        <f t="shared" si="12"/>
        <v>5072.2106002029941</v>
      </c>
      <c r="V42" s="108">
        <f t="shared" si="13"/>
        <v>8768.2377806681998</v>
      </c>
      <c r="W42" s="108">
        <f t="shared" si="14"/>
        <v>319203.65190899209</v>
      </c>
      <c r="X42" s="108">
        <f t="shared" si="15"/>
        <v>51202.880634371199</v>
      </c>
      <c r="Y42" s="108">
        <f t="shared" si="16"/>
        <v>13824.777771280225</v>
      </c>
      <c r="Z42" s="108">
        <f t="shared" si="17"/>
        <v>37378.102863090971</v>
      </c>
      <c r="AA42" s="108">
        <f t="shared" si="18"/>
        <v>3820.6760061119085</v>
      </c>
      <c r="AB42" s="108">
        <f t="shared" si="19"/>
        <v>33557.426856979066</v>
      </c>
      <c r="AC42" s="109">
        <f t="shared" si="20"/>
        <v>0.69378029154774112</v>
      </c>
      <c r="AD42" s="108">
        <f t="shared" si="21"/>
        <v>25932.191101856712</v>
      </c>
      <c r="AE42" s="108">
        <f t="shared" si="22"/>
        <v>221457.20268452421</v>
      </c>
      <c r="AF42" s="48">
        <f t="shared" si="23"/>
        <v>0.11709798004988932</v>
      </c>
      <c r="AG42" s="110"/>
    </row>
    <row r="43" spans="2:33" x14ac:dyDescent="0.4">
      <c r="B43" s="111" t="s">
        <v>93</v>
      </c>
      <c r="C43" s="172">
        <f>SUM(AD5:AD124)/SUM(AE5:AE124)</f>
        <v>0.14699442630417719</v>
      </c>
      <c r="E43" s="107">
        <v>39</v>
      </c>
      <c r="F43" s="107">
        <v>4</v>
      </c>
      <c r="G43" s="141">
        <f t="shared" si="24"/>
        <v>81472846.72699064</v>
      </c>
      <c r="H43" s="141">
        <f t="shared" si="0"/>
        <v>1537668.1158701384</v>
      </c>
      <c r="I43" s="141">
        <f t="shared" si="1"/>
        <v>933543.0354134345</v>
      </c>
      <c r="J43" s="141">
        <f t="shared" si="2"/>
        <v>604125.0804567039</v>
      </c>
      <c r="K43" s="108">
        <f t="shared" si="3"/>
        <v>80868721.646533936</v>
      </c>
      <c r="L43" s="108">
        <f t="shared" si="4"/>
        <v>85271691.628921553</v>
      </c>
      <c r="M43" s="108">
        <f t="shared" si="5"/>
        <v>135788.07787831785</v>
      </c>
      <c r="N43" s="108">
        <f t="shared" si="6"/>
        <v>12500</v>
      </c>
      <c r="O43" s="108">
        <f t="shared" si="7"/>
        <v>148288.07787831785</v>
      </c>
      <c r="P43" s="108">
        <f t="shared" si="8"/>
        <v>59315.231151327142</v>
      </c>
      <c r="Q43" s="100">
        <f t="shared" si="9"/>
        <v>2.2333333333333333E-3</v>
      </c>
      <c r="R43" s="100">
        <f>20%</f>
        <v>0.2</v>
      </c>
      <c r="S43" s="108">
        <f t="shared" si="10"/>
        <v>38088.022260918297</v>
      </c>
      <c r="T43" s="108">
        <f t="shared" si="11"/>
        <v>303140.86374081607</v>
      </c>
      <c r="U43" s="108">
        <f t="shared" si="12"/>
        <v>5038.3875358588803</v>
      </c>
      <c r="V43" s="108">
        <f t="shared" si="13"/>
        <v>8709.7684673813746</v>
      </c>
      <c r="W43" s="108">
        <f t="shared" si="14"/>
        <v>316889.01974405634</v>
      </c>
      <c r="X43" s="108">
        <f t="shared" si="15"/>
        <v>50884.824466072416</v>
      </c>
      <c r="Y43" s="108">
        <f t="shared" si="16"/>
        <v>13738.902605839554</v>
      </c>
      <c r="Z43" s="108">
        <f t="shared" si="17"/>
        <v>37145.921860232862</v>
      </c>
      <c r="AA43" s="108">
        <f t="shared" si="18"/>
        <v>3792.9712492187564</v>
      </c>
      <c r="AB43" s="108">
        <f t="shared" si="19"/>
        <v>33352.950611014108</v>
      </c>
      <c r="AC43" s="109">
        <f t="shared" si="20"/>
        <v>0.68713740276399327</v>
      </c>
      <c r="AD43" s="108">
        <f t="shared" si="21"/>
        <v>25524.352270314652</v>
      </c>
      <c r="AE43" s="108">
        <f t="shared" si="22"/>
        <v>217746.29799135865</v>
      </c>
      <c r="AF43" s="48">
        <f t="shared" si="23"/>
        <v>0.11722060262685886</v>
      </c>
      <c r="AG43" s="110"/>
    </row>
    <row r="44" spans="2:33" x14ac:dyDescent="0.4">
      <c r="B44" s="111" t="s">
        <v>94</v>
      </c>
      <c r="C44" s="123">
        <f>SUM(AD5:AD124)-$C$36*SUM(AE5:AE124)</f>
        <v>65550.786106366664</v>
      </c>
      <c r="E44" s="107">
        <v>40</v>
      </c>
      <c r="F44" s="107">
        <v>4</v>
      </c>
      <c r="G44" s="141">
        <f t="shared" si="24"/>
        <v>80868721.646533936</v>
      </c>
      <c r="H44" s="141">
        <f t="shared" si="0"/>
        <v>1537668.1158701384</v>
      </c>
      <c r="I44" s="141">
        <f t="shared" si="1"/>
        <v>926620.76886653481</v>
      </c>
      <c r="J44" s="141">
        <f t="shared" si="2"/>
        <v>611047.34700360359</v>
      </c>
      <c r="K44" s="108">
        <f t="shared" si="3"/>
        <v>80257674.299530327</v>
      </c>
      <c r="L44" s="108">
        <f t="shared" si="4"/>
        <v>84639397.930646554</v>
      </c>
      <c r="M44" s="108">
        <f t="shared" si="5"/>
        <v>134781.20274422335</v>
      </c>
      <c r="N44" s="108">
        <f t="shared" si="6"/>
        <v>12500</v>
      </c>
      <c r="O44" s="108">
        <f t="shared" si="7"/>
        <v>147281.20274422335</v>
      </c>
      <c r="P44" s="108">
        <f t="shared" si="8"/>
        <v>58912.481097689342</v>
      </c>
      <c r="Q44" s="100">
        <f t="shared" si="9"/>
        <v>2.2333333333333333E-3</v>
      </c>
      <c r="R44" s="100">
        <f>20%</f>
        <v>0.2</v>
      </c>
      <c r="S44" s="108">
        <f t="shared" si="10"/>
        <v>37805.597742355458</v>
      </c>
      <c r="T44" s="108">
        <f t="shared" si="11"/>
        <v>300893.05964344845</v>
      </c>
      <c r="U44" s="108">
        <f t="shared" si="12"/>
        <v>5004.1769155691572</v>
      </c>
      <c r="V44" s="108">
        <f t="shared" si="13"/>
        <v>8650.6291932131371</v>
      </c>
      <c r="W44" s="108">
        <f t="shared" si="14"/>
        <v>314547.86575223075</v>
      </c>
      <c r="X44" s="108">
        <f t="shared" si="15"/>
        <v>50563.123904178559</v>
      </c>
      <c r="Y44" s="108">
        <f t="shared" si="16"/>
        <v>13652.043454128212</v>
      </c>
      <c r="Z44" s="108">
        <f t="shared" si="17"/>
        <v>36911.080450050344</v>
      </c>
      <c r="AA44" s="108">
        <f t="shared" si="18"/>
        <v>3764.9490419862045</v>
      </c>
      <c r="AB44" s="108">
        <f t="shared" si="19"/>
        <v>33146.131408064139</v>
      </c>
      <c r="AC44" s="109">
        <f t="shared" si="20"/>
        <v>0.68055811908971697</v>
      </c>
      <c r="AD44" s="108">
        <f t="shared" si="21"/>
        <v>25120.135484655486</v>
      </c>
      <c r="AE44" s="108">
        <f t="shared" si="22"/>
        <v>214068.10388002297</v>
      </c>
      <c r="AF44" s="48">
        <f t="shared" si="23"/>
        <v>0.11734646605145047</v>
      </c>
      <c r="AG44" s="110"/>
    </row>
    <row r="45" spans="2:33" x14ac:dyDescent="0.4">
      <c r="E45" s="107">
        <v>41</v>
      </c>
      <c r="F45" s="107">
        <v>4</v>
      </c>
      <c r="G45" s="141">
        <f t="shared" si="24"/>
        <v>80257674.299530327</v>
      </c>
      <c r="H45" s="141">
        <f t="shared" si="0"/>
        <v>1537668.1158701384</v>
      </c>
      <c r="I45" s="141">
        <f t="shared" si="1"/>
        <v>919619.18468211836</v>
      </c>
      <c r="J45" s="141">
        <f t="shared" si="2"/>
        <v>618048.93118802004</v>
      </c>
      <c r="K45" s="108">
        <f t="shared" si="3"/>
        <v>79639625.36834231</v>
      </c>
      <c r="L45" s="108">
        <f t="shared" si="4"/>
        <v>83999859.200412139</v>
      </c>
      <c r="M45" s="108">
        <f t="shared" si="5"/>
        <v>133762.79049921731</v>
      </c>
      <c r="N45" s="108">
        <f t="shared" si="6"/>
        <v>12500</v>
      </c>
      <c r="O45" s="108">
        <f t="shared" si="7"/>
        <v>146262.79049921731</v>
      </c>
      <c r="P45" s="108">
        <f t="shared" si="8"/>
        <v>58505.116199686927</v>
      </c>
      <c r="Q45" s="100">
        <f t="shared" si="9"/>
        <v>2.2333333333333333E-3</v>
      </c>
      <c r="R45" s="100">
        <f>20%</f>
        <v>0.2</v>
      </c>
      <c r="S45" s="108">
        <f t="shared" si="10"/>
        <v>37519.937109517421</v>
      </c>
      <c r="T45" s="108">
        <f t="shared" si="11"/>
        <v>298619.49945746514</v>
      </c>
      <c r="U45" s="108">
        <f t="shared" si="12"/>
        <v>4969.5742985886136</v>
      </c>
      <c r="V45" s="108">
        <f t="shared" si="13"/>
        <v>8590.8122815283878</v>
      </c>
      <c r="W45" s="108">
        <f t="shared" si="14"/>
        <v>312179.88603758212</v>
      </c>
      <c r="X45" s="108">
        <f t="shared" si="15"/>
        <v>50237.737190012973</v>
      </c>
      <c r="Y45" s="108">
        <f t="shared" si="16"/>
        <v>13564.189041303503</v>
      </c>
      <c r="Z45" s="108">
        <f t="shared" si="17"/>
        <v>36673.548148709466</v>
      </c>
      <c r="AA45" s="108">
        <f t="shared" si="18"/>
        <v>3736.6057469624461</v>
      </c>
      <c r="AB45" s="108">
        <f t="shared" si="19"/>
        <v>32936.942401747023</v>
      </c>
      <c r="AC45" s="109">
        <f t="shared" si="20"/>
        <v>0.67404183151126151</v>
      </c>
      <c r="AD45" s="108">
        <f t="shared" si="21"/>
        <v>24719.505562172562</v>
      </c>
      <c r="AE45" s="108">
        <f t="shared" si="22"/>
        <v>210422.30214574875</v>
      </c>
      <c r="AF45" s="48">
        <f t="shared" si="23"/>
        <v>0.11747569202550891</v>
      </c>
      <c r="AG45" s="110"/>
    </row>
    <row r="46" spans="2:33" x14ac:dyDescent="0.4">
      <c r="E46" s="107">
        <v>42</v>
      </c>
      <c r="F46" s="107">
        <v>4</v>
      </c>
      <c r="G46" s="141">
        <f t="shared" si="24"/>
        <v>79639625.36834231</v>
      </c>
      <c r="H46" s="141">
        <f t="shared" si="0"/>
        <v>1537668.1158701384</v>
      </c>
      <c r="I46" s="141">
        <f t="shared" si="1"/>
        <v>912537.37401225569</v>
      </c>
      <c r="J46" s="141">
        <f t="shared" si="2"/>
        <v>625130.74185788271</v>
      </c>
      <c r="K46" s="108">
        <f t="shared" si="3"/>
        <v>79014494.626484424</v>
      </c>
      <c r="L46" s="108">
        <f t="shared" si="4"/>
        <v>83352992.422227144</v>
      </c>
      <c r="M46" s="108">
        <f t="shared" si="5"/>
        <v>132732.70894723732</v>
      </c>
      <c r="N46" s="108">
        <f t="shared" si="6"/>
        <v>12500</v>
      </c>
      <c r="O46" s="108">
        <f t="shared" si="7"/>
        <v>145232.70894723732</v>
      </c>
      <c r="P46" s="108">
        <f t="shared" si="8"/>
        <v>58093.083578894933</v>
      </c>
      <c r="Q46" s="100">
        <f t="shared" si="9"/>
        <v>2.2333333333333333E-3</v>
      </c>
      <c r="R46" s="100">
        <f>20%</f>
        <v>0.2</v>
      </c>
      <c r="S46" s="108">
        <f t="shared" si="10"/>
        <v>37231.003281928126</v>
      </c>
      <c r="T46" s="108">
        <f t="shared" si="11"/>
        <v>296319.8880610175</v>
      </c>
      <c r="U46" s="108">
        <f t="shared" si="12"/>
        <v>4934.5751932885032</v>
      </c>
      <c r="V46" s="108">
        <f t="shared" si="13"/>
        <v>8530.3099677305872</v>
      </c>
      <c r="W46" s="108">
        <f t="shared" si="14"/>
        <v>309784.7732220366</v>
      </c>
      <c r="X46" s="108">
        <f t="shared" si="15"/>
        <v>49908.62208641426</v>
      </c>
      <c r="Y46" s="108">
        <f t="shared" si="16"/>
        <v>13475.327963331851</v>
      </c>
      <c r="Z46" s="108">
        <f t="shared" si="17"/>
        <v>36433.294123082407</v>
      </c>
      <c r="AA46" s="108">
        <f t="shared" si="18"/>
        <v>3707.9376850165418</v>
      </c>
      <c r="AB46" s="108">
        <f t="shared" si="19"/>
        <v>32725.356438065864</v>
      </c>
      <c r="AC46" s="109">
        <f t="shared" si="20"/>
        <v>0.66758793684623141</v>
      </c>
      <c r="AD46" s="108">
        <f t="shared" si="21"/>
        <v>24322.427656140513</v>
      </c>
      <c r="AE46" s="108">
        <f t="shared" si="22"/>
        <v>206808.5776216771</v>
      </c>
      <c r="AF46" s="48">
        <f t="shared" si="23"/>
        <v>0.11760840839316862</v>
      </c>
      <c r="AG46" s="110"/>
    </row>
    <row r="47" spans="2:33" x14ac:dyDescent="0.4">
      <c r="C47" s="124"/>
      <c r="E47" s="107">
        <v>43</v>
      </c>
      <c r="F47" s="107">
        <v>4</v>
      </c>
      <c r="G47" s="141">
        <f t="shared" si="24"/>
        <v>79014494.626484424</v>
      </c>
      <c r="H47" s="141">
        <f t="shared" si="0"/>
        <v>1537668.1158701384</v>
      </c>
      <c r="I47" s="141">
        <f t="shared" si="1"/>
        <v>905374.41759513412</v>
      </c>
      <c r="J47" s="141">
        <f t="shared" si="2"/>
        <v>632293.69827500428</v>
      </c>
      <c r="K47" s="108">
        <f t="shared" si="3"/>
        <v>78382200.928209424</v>
      </c>
      <c r="L47" s="108">
        <f t="shared" si="4"/>
        <v>82698713.628875419</v>
      </c>
      <c r="M47" s="108">
        <f t="shared" si="5"/>
        <v>131690.82437747417</v>
      </c>
      <c r="N47" s="108">
        <f t="shared" si="6"/>
        <v>12500</v>
      </c>
      <c r="O47" s="108">
        <f t="shared" si="7"/>
        <v>144190.82437747417</v>
      </c>
      <c r="P47" s="108">
        <f t="shared" si="8"/>
        <v>57676.329750989673</v>
      </c>
      <c r="Q47" s="100">
        <f t="shared" si="9"/>
        <v>2.2333333333333333E-3</v>
      </c>
      <c r="R47" s="100">
        <f>20%</f>
        <v>0.2</v>
      </c>
      <c r="S47" s="108">
        <f t="shared" si="10"/>
        <v>36938.758754231021</v>
      </c>
      <c r="T47" s="108">
        <f t="shared" si="11"/>
        <v>293993.92695065209</v>
      </c>
      <c r="U47" s="108">
        <f t="shared" si="12"/>
        <v>4899.1750565734947</v>
      </c>
      <c r="V47" s="108">
        <f t="shared" si="13"/>
        <v>8469.1143982538506</v>
      </c>
      <c r="W47" s="108">
        <f t="shared" si="14"/>
        <v>307362.21640547941</v>
      </c>
      <c r="X47" s="108">
        <f t="shared" si="15"/>
        <v>49575.73587225347</v>
      </c>
      <c r="Y47" s="108">
        <f t="shared" si="16"/>
        <v>13385.448685508438</v>
      </c>
      <c r="Z47" s="108">
        <f t="shared" si="17"/>
        <v>36190.28718674503</v>
      </c>
      <c r="AA47" s="108">
        <f t="shared" si="18"/>
        <v>3678.9411348608378</v>
      </c>
      <c r="AB47" s="108">
        <f t="shared" si="19"/>
        <v>32511.346051884193</v>
      </c>
      <c r="AC47" s="109">
        <f t="shared" si="20"/>
        <v>0.66119583768765189</v>
      </c>
      <c r="AD47" s="108">
        <f t="shared" si="21"/>
        <v>23928.867252596574</v>
      </c>
      <c r="AE47" s="108">
        <f t="shared" si="22"/>
        <v>203226.6181497543</v>
      </c>
      <c r="AF47" s="48">
        <f t="shared" si="23"/>
        <v>0.11774474953356648</v>
      </c>
      <c r="AG47" s="110"/>
    </row>
    <row r="48" spans="2:33" x14ac:dyDescent="0.4">
      <c r="C48" s="125"/>
      <c r="E48" s="107">
        <v>44</v>
      </c>
      <c r="F48" s="107">
        <v>4</v>
      </c>
      <c r="G48" s="141">
        <f t="shared" si="24"/>
        <v>78382200.928209424</v>
      </c>
      <c r="H48" s="141">
        <f t="shared" si="0"/>
        <v>1537668.1158701384</v>
      </c>
      <c r="I48" s="141">
        <f t="shared" si="1"/>
        <v>898129.38563573302</v>
      </c>
      <c r="J48" s="141">
        <f t="shared" si="2"/>
        <v>639538.73023440538</v>
      </c>
      <c r="K48" s="108">
        <f t="shared" si="3"/>
        <v>77742662.197975025</v>
      </c>
      <c r="L48" s="108">
        <f t="shared" si="4"/>
        <v>82036937.891016558</v>
      </c>
      <c r="M48" s="108">
        <f t="shared" si="5"/>
        <v>130637.00154701581</v>
      </c>
      <c r="N48" s="108">
        <f t="shared" si="6"/>
        <v>12500</v>
      </c>
      <c r="O48" s="108">
        <f t="shared" si="7"/>
        <v>143137.0015470158</v>
      </c>
      <c r="P48" s="108">
        <f t="shared" si="8"/>
        <v>57254.800618806323</v>
      </c>
      <c r="Q48" s="100">
        <f t="shared" si="9"/>
        <v>2.2333333333333333E-3</v>
      </c>
      <c r="R48" s="100">
        <f>20%</f>
        <v>0.2</v>
      </c>
      <c r="S48" s="108">
        <f t="shared" si="10"/>
        <v>36643.165591320729</v>
      </c>
      <c r="T48" s="108">
        <f t="shared" si="11"/>
        <v>291641.31420256384</v>
      </c>
      <c r="U48" s="108">
        <f t="shared" si="12"/>
        <v>4863.3692932919585</v>
      </c>
      <c r="V48" s="108">
        <f t="shared" si="13"/>
        <v>8407.2176295435256</v>
      </c>
      <c r="W48" s="108">
        <f t="shared" si="14"/>
        <v>304911.90112539928</v>
      </c>
      <c r="X48" s="108">
        <f t="shared" si="15"/>
        <v>49239.035336888737</v>
      </c>
      <c r="Y48" s="108">
        <f t="shared" si="16"/>
        <v>13294.539540959961</v>
      </c>
      <c r="Z48" s="108">
        <f t="shared" si="17"/>
        <v>35944.495795928779</v>
      </c>
      <c r="AA48" s="108">
        <f t="shared" si="18"/>
        <v>3649.6123325679346</v>
      </c>
      <c r="AB48" s="108">
        <f t="shared" si="19"/>
        <v>32294.883463360842</v>
      </c>
      <c r="AC48" s="109">
        <f t="shared" si="20"/>
        <v>0.65486494234867132</v>
      </c>
      <c r="AD48" s="108">
        <f t="shared" si="21"/>
        <v>23538.790167152958</v>
      </c>
      <c r="AE48" s="108">
        <f t="shared" si="22"/>
        <v>199676.11455190837</v>
      </c>
      <c r="AF48" s="48">
        <f t="shared" si="23"/>
        <v>0.11788485678407844</v>
      </c>
      <c r="AG48" s="110"/>
    </row>
    <row r="49" spans="5:33" x14ac:dyDescent="0.4">
      <c r="E49" s="107">
        <v>45</v>
      </c>
      <c r="F49" s="107">
        <v>4</v>
      </c>
      <c r="G49" s="141">
        <f t="shared" si="24"/>
        <v>77742662.197975025</v>
      </c>
      <c r="H49" s="141">
        <f t="shared" si="0"/>
        <v>1537668.1158701384</v>
      </c>
      <c r="I49" s="141">
        <f t="shared" si="1"/>
        <v>890801.33768513054</v>
      </c>
      <c r="J49" s="141">
        <f t="shared" si="2"/>
        <v>646866.77818500786</v>
      </c>
      <c r="K49" s="108">
        <f t="shared" si="3"/>
        <v>77095795.419790015</v>
      </c>
      <c r="L49" s="108">
        <f t="shared" si="4"/>
        <v>81367579.306161404</v>
      </c>
      <c r="M49" s="108">
        <f t="shared" si="5"/>
        <v>129571.10366329183</v>
      </c>
      <c r="N49" s="108">
        <f t="shared" si="6"/>
        <v>12500</v>
      </c>
      <c r="O49" s="108">
        <f t="shared" si="7"/>
        <v>142071.10366329184</v>
      </c>
      <c r="P49" s="108">
        <f t="shared" si="8"/>
        <v>56828.441465316741</v>
      </c>
      <c r="Q49" s="100">
        <f t="shared" si="9"/>
        <v>2.2333333333333333E-3</v>
      </c>
      <c r="R49" s="100">
        <f>20%</f>
        <v>0.2</v>
      </c>
      <c r="S49" s="108">
        <f t="shared" si="10"/>
        <v>36344.185423418763</v>
      </c>
      <c r="T49" s="108">
        <f t="shared" si="11"/>
        <v>289261.74443340377</v>
      </c>
      <c r="U49" s="108">
        <f t="shared" si="12"/>
        <v>4827.1532556394914</v>
      </c>
      <c r="V49" s="108">
        <f t="shared" si="13"/>
        <v>8344.6116270250659</v>
      </c>
      <c r="W49" s="108">
        <f t="shared" si="14"/>
        <v>302433.50931606832</v>
      </c>
      <c r="X49" s="108">
        <f t="shared" si="15"/>
        <v>48898.476774556329</v>
      </c>
      <c r="Y49" s="108">
        <f t="shared" si="16"/>
        <v>13202.58872913021</v>
      </c>
      <c r="Z49" s="108">
        <f t="shared" si="17"/>
        <v>35695.888045426123</v>
      </c>
      <c r="AA49" s="108">
        <f t="shared" si="18"/>
        <v>3619.9474710820928</v>
      </c>
      <c r="AB49" s="108">
        <f t="shared" si="19"/>
        <v>32075.940574344029</v>
      </c>
      <c r="AC49" s="109">
        <f t="shared" si="20"/>
        <v>0.64859466480779016</v>
      </c>
      <c r="AD49" s="108">
        <f t="shared" si="21"/>
        <v>23152.16254183956</v>
      </c>
      <c r="AE49" s="108">
        <f t="shared" si="22"/>
        <v>196156.760601499</v>
      </c>
      <c r="AF49" s="48">
        <f t="shared" si="23"/>
        <v>0.11802887889688485</v>
      </c>
      <c r="AG49" s="110"/>
    </row>
    <row r="50" spans="5:33" x14ac:dyDescent="0.4">
      <c r="E50" s="107">
        <v>46</v>
      </c>
      <c r="F50" s="107">
        <v>4</v>
      </c>
      <c r="G50" s="141">
        <f t="shared" si="24"/>
        <v>77095795.419790015</v>
      </c>
      <c r="H50" s="141">
        <f t="shared" si="0"/>
        <v>1537668.1158701384</v>
      </c>
      <c r="I50" s="141">
        <f t="shared" si="1"/>
        <v>883389.32251842727</v>
      </c>
      <c r="J50" s="141">
        <f t="shared" si="2"/>
        <v>654278.79335171112</v>
      </c>
      <c r="K50" s="108">
        <f t="shared" si="3"/>
        <v>76441516.626438305</v>
      </c>
      <c r="L50" s="108">
        <f t="shared" si="4"/>
        <v>80690550.98752144</v>
      </c>
      <c r="M50" s="108">
        <f t="shared" si="5"/>
        <v>128492.9923663168</v>
      </c>
      <c r="N50" s="108">
        <f t="shared" si="6"/>
        <v>12500</v>
      </c>
      <c r="O50" s="108">
        <f t="shared" si="7"/>
        <v>140992.99236631679</v>
      </c>
      <c r="P50" s="108">
        <f t="shared" si="8"/>
        <v>56397.196946526718</v>
      </c>
      <c r="Q50" s="100">
        <f t="shared" si="9"/>
        <v>2.2333333333333333E-3</v>
      </c>
      <c r="R50" s="100">
        <f>20%</f>
        <v>0.2</v>
      </c>
      <c r="S50" s="108">
        <f t="shared" si="10"/>
        <v>36041.779441092913</v>
      </c>
      <c r="T50" s="108">
        <f t="shared" si="11"/>
        <v>286854.90876063867</v>
      </c>
      <c r="U50" s="108">
        <f t="shared" si="12"/>
        <v>4790.5222425555867</v>
      </c>
      <c r="V50" s="108">
        <f t="shared" si="13"/>
        <v>8281.2882640610769</v>
      </c>
      <c r="W50" s="108">
        <f t="shared" si="14"/>
        <v>299926.71926725534</v>
      </c>
      <c r="X50" s="108">
        <f t="shared" si="15"/>
        <v>48554.015978697156</v>
      </c>
      <c r="Y50" s="108">
        <f t="shared" si="16"/>
        <v>13109.584314248234</v>
      </c>
      <c r="Z50" s="108">
        <f t="shared" si="17"/>
        <v>35444.431664448923</v>
      </c>
      <c r="AA50" s="108">
        <f t="shared" si="18"/>
        <v>3589.942699725058</v>
      </c>
      <c r="AB50" s="108">
        <f t="shared" si="19"/>
        <v>31854.488964723863</v>
      </c>
      <c r="AC50" s="109">
        <f t="shared" si="20"/>
        <v>0.64238442465461632</v>
      </c>
      <c r="AD50" s="108">
        <f t="shared" si="21"/>
        <v>22768.950841976886</v>
      </c>
      <c r="AE50" s="108">
        <f t="shared" si="22"/>
        <v>192668.25299504245</v>
      </c>
      <c r="AF50" s="48">
        <f t="shared" si="23"/>
        <v>0.11817697253196537</v>
      </c>
      <c r="AG50" s="110"/>
    </row>
    <row r="51" spans="5:33" x14ac:dyDescent="0.4">
      <c r="E51" s="107">
        <v>47</v>
      </c>
      <c r="F51" s="107">
        <v>4</v>
      </c>
      <c r="G51" s="141">
        <f t="shared" si="24"/>
        <v>76441516.626438305</v>
      </c>
      <c r="H51" s="141">
        <f t="shared" si="0"/>
        <v>1537668.1158701384</v>
      </c>
      <c r="I51" s="141">
        <f t="shared" si="1"/>
        <v>875892.37801127229</v>
      </c>
      <c r="J51" s="141">
        <f t="shared" si="2"/>
        <v>661775.73785886611</v>
      </c>
      <c r="K51" s="108">
        <f t="shared" si="3"/>
        <v>75779740.888579443</v>
      </c>
      <c r="L51" s="108">
        <f t="shared" si="4"/>
        <v>80005765.052730396</v>
      </c>
      <c r="M51" s="108">
        <f t="shared" si="5"/>
        <v>127402.52771073062</v>
      </c>
      <c r="N51" s="108">
        <f t="shared" si="6"/>
        <v>12500</v>
      </c>
      <c r="O51" s="108">
        <f t="shared" si="7"/>
        <v>139902.52771073062</v>
      </c>
      <c r="P51" s="108">
        <f t="shared" si="8"/>
        <v>55961.011084292251</v>
      </c>
      <c r="Q51" s="100">
        <f t="shared" si="9"/>
        <v>2.2333333333333333E-3</v>
      </c>
      <c r="R51" s="100">
        <f>20%</f>
        <v>0.2</v>
      </c>
      <c r="S51" s="108">
        <f t="shared" si="10"/>
        <v>35735.908390219578</v>
      </c>
      <c r="T51" s="108">
        <f t="shared" si="11"/>
        <v>284420.49476245651</v>
      </c>
      <c r="U51" s="108">
        <f t="shared" si="12"/>
        <v>4753.4714991134306</v>
      </c>
      <c r="V51" s="108">
        <f t="shared" si="13"/>
        <v>8217.2393208964622</v>
      </c>
      <c r="W51" s="108">
        <f t="shared" si="14"/>
        <v>297391.20558246638</v>
      </c>
      <c r="X51" s="108">
        <f t="shared" si="15"/>
        <v>48205.608236218781</v>
      </c>
      <c r="Y51" s="108">
        <f t="shared" si="16"/>
        <v>13015.514223779071</v>
      </c>
      <c r="Z51" s="108">
        <f t="shared" si="17"/>
        <v>35190.094012439709</v>
      </c>
      <c r="AA51" s="108">
        <f t="shared" si="18"/>
        <v>3559.594123696224</v>
      </c>
      <c r="AB51" s="108">
        <f t="shared" si="19"/>
        <v>31630.499888743485</v>
      </c>
      <c r="AC51" s="109">
        <f t="shared" si="20"/>
        <v>0.63623364703613916</v>
      </c>
      <c r="AD51" s="108">
        <f t="shared" si="21"/>
        <v>22389.121853079119</v>
      </c>
      <c r="AE51" s="108">
        <f t="shared" si="22"/>
        <v>189210.2913242068</v>
      </c>
      <c r="AF51" s="48">
        <f t="shared" si="23"/>
        <v>0.11832930278996269</v>
      </c>
      <c r="AG51" s="110"/>
    </row>
    <row r="52" spans="5:33" x14ac:dyDescent="0.4">
      <c r="E52" s="107">
        <v>48</v>
      </c>
      <c r="F52" s="107">
        <v>4</v>
      </c>
      <c r="G52" s="141">
        <f t="shared" si="24"/>
        <v>75779740.888579443</v>
      </c>
      <c r="H52" s="141">
        <f t="shared" si="0"/>
        <v>1537668.1158701384</v>
      </c>
      <c r="I52" s="141">
        <f t="shared" si="1"/>
        <v>868309.53101497283</v>
      </c>
      <c r="J52" s="141">
        <f t="shared" si="2"/>
        <v>669358.58485516557</v>
      </c>
      <c r="K52" s="108">
        <f t="shared" si="3"/>
        <v>75110382.303724274</v>
      </c>
      <c r="L52" s="108">
        <f t="shared" si="4"/>
        <v>79313132.612436533</v>
      </c>
      <c r="M52" s="108">
        <f t="shared" si="5"/>
        <v>126299.56814763253</v>
      </c>
      <c r="N52" s="108">
        <f t="shared" si="6"/>
        <v>12500</v>
      </c>
      <c r="O52" s="108">
        <f t="shared" si="7"/>
        <v>138799.56814763253</v>
      </c>
      <c r="P52" s="108">
        <f t="shared" si="8"/>
        <v>55519.82725905301</v>
      </c>
      <c r="Q52" s="100">
        <f t="shared" si="9"/>
        <v>2.2333333333333333E-3</v>
      </c>
      <c r="R52" s="100">
        <f>20%</f>
        <v>0.2</v>
      </c>
      <c r="S52" s="108">
        <f t="shared" si="10"/>
        <v>35426.532566888316</v>
      </c>
      <c r="T52" s="108">
        <f t="shared" si="11"/>
        <v>281958.18643721187</v>
      </c>
      <c r="U52" s="108">
        <f t="shared" si="12"/>
        <v>4715.9962159026672</v>
      </c>
      <c r="V52" s="108">
        <f t="shared" si="13"/>
        <v>8152.4564835914207</v>
      </c>
      <c r="W52" s="108">
        <f t="shared" si="14"/>
        <v>294826.63913670596</v>
      </c>
      <c r="X52" s="108">
        <f t="shared" si="15"/>
        <v>47853.2083216912</v>
      </c>
      <c r="Y52" s="108">
        <f t="shared" si="16"/>
        <v>12920.366246856625</v>
      </c>
      <c r="Z52" s="108">
        <f t="shared" si="17"/>
        <v>34932.842074834574</v>
      </c>
      <c r="AA52" s="108">
        <f t="shared" si="18"/>
        <v>3528.8978035670602</v>
      </c>
      <c r="AB52" s="108">
        <f t="shared" si="19"/>
        <v>31403.944271267515</v>
      </c>
      <c r="AC52" s="109">
        <f t="shared" si="20"/>
        <v>0.63014176260351717</v>
      </c>
      <c r="AD52" s="108">
        <f t="shared" si="21"/>
        <v>22012.642677786564</v>
      </c>
      <c r="AE52" s="108">
        <f t="shared" si="22"/>
        <v>185782.578048075</v>
      </c>
      <c r="AF52" s="48">
        <f t="shared" si="23"/>
        <v>0.11848604378872571</v>
      </c>
      <c r="AG52" s="110"/>
    </row>
    <row r="53" spans="5:33" x14ac:dyDescent="0.4">
      <c r="E53" s="107">
        <v>49</v>
      </c>
      <c r="F53" s="107">
        <v>5</v>
      </c>
      <c r="G53" s="141">
        <f t="shared" si="24"/>
        <v>75110382.303724274</v>
      </c>
      <c r="H53" s="141">
        <f t="shared" si="0"/>
        <v>1537668.1158701384</v>
      </c>
      <c r="I53" s="141">
        <f t="shared" si="1"/>
        <v>860639.79723017407</v>
      </c>
      <c r="J53" s="141">
        <f t="shared" si="2"/>
        <v>677028.31863996433</v>
      </c>
      <c r="K53" s="108">
        <f t="shared" si="3"/>
        <v>74433353.98508431</v>
      </c>
      <c r="L53" s="108">
        <f t="shared" si="4"/>
        <v>78612563.758764297</v>
      </c>
      <c r="M53" s="108">
        <f t="shared" si="5"/>
        <v>125183.97050620725</v>
      </c>
      <c r="N53" s="108">
        <f t="shared" si="6"/>
        <v>12500</v>
      </c>
      <c r="O53" s="108">
        <f t="shared" si="7"/>
        <v>137683.97050620726</v>
      </c>
      <c r="P53" s="108">
        <f t="shared" si="8"/>
        <v>55073.588202482904</v>
      </c>
      <c r="Q53" s="100">
        <f t="shared" si="9"/>
        <v>2.2333333333333333E-3</v>
      </c>
      <c r="R53" s="100">
        <f>20%</f>
        <v>0.2</v>
      </c>
      <c r="S53" s="108">
        <f t="shared" si="10"/>
        <v>35113.611812248055</v>
      </c>
      <c r="T53" s="108">
        <f t="shared" si="11"/>
        <v>279467.66416240705</v>
      </c>
      <c r="U53" s="108">
        <f t="shared" si="12"/>
        <v>4678.0915284051125</v>
      </c>
      <c r="V53" s="108">
        <f t="shared" si="13"/>
        <v>8086.9313429422573</v>
      </c>
      <c r="W53" s="108">
        <f t="shared" si="14"/>
        <v>292232.68703375437</v>
      </c>
      <c r="X53" s="108">
        <f t="shared" si="15"/>
        <v>47496.770491476302</v>
      </c>
      <c r="Y53" s="108">
        <f t="shared" si="16"/>
        <v>12824.128032698602</v>
      </c>
      <c r="Z53" s="108">
        <f t="shared" si="17"/>
        <v>34672.6424587777</v>
      </c>
      <c r="AA53" s="108">
        <f t="shared" si="18"/>
        <v>3497.849754769748</v>
      </c>
      <c r="AB53" s="108">
        <f t="shared" si="19"/>
        <v>31174.792704007952</v>
      </c>
      <c r="AC53" s="109">
        <f t="shared" si="20"/>
        <v>0.62410820745937834</v>
      </c>
      <c r="AD53" s="108">
        <f t="shared" si="21"/>
        <v>21639.480732827684</v>
      </c>
      <c r="AE53" s="108">
        <f t="shared" si="22"/>
        <v>182384.81846567395</v>
      </c>
      <c r="AF53" s="48">
        <f t="shared" si="23"/>
        <v>0.11864737928776883</v>
      </c>
      <c r="AG53" s="110"/>
    </row>
    <row r="54" spans="5:33" x14ac:dyDescent="0.4">
      <c r="E54" s="107">
        <v>50</v>
      </c>
      <c r="F54" s="107">
        <v>5</v>
      </c>
      <c r="G54" s="141">
        <f t="shared" si="24"/>
        <v>74433353.98508431</v>
      </c>
      <c r="H54" s="141">
        <f t="shared" si="0"/>
        <v>1537668.1158701384</v>
      </c>
      <c r="I54" s="141">
        <f t="shared" si="1"/>
        <v>852882.18107909115</v>
      </c>
      <c r="J54" s="141">
        <f t="shared" si="2"/>
        <v>684785.93479104724</v>
      </c>
      <c r="K54" s="108">
        <f t="shared" si="3"/>
        <v>73748568.050293267</v>
      </c>
      <c r="L54" s="108">
        <f t="shared" si="4"/>
        <v>77903967.553643748</v>
      </c>
      <c r="M54" s="108">
        <f t="shared" si="5"/>
        <v>124055.58997514063</v>
      </c>
      <c r="N54" s="108">
        <f t="shared" si="6"/>
        <v>12500</v>
      </c>
      <c r="O54" s="108">
        <f t="shared" si="7"/>
        <v>136555.58997514064</v>
      </c>
      <c r="P54" s="108">
        <f t="shared" si="8"/>
        <v>54622.235990056259</v>
      </c>
      <c r="Q54" s="100">
        <f t="shared" si="9"/>
        <v>2.2333333333333333E-3</v>
      </c>
      <c r="R54" s="100">
        <f>20%</f>
        <v>0.2</v>
      </c>
      <c r="S54" s="108">
        <f t="shared" si="10"/>
        <v>34797.105507294211</v>
      </c>
      <c r="T54" s="108">
        <f t="shared" si="11"/>
        <v>276948.60465320351</v>
      </c>
      <c r="U54" s="108">
        <f t="shared" si="12"/>
        <v>4639.7525163633145</v>
      </c>
      <c r="V54" s="108">
        <f t="shared" si="13"/>
        <v>8020.6553933898213</v>
      </c>
      <c r="W54" s="108">
        <f t="shared" si="14"/>
        <v>289609.01256295666</v>
      </c>
      <c r="X54" s="108">
        <f t="shared" si="15"/>
        <v>47136.24847779017</v>
      </c>
      <c r="Y54" s="108">
        <f t="shared" si="16"/>
        <v>12726.787089003346</v>
      </c>
      <c r="Z54" s="108">
        <f t="shared" si="17"/>
        <v>34409.461388786825</v>
      </c>
      <c r="AA54" s="108">
        <f t="shared" si="18"/>
        <v>3466.4459470799688</v>
      </c>
      <c r="AB54" s="108">
        <f t="shared" si="19"/>
        <v>30943.015441706855</v>
      </c>
      <c r="AC54" s="109">
        <f t="shared" si="20"/>
        <v>0.61813242310561989</v>
      </c>
      <c r="AD54" s="108">
        <f t="shared" si="21"/>
        <v>21269.603746010071</v>
      </c>
      <c r="AE54" s="108">
        <f t="shared" si="22"/>
        <v>179016.72068876631</v>
      </c>
      <c r="AF54" s="48">
        <f t="shared" si="23"/>
        <v>0.11881350336535788</v>
      </c>
      <c r="AG54" s="110"/>
    </row>
    <row r="55" spans="5:33" x14ac:dyDescent="0.4">
      <c r="E55" s="107">
        <v>51</v>
      </c>
      <c r="F55" s="107">
        <v>5</v>
      </c>
      <c r="G55" s="141">
        <f t="shared" si="24"/>
        <v>73748568.050293267</v>
      </c>
      <c r="H55" s="141">
        <f t="shared" si="0"/>
        <v>1537668.1158701384</v>
      </c>
      <c r="I55" s="141">
        <f t="shared" si="1"/>
        <v>845035.67557627708</v>
      </c>
      <c r="J55" s="141">
        <f t="shared" si="2"/>
        <v>692632.44029386132</v>
      </c>
      <c r="K55" s="108">
        <f t="shared" si="3"/>
        <v>73055935.609999403</v>
      </c>
      <c r="L55" s="108">
        <f t="shared" si="4"/>
        <v>77187252.017006189</v>
      </c>
      <c r="M55" s="108">
        <f t="shared" si="5"/>
        <v>122914.28008382222</v>
      </c>
      <c r="N55" s="108">
        <f t="shared" si="6"/>
        <v>12500</v>
      </c>
      <c r="O55" s="108">
        <f t="shared" si="7"/>
        <v>135414.2800838222</v>
      </c>
      <c r="P55" s="108">
        <f t="shared" si="8"/>
        <v>54165.712033528886</v>
      </c>
      <c r="Q55" s="100">
        <f t="shared" si="9"/>
        <v>2.2333333333333333E-3</v>
      </c>
      <c r="R55" s="100">
        <f>20%</f>
        <v>0.2</v>
      </c>
      <c r="S55" s="108">
        <f t="shared" si="10"/>
        <v>34476.972567596094</v>
      </c>
      <c r="T55" s="108">
        <f t="shared" si="11"/>
        <v>274400.680920457</v>
      </c>
      <c r="U55" s="108">
        <f t="shared" si="12"/>
        <v>4600.9742031418709</v>
      </c>
      <c r="V55" s="108">
        <f t="shared" si="13"/>
        <v>7953.6200319154295</v>
      </c>
      <c r="W55" s="108">
        <f t="shared" si="14"/>
        <v>286955.2751555143</v>
      </c>
      <c r="X55" s="108">
        <f t="shared" si="15"/>
        <v>46771.595482697216</v>
      </c>
      <c r="Y55" s="108">
        <f t="shared" si="16"/>
        <v>12628.33078032825</v>
      </c>
      <c r="Z55" s="108">
        <f t="shared" si="17"/>
        <v>34143.264702368964</v>
      </c>
      <c r="AA55" s="108">
        <f t="shared" si="18"/>
        <v>3434.6823040937434</v>
      </c>
      <c r="AB55" s="108">
        <f t="shared" si="19"/>
        <v>30708.582398275219</v>
      </c>
      <c r="AC55" s="109">
        <f t="shared" si="20"/>
        <v>0.61221385639171266</v>
      </c>
      <c r="AD55" s="108">
        <f t="shared" si="21"/>
        <v>20902.979753240346</v>
      </c>
      <c r="AE55" s="108">
        <f t="shared" si="22"/>
        <v>175677.99561490244</v>
      </c>
      <c r="AF55" s="48">
        <f t="shared" si="23"/>
        <v>0.11898462115347123</v>
      </c>
      <c r="AG55" s="110"/>
    </row>
    <row r="56" spans="5:33" x14ac:dyDescent="0.4">
      <c r="E56" s="107">
        <v>52</v>
      </c>
      <c r="F56" s="107">
        <v>5</v>
      </c>
      <c r="G56" s="141">
        <f t="shared" si="24"/>
        <v>73055935.609999403</v>
      </c>
      <c r="H56" s="141">
        <f t="shared" si="0"/>
        <v>1537668.1158701384</v>
      </c>
      <c r="I56" s="141">
        <f t="shared" si="1"/>
        <v>837099.26219790988</v>
      </c>
      <c r="J56" s="141">
        <f t="shared" si="2"/>
        <v>700568.85367222852</v>
      </c>
      <c r="K56" s="108">
        <f t="shared" si="3"/>
        <v>72355366.756327182</v>
      </c>
      <c r="L56" s="108">
        <f t="shared" si="4"/>
        <v>76462324.11484465</v>
      </c>
      <c r="M56" s="108">
        <f t="shared" si="5"/>
        <v>121759.89268333245</v>
      </c>
      <c r="N56" s="108">
        <f t="shared" si="6"/>
        <v>12500</v>
      </c>
      <c r="O56" s="108">
        <f t="shared" si="7"/>
        <v>134259.89268333244</v>
      </c>
      <c r="P56" s="108">
        <f t="shared" si="8"/>
        <v>53703.957073332975</v>
      </c>
      <c r="Q56" s="100">
        <f t="shared" si="9"/>
        <v>2.2333333333333333E-3</v>
      </c>
      <c r="R56" s="100">
        <f>20%</f>
        <v>0.2</v>
      </c>
      <c r="S56" s="108">
        <f t="shared" si="10"/>
        <v>34153.171437963945</v>
      </c>
      <c r="T56" s="108">
        <f t="shared" si="11"/>
        <v>271823.56222827273</v>
      </c>
      <c r="U56" s="108">
        <f t="shared" si="12"/>
        <v>4561.7515550814323</v>
      </c>
      <c r="V56" s="108">
        <f t="shared" si="13"/>
        <v>7885.8165569241455</v>
      </c>
      <c r="W56" s="108">
        <f t="shared" si="14"/>
        <v>284271.13034027832</v>
      </c>
      <c r="X56" s="108">
        <f t="shared" si="15"/>
        <v>46402.764172035517</v>
      </c>
      <c r="Y56" s="108">
        <f t="shared" si="16"/>
        <v>12528.746326449591</v>
      </c>
      <c r="Z56" s="108">
        <f t="shared" si="17"/>
        <v>33874.017845585928</v>
      </c>
      <c r="AA56" s="108">
        <f t="shared" si="18"/>
        <v>3402.5547026983004</v>
      </c>
      <c r="AB56" s="108">
        <f t="shared" si="19"/>
        <v>30471.463142887627</v>
      </c>
      <c r="AC56" s="109">
        <f t="shared" si="20"/>
        <v>0.60635195946349796</v>
      </c>
      <c r="AD56" s="108">
        <f t="shared" si="21"/>
        <v>20539.577095572524</v>
      </c>
      <c r="AE56" s="108">
        <f t="shared" si="22"/>
        <v>172368.35690073119</v>
      </c>
      <c r="AF56" s="48">
        <f t="shared" si="23"/>
        <v>0.11916094963648978</v>
      </c>
      <c r="AG56" s="110"/>
    </row>
    <row r="57" spans="5:33" x14ac:dyDescent="0.4">
      <c r="E57" s="107">
        <v>53</v>
      </c>
      <c r="F57" s="107">
        <v>5</v>
      </c>
      <c r="G57" s="141">
        <f t="shared" si="24"/>
        <v>72355366.756327182</v>
      </c>
      <c r="H57" s="141">
        <f t="shared" si="0"/>
        <v>1537668.1158701384</v>
      </c>
      <c r="I57" s="141">
        <f t="shared" si="1"/>
        <v>829071.91074958234</v>
      </c>
      <c r="J57" s="141">
        <f t="shared" si="2"/>
        <v>708596.20512055606</v>
      </c>
      <c r="K57" s="108">
        <f t="shared" si="3"/>
        <v>71646770.551206619</v>
      </c>
      <c r="L57" s="108">
        <f t="shared" si="4"/>
        <v>75729089.747137517</v>
      </c>
      <c r="M57" s="108">
        <f t="shared" si="5"/>
        <v>120592.27792721207</v>
      </c>
      <c r="N57" s="108">
        <f t="shared" si="6"/>
        <v>12500</v>
      </c>
      <c r="O57" s="108">
        <f t="shared" si="7"/>
        <v>133092.27792721207</v>
      </c>
      <c r="P57" s="108">
        <f t="shared" si="8"/>
        <v>53236.911170884829</v>
      </c>
      <c r="Q57" s="100">
        <f t="shared" si="9"/>
        <v>2.2333333333333333E-3</v>
      </c>
      <c r="R57" s="100">
        <f>20%</f>
        <v>0.2</v>
      </c>
      <c r="S57" s="108">
        <f t="shared" si="10"/>
        <v>33825.660087054755</v>
      </c>
      <c r="T57" s="108">
        <f t="shared" si="11"/>
        <v>269216.91405107384</v>
      </c>
      <c r="U57" s="108">
        <f t="shared" si="12"/>
        <v>4522.079480845302</v>
      </c>
      <c r="V57" s="108">
        <f t="shared" si="13"/>
        <v>7817.2361671152539</v>
      </c>
      <c r="W57" s="108">
        <f t="shared" si="14"/>
        <v>281556.22969903442</v>
      </c>
      <c r="X57" s="108">
        <f t="shared" si="15"/>
        <v>46029.706669272491</v>
      </c>
      <c r="Y57" s="108">
        <f t="shared" si="16"/>
        <v>12428.020800703573</v>
      </c>
      <c r="Z57" s="108">
        <f t="shared" si="17"/>
        <v>33601.685868568922</v>
      </c>
      <c r="AA57" s="108">
        <f t="shared" si="18"/>
        <v>3370.0589725368682</v>
      </c>
      <c r="AB57" s="108">
        <f t="shared" si="19"/>
        <v>30231.626896032052</v>
      </c>
      <c r="AC57" s="109">
        <f t="shared" si="20"/>
        <v>0.60054618971247498</v>
      </c>
      <c r="AD57" s="108">
        <f t="shared" si="21"/>
        <v>20179.364416284581</v>
      </c>
      <c r="AE57" s="108">
        <f t="shared" si="22"/>
        <v>169087.5209355655</v>
      </c>
      <c r="AF57" s="48">
        <f t="shared" si="23"/>
        <v>0.11934271852015838</v>
      </c>
      <c r="AG57" s="110"/>
    </row>
    <row r="58" spans="5:33" x14ac:dyDescent="0.4">
      <c r="E58" s="107">
        <v>54</v>
      </c>
      <c r="F58" s="107">
        <v>5</v>
      </c>
      <c r="G58" s="141">
        <f t="shared" si="24"/>
        <v>71646770.551206619</v>
      </c>
      <c r="H58" s="141">
        <f t="shared" si="0"/>
        <v>1537668.1158701384</v>
      </c>
      <c r="I58" s="141">
        <f t="shared" si="1"/>
        <v>820952.57923257595</v>
      </c>
      <c r="J58" s="141">
        <f t="shared" si="2"/>
        <v>716715.53663756244</v>
      </c>
      <c r="K58" s="108">
        <f t="shared" si="3"/>
        <v>70930055.014569059</v>
      </c>
      <c r="L58" s="108">
        <f t="shared" si="4"/>
        <v>74987453.735633731</v>
      </c>
      <c r="M58" s="108">
        <f t="shared" si="5"/>
        <v>119411.28425201114</v>
      </c>
      <c r="N58" s="108">
        <f t="shared" si="6"/>
        <v>12500</v>
      </c>
      <c r="O58" s="108">
        <f t="shared" si="7"/>
        <v>131911.28425201116</v>
      </c>
      <c r="P58" s="108">
        <f t="shared" si="8"/>
        <v>52764.513700804469</v>
      </c>
      <c r="Q58" s="100">
        <f t="shared" si="9"/>
        <v>2.2333333333333333E-3</v>
      </c>
      <c r="R58" s="100">
        <f>20%</f>
        <v>0.2</v>
      </c>
      <c r="S58" s="108">
        <f t="shared" si="10"/>
        <v>33494.396001916401</v>
      </c>
      <c r="T58" s="108">
        <f t="shared" si="11"/>
        <v>266580.39803017786</v>
      </c>
      <c r="U58" s="108">
        <f t="shared" si="12"/>
        <v>4481.9528307585488</v>
      </c>
      <c r="V58" s="108">
        <f t="shared" si="13"/>
        <v>7747.8699603398018</v>
      </c>
      <c r="W58" s="108">
        <f t="shared" si="14"/>
        <v>278810.22082127619</v>
      </c>
      <c r="X58" s="108">
        <f t="shared" si="15"/>
        <v>45652.374549290289</v>
      </c>
      <c r="Y58" s="108">
        <f t="shared" si="16"/>
        <v>12326.141128308378</v>
      </c>
      <c r="Z58" s="108">
        <f t="shared" si="17"/>
        <v>33326.233420981909</v>
      </c>
      <c r="AA58" s="108">
        <f t="shared" si="18"/>
        <v>3337.1908954673349</v>
      </c>
      <c r="AB58" s="108">
        <f t="shared" si="19"/>
        <v>29989.042525514575</v>
      </c>
      <c r="AC58" s="109">
        <f t="shared" si="20"/>
        <v>0.594796009725575</v>
      </c>
      <c r="AD58" s="108">
        <f t="shared" si="21"/>
        <v>19822.31065798314</v>
      </c>
      <c r="AE58" s="108">
        <f t="shared" si="22"/>
        <v>165835.2068152015</v>
      </c>
      <c r="AF58" s="48">
        <f t="shared" si="23"/>
        <v>0.11953017117813912</v>
      </c>
      <c r="AG58" s="110"/>
    </row>
    <row r="59" spans="5:33" x14ac:dyDescent="0.4">
      <c r="E59" s="107">
        <v>55</v>
      </c>
      <c r="F59" s="107">
        <v>5</v>
      </c>
      <c r="G59" s="141">
        <f t="shared" si="24"/>
        <v>70930055.014569059</v>
      </c>
      <c r="H59" s="141">
        <f t="shared" si="0"/>
        <v>1537668.1158701384</v>
      </c>
      <c r="I59" s="141">
        <f t="shared" si="1"/>
        <v>812740.21370860387</v>
      </c>
      <c r="J59" s="141">
        <f t="shared" si="2"/>
        <v>724927.90216153453</v>
      </c>
      <c r="K59" s="108">
        <f t="shared" si="3"/>
        <v>70205127.11240752</v>
      </c>
      <c r="L59" s="108">
        <f t="shared" si="4"/>
        <v>74237319.81149815</v>
      </c>
      <c r="M59" s="108">
        <f t="shared" si="5"/>
        <v>118216.75835761521</v>
      </c>
      <c r="N59" s="108">
        <f t="shared" si="6"/>
        <v>12500</v>
      </c>
      <c r="O59" s="108">
        <f t="shared" si="7"/>
        <v>130716.75835761521</v>
      </c>
      <c r="P59" s="108">
        <f t="shared" si="8"/>
        <v>52286.703343046087</v>
      </c>
      <c r="Q59" s="100">
        <f t="shared" si="9"/>
        <v>2.2333333333333333E-3</v>
      </c>
      <c r="R59" s="100">
        <f>20%</f>
        <v>0.2</v>
      </c>
      <c r="S59" s="108">
        <f t="shared" si="10"/>
        <v>33159.336182469175</v>
      </c>
      <c r="T59" s="108">
        <f t="shared" si="11"/>
        <v>263913.67192987585</v>
      </c>
      <c r="U59" s="108">
        <f t="shared" si="12"/>
        <v>4441.3663961395505</v>
      </c>
      <c r="V59" s="108">
        <f t="shared" si="13"/>
        <v>7677.7089324450462</v>
      </c>
      <c r="W59" s="108">
        <f t="shared" si="14"/>
        <v>276032.74725846044</v>
      </c>
      <c r="X59" s="108">
        <f t="shared" si="15"/>
        <v>45270.718832099948</v>
      </c>
      <c r="Y59" s="108">
        <f t="shared" si="16"/>
        <v>12223.094084666987</v>
      </c>
      <c r="Z59" s="108">
        <f t="shared" si="17"/>
        <v>33047.624747432958</v>
      </c>
      <c r="AA59" s="108">
        <f t="shared" si="18"/>
        <v>3303.9462050147149</v>
      </c>
      <c r="AB59" s="108">
        <f t="shared" si="19"/>
        <v>29743.678542418242</v>
      </c>
      <c r="AC59" s="109">
        <f t="shared" si="20"/>
        <v>0.58910088723541387</v>
      </c>
      <c r="AD59" s="108">
        <f t="shared" si="21"/>
        <v>19468.385059735774</v>
      </c>
      <c r="AE59" s="108">
        <f t="shared" si="22"/>
        <v>162611.13631598779</v>
      </c>
      <c r="AF59" s="48">
        <f t="shared" si="23"/>
        <v>0.11972356568436118</v>
      </c>
      <c r="AG59" s="110"/>
    </row>
    <row r="60" spans="5:33" x14ac:dyDescent="0.4">
      <c r="E60" s="107">
        <v>56</v>
      </c>
      <c r="F60" s="107">
        <v>5</v>
      </c>
      <c r="G60" s="141">
        <f t="shared" si="24"/>
        <v>70205127.11240752</v>
      </c>
      <c r="H60" s="141">
        <f t="shared" si="0"/>
        <v>1537668.1158701384</v>
      </c>
      <c r="I60" s="141">
        <f t="shared" si="1"/>
        <v>804433.74816300289</v>
      </c>
      <c r="J60" s="141">
        <f t="shared" si="2"/>
        <v>733234.36770713551</v>
      </c>
      <c r="K60" s="108">
        <f t="shared" si="3"/>
        <v>69471892.744700387</v>
      </c>
      <c r="L60" s="108">
        <f t="shared" si="4"/>
        <v>73478590.602815151</v>
      </c>
      <c r="M60" s="108">
        <f t="shared" si="5"/>
        <v>117008.54518734598</v>
      </c>
      <c r="N60" s="108">
        <f t="shared" si="6"/>
        <v>12500</v>
      </c>
      <c r="O60" s="108">
        <f t="shared" si="7"/>
        <v>129508.54518734598</v>
      </c>
      <c r="P60" s="108">
        <f t="shared" si="8"/>
        <v>51803.418074938396</v>
      </c>
      <c r="Q60" s="100">
        <f t="shared" si="9"/>
        <v>2.2333333333333333E-3</v>
      </c>
      <c r="R60" s="100">
        <f>20%</f>
        <v>0.2</v>
      </c>
      <c r="S60" s="108">
        <f t="shared" si="10"/>
        <v>32820.437135924098</v>
      </c>
      <c r="T60" s="108">
        <f t="shared" si="11"/>
        <v>261216.38959300786</v>
      </c>
      <c r="U60" s="108">
        <f t="shared" si="12"/>
        <v>4400.3149086238773</v>
      </c>
      <c r="V60" s="108">
        <f t="shared" si="13"/>
        <v>7606.743976105663</v>
      </c>
      <c r="W60" s="108">
        <f t="shared" si="14"/>
        <v>273223.44847773737</v>
      </c>
      <c r="X60" s="108">
        <f t="shared" si="15"/>
        <v>44884.689976483489</v>
      </c>
      <c r="Y60" s="108">
        <f t="shared" si="16"/>
        <v>12118.866293650543</v>
      </c>
      <c r="Z60" s="108">
        <f t="shared" si="17"/>
        <v>32765.823682832946</v>
      </c>
      <c r="AA60" s="108">
        <f t="shared" si="18"/>
        <v>3270.3205858173246</v>
      </c>
      <c r="AB60" s="108">
        <f t="shared" si="19"/>
        <v>29495.503097015622</v>
      </c>
      <c r="AC60" s="109">
        <f t="shared" si="20"/>
        <v>0.58346029507102426</v>
      </c>
      <c r="AD60" s="108">
        <f t="shared" si="21"/>
        <v>19117.557154230864</v>
      </c>
      <c r="AE60" s="108">
        <f t="shared" si="22"/>
        <v>159415.03386914343</v>
      </c>
      <c r="AF60" s="48">
        <f t="shared" si="23"/>
        <v>0.11992317594037963</v>
      </c>
      <c r="AG60" s="110"/>
    </row>
    <row r="61" spans="5:33" x14ac:dyDescent="0.4">
      <c r="E61" s="107">
        <v>57</v>
      </c>
      <c r="F61" s="107">
        <v>5</v>
      </c>
      <c r="G61" s="141">
        <f t="shared" si="24"/>
        <v>69471892.744700387</v>
      </c>
      <c r="H61" s="141">
        <f t="shared" si="0"/>
        <v>1537668.1158701384</v>
      </c>
      <c r="I61" s="141">
        <f t="shared" si="1"/>
        <v>796032.10436635872</v>
      </c>
      <c r="J61" s="141">
        <f t="shared" si="2"/>
        <v>741636.01150377968</v>
      </c>
      <c r="K61" s="108">
        <f t="shared" si="3"/>
        <v>68730256.733196601</v>
      </c>
      <c r="L61" s="108">
        <f t="shared" si="4"/>
        <v>72711167.62194936</v>
      </c>
      <c r="M61" s="108">
        <f t="shared" si="5"/>
        <v>115786.48790783407</v>
      </c>
      <c r="N61" s="108">
        <f t="shared" si="6"/>
        <v>12500</v>
      </c>
      <c r="O61" s="108">
        <f t="shared" si="7"/>
        <v>128286.48790783407</v>
      </c>
      <c r="P61" s="108">
        <f t="shared" si="8"/>
        <v>51314.595163133636</v>
      </c>
      <c r="Q61" s="100">
        <f t="shared" si="9"/>
        <v>2.2333333333333333E-3</v>
      </c>
      <c r="R61" s="100">
        <f>20%</f>
        <v>0.2</v>
      </c>
      <c r="S61" s="108">
        <f t="shared" si="10"/>
        <v>32477.65487113738</v>
      </c>
      <c r="T61" s="108">
        <f t="shared" si="11"/>
        <v>258488.20089602997</v>
      </c>
      <c r="U61" s="108">
        <f t="shared" si="12"/>
        <v>4358.7930394804189</v>
      </c>
      <c r="V61" s="108">
        <f t="shared" si="13"/>
        <v>7534.9658796415579</v>
      </c>
      <c r="W61" s="108">
        <f t="shared" si="14"/>
        <v>270381.95981515193</v>
      </c>
      <c r="X61" s="108">
        <f t="shared" si="15"/>
        <v>44494.237873563063</v>
      </c>
      <c r="Y61" s="108">
        <f t="shared" si="16"/>
        <v>12013.444225862027</v>
      </c>
      <c r="Z61" s="108">
        <f t="shared" si="17"/>
        <v>32480.793647701037</v>
      </c>
      <c r="AA61" s="108">
        <f t="shared" si="18"/>
        <v>3236.3096730666321</v>
      </c>
      <c r="AB61" s="108">
        <f t="shared" si="19"/>
        <v>29244.483974634404</v>
      </c>
      <c r="AC61" s="109">
        <f t="shared" si="20"/>
        <v>0.57787371110905694</v>
      </c>
      <c r="AD61" s="108">
        <f t="shared" si="21"/>
        <v>18769.796764964482</v>
      </c>
      <c r="AE61" s="108">
        <f t="shared" si="22"/>
        <v>156246.62653532176</v>
      </c>
      <c r="AF61" s="48">
        <f t="shared" si="23"/>
        <v>0.12012929290810195</v>
      </c>
      <c r="AG61" s="110"/>
    </row>
    <row r="62" spans="5:33" x14ac:dyDescent="0.4">
      <c r="E62" s="107">
        <v>58</v>
      </c>
      <c r="F62" s="107">
        <v>5</v>
      </c>
      <c r="G62" s="141">
        <f t="shared" si="24"/>
        <v>68730256.733196601</v>
      </c>
      <c r="H62" s="141">
        <f t="shared" si="0"/>
        <v>1537668.1158701384</v>
      </c>
      <c r="I62" s="141">
        <f t="shared" si="1"/>
        <v>787534.19173454447</v>
      </c>
      <c r="J62" s="141">
        <f t="shared" si="2"/>
        <v>750133.92413559393</v>
      </c>
      <c r="K62" s="108">
        <f t="shared" si="3"/>
        <v>67980122.809061006</v>
      </c>
      <c r="L62" s="108">
        <f t="shared" si="4"/>
        <v>71934951.252761126</v>
      </c>
      <c r="M62" s="108">
        <f t="shared" si="5"/>
        <v>114550.4278886611</v>
      </c>
      <c r="N62" s="108">
        <f t="shared" si="6"/>
        <v>12500</v>
      </c>
      <c r="O62" s="108">
        <f t="shared" si="7"/>
        <v>127050.4278886611</v>
      </c>
      <c r="P62" s="108">
        <f t="shared" si="8"/>
        <v>50820.171155464443</v>
      </c>
      <c r="Q62" s="100">
        <f t="shared" si="9"/>
        <v>2.2333333333333333E-3</v>
      </c>
      <c r="R62" s="100">
        <f>20%</f>
        <v>0.2</v>
      </c>
      <c r="S62" s="108">
        <f t="shared" si="10"/>
        <v>32130.94489289997</v>
      </c>
      <c r="T62" s="108">
        <f t="shared" si="11"/>
        <v>255728.75170356579</v>
      </c>
      <c r="U62" s="108">
        <f t="shared" si="12"/>
        <v>4316.7953989196931</v>
      </c>
      <c r="V62" s="108">
        <f t="shared" si="13"/>
        <v>7462.3653258221348</v>
      </c>
      <c r="W62" s="108">
        <f t="shared" si="14"/>
        <v>267507.91242830764</v>
      </c>
      <c r="X62" s="108">
        <f t="shared" si="15"/>
        <v>44099.311840296687</v>
      </c>
      <c r="Y62" s="108">
        <f t="shared" si="16"/>
        <v>11906.814196880106</v>
      </c>
      <c r="Z62" s="108">
        <f t="shared" si="17"/>
        <v>32192.49764341658</v>
      </c>
      <c r="AA62" s="108">
        <f t="shared" si="18"/>
        <v>3201.9090519406705</v>
      </c>
      <c r="AB62" s="108">
        <f t="shared" si="19"/>
        <v>28990.588591475909</v>
      </c>
      <c r="AC62" s="109">
        <f t="shared" si="20"/>
        <v>0.57234061822545068</v>
      </c>
      <c r="AD62" s="108">
        <f t="shared" si="21"/>
        <v>18425.074003454411</v>
      </c>
      <c r="AE62" s="108">
        <f t="shared" si="22"/>
        <v>153105.64397941731</v>
      </c>
      <c r="AF62" s="48">
        <f t="shared" si="23"/>
        <v>0.12034222595955624</v>
      </c>
      <c r="AG62" s="110"/>
    </row>
    <row r="63" spans="5:33" x14ac:dyDescent="0.4">
      <c r="E63" s="107">
        <v>59</v>
      </c>
      <c r="F63" s="107">
        <v>5</v>
      </c>
      <c r="G63" s="141">
        <f t="shared" si="24"/>
        <v>67980122.809061006</v>
      </c>
      <c r="H63" s="141">
        <f t="shared" si="0"/>
        <v>1537668.1158701384</v>
      </c>
      <c r="I63" s="141">
        <f t="shared" si="1"/>
        <v>778938.90718715743</v>
      </c>
      <c r="J63" s="141">
        <f t="shared" si="2"/>
        <v>758729.20868298097</v>
      </c>
      <c r="K63" s="108">
        <f t="shared" si="3"/>
        <v>67221393.600378022</v>
      </c>
      <c r="L63" s="108">
        <f t="shared" si="4"/>
        <v>71149840.73767595</v>
      </c>
      <c r="M63" s="108">
        <f t="shared" si="5"/>
        <v>113300.20468176845</v>
      </c>
      <c r="N63" s="108">
        <f t="shared" si="6"/>
        <v>12500</v>
      </c>
      <c r="O63" s="108">
        <f t="shared" si="7"/>
        <v>125800.20468176845</v>
      </c>
      <c r="P63" s="108">
        <f t="shared" si="8"/>
        <v>50320.081872707378</v>
      </c>
      <c r="Q63" s="100">
        <f t="shared" si="9"/>
        <v>2.2333333333333333E-3</v>
      </c>
      <c r="R63" s="100">
        <f>20%</f>
        <v>0.2</v>
      </c>
      <c r="S63" s="108">
        <f t="shared" si="10"/>
        <v>31780.262196161922</v>
      </c>
      <c r="T63" s="108">
        <f t="shared" si="11"/>
        <v>252937.683822438</v>
      </c>
      <c r="U63" s="108">
        <f t="shared" si="12"/>
        <v>4274.3165353942086</v>
      </c>
      <c r="V63" s="108">
        <f t="shared" si="13"/>
        <v>7388.9328906568653</v>
      </c>
      <c r="W63" s="108">
        <f t="shared" si="14"/>
        <v>264600.93324848905</v>
      </c>
      <c r="X63" s="108">
        <f t="shared" si="15"/>
        <v>43699.860612899145</v>
      </c>
      <c r="Y63" s="108">
        <f t="shared" si="16"/>
        <v>11798.96236548277</v>
      </c>
      <c r="Z63" s="108">
        <f t="shared" si="17"/>
        <v>31900.898247416375</v>
      </c>
      <c r="AA63" s="108">
        <f t="shared" si="18"/>
        <v>3167.114257030973</v>
      </c>
      <c r="AB63" s="108">
        <f t="shared" si="19"/>
        <v>28733.783990385404</v>
      </c>
      <c r="AC63" s="109">
        <f t="shared" si="20"/>
        <v>0.56686050424756362</v>
      </c>
      <c r="AD63" s="108">
        <f t="shared" si="21"/>
        <v>18083.359266480664</v>
      </c>
      <c r="AE63" s="108">
        <f t="shared" si="22"/>
        <v>149991.81844561442</v>
      </c>
      <c r="AF63" s="48">
        <f t="shared" si="23"/>
        <v>0.12056230435687074</v>
      </c>
      <c r="AG63" s="110"/>
    </row>
    <row r="64" spans="5:33" x14ac:dyDescent="0.4">
      <c r="E64" s="107">
        <v>60</v>
      </c>
      <c r="F64" s="107">
        <v>5</v>
      </c>
      <c r="G64" s="141">
        <f t="shared" si="24"/>
        <v>67221393.600378022</v>
      </c>
      <c r="H64" s="141">
        <f t="shared" si="0"/>
        <v>1537668.1158701384</v>
      </c>
      <c r="I64" s="141">
        <f t="shared" si="1"/>
        <v>770245.13500433159</v>
      </c>
      <c r="J64" s="141">
        <f t="shared" si="2"/>
        <v>767422.98086580681</v>
      </c>
      <c r="K64" s="108">
        <f t="shared" si="3"/>
        <v>66453970.619512215</v>
      </c>
      <c r="L64" s="108">
        <f t="shared" si="4"/>
        <v>70355734.164605409</v>
      </c>
      <c r="M64" s="108">
        <f t="shared" si="5"/>
        <v>112035.65600063013</v>
      </c>
      <c r="N64" s="108">
        <f t="shared" si="6"/>
        <v>12500</v>
      </c>
      <c r="O64" s="108">
        <f t="shared" si="7"/>
        <v>124535.65600063013</v>
      </c>
      <c r="P64" s="108">
        <f t="shared" si="8"/>
        <v>49814.262400252053</v>
      </c>
      <c r="Q64" s="100">
        <f t="shared" si="9"/>
        <v>2.2333333333333333E-3</v>
      </c>
      <c r="R64" s="100">
        <f>20%</f>
        <v>0.2</v>
      </c>
      <c r="S64" s="108">
        <f t="shared" si="10"/>
        <v>31425.561260190414</v>
      </c>
      <c r="T64" s="108">
        <f t="shared" si="11"/>
        <v>250114.63495517222</v>
      </c>
      <c r="U64" s="108">
        <f t="shared" si="12"/>
        <v>4231.3509348908274</v>
      </c>
      <c r="V64" s="108">
        <f t="shared" si="13"/>
        <v>7314.659042171992</v>
      </c>
      <c r="W64" s="108">
        <f t="shared" si="14"/>
        <v>261660.64493223504</v>
      </c>
      <c r="X64" s="108">
        <f t="shared" si="15"/>
        <v>43295.832340187655</v>
      </c>
      <c r="Y64" s="108">
        <f t="shared" si="16"/>
        <v>11689.874731850668</v>
      </c>
      <c r="Z64" s="108">
        <f t="shared" si="17"/>
        <v>31605.957608336987</v>
      </c>
      <c r="AA64" s="108">
        <f t="shared" si="18"/>
        <v>3131.9207717629356</v>
      </c>
      <c r="AB64" s="108">
        <f t="shared" si="19"/>
        <v>28474.036836574051</v>
      </c>
      <c r="AC64" s="109">
        <f t="shared" si="20"/>
        <v>0.56143286190676533</v>
      </c>
      <c r="AD64" s="108">
        <f t="shared" si="21"/>
        <v>17744.623233352537</v>
      </c>
      <c r="AE64" s="108">
        <f t="shared" si="22"/>
        <v>146904.88473267466</v>
      </c>
      <c r="AF64" s="48">
        <f t="shared" si="23"/>
        <v>0.12078987887736159</v>
      </c>
      <c r="AG64" s="110"/>
    </row>
    <row r="65" spans="5:33" x14ac:dyDescent="0.4">
      <c r="E65" s="107">
        <v>61</v>
      </c>
      <c r="F65" s="107">
        <v>6</v>
      </c>
      <c r="G65" s="141">
        <f t="shared" si="24"/>
        <v>66453970.619512215</v>
      </c>
      <c r="H65" s="141">
        <f t="shared" si="0"/>
        <v>1537668.1158701384</v>
      </c>
      <c r="I65" s="141">
        <f t="shared" si="1"/>
        <v>761451.74668191082</v>
      </c>
      <c r="J65" s="141">
        <f t="shared" si="2"/>
        <v>776216.36918822757</v>
      </c>
      <c r="K65" s="108">
        <f t="shared" si="3"/>
        <v>65677754.250323988</v>
      </c>
      <c r="L65" s="108">
        <f t="shared" si="4"/>
        <v>69552528.453718454</v>
      </c>
      <c r="M65" s="108">
        <f t="shared" si="5"/>
        <v>110756.61769918713</v>
      </c>
      <c r="N65" s="108">
        <f t="shared" si="6"/>
        <v>12500</v>
      </c>
      <c r="O65" s="108">
        <f t="shared" si="7"/>
        <v>123256.61769918713</v>
      </c>
      <c r="P65" s="108">
        <f t="shared" si="8"/>
        <v>49302.647079674854</v>
      </c>
      <c r="Q65" s="100">
        <f t="shared" si="9"/>
        <v>2.2333333333333333E-3</v>
      </c>
      <c r="R65" s="100">
        <f>20%</f>
        <v>0.2</v>
      </c>
      <c r="S65" s="108">
        <f t="shared" si="10"/>
        <v>31066.79604266091</v>
      </c>
      <c r="T65" s="108">
        <f t="shared" si="11"/>
        <v>247259.23865296907</v>
      </c>
      <c r="U65" s="108">
        <f t="shared" si="12"/>
        <v>4187.8930202150123</v>
      </c>
      <c r="V65" s="108">
        <f t="shared" si="13"/>
        <v>7239.5341391732318</v>
      </c>
      <c r="W65" s="108">
        <f t="shared" si="14"/>
        <v>258686.6658123573</v>
      </c>
      <c r="X65" s="108">
        <f t="shared" si="15"/>
        <v>42887.174576851379</v>
      </c>
      <c r="Y65" s="108">
        <f t="shared" si="16"/>
        <v>11579.537135749873</v>
      </c>
      <c r="Z65" s="108">
        <f t="shared" si="17"/>
        <v>31307.637441101506</v>
      </c>
      <c r="AA65" s="108">
        <f t="shared" si="18"/>
        <v>3096.3240278095354</v>
      </c>
      <c r="AB65" s="108">
        <f t="shared" si="19"/>
        <v>28211.313413291969</v>
      </c>
      <c r="AC65" s="109">
        <f t="shared" si="20"/>
        <v>0.55605718879148003</v>
      </c>
      <c r="AD65" s="108">
        <f t="shared" si="21"/>
        <v>17408.836863201788</v>
      </c>
      <c r="AE65" s="108">
        <f t="shared" si="22"/>
        <v>143844.58016946047</v>
      </c>
      <c r="AF65" s="48">
        <f t="shared" si="23"/>
        <v>0.12102532360060268</v>
      </c>
      <c r="AG65" s="110"/>
    </row>
    <row r="66" spans="5:33" x14ac:dyDescent="0.4">
      <c r="E66" s="107">
        <v>62</v>
      </c>
      <c r="F66" s="107">
        <v>6</v>
      </c>
      <c r="G66" s="141">
        <f t="shared" si="24"/>
        <v>65677754.250323988</v>
      </c>
      <c r="H66" s="141">
        <f t="shared" si="0"/>
        <v>1537668.1158701384</v>
      </c>
      <c r="I66" s="141">
        <f t="shared" si="1"/>
        <v>752557.60078496241</v>
      </c>
      <c r="J66" s="141">
        <f t="shared" si="2"/>
        <v>785110.51508517598</v>
      </c>
      <c r="K66" s="108">
        <f t="shared" si="3"/>
        <v>64892643.735238813</v>
      </c>
      <c r="L66" s="108">
        <f t="shared" si="4"/>
        <v>68740119.344060913</v>
      </c>
      <c r="M66" s="108">
        <f t="shared" si="5"/>
        <v>109462.92375054008</v>
      </c>
      <c r="N66" s="108">
        <f t="shared" si="6"/>
        <v>12500</v>
      </c>
      <c r="O66" s="108">
        <f t="shared" si="7"/>
        <v>121962.92375054008</v>
      </c>
      <c r="P66" s="108">
        <f t="shared" si="8"/>
        <v>48785.169500216034</v>
      </c>
      <c r="Q66" s="100">
        <f t="shared" si="9"/>
        <v>2.2333333333333333E-3</v>
      </c>
      <c r="R66" s="100">
        <f>20%</f>
        <v>0.2</v>
      </c>
      <c r="S66" s="108">
        <f t="shared" si="10"/>
        <v>30703.919973680542</v>
      </c>
      <c r="T66" s="108">
        <f t="shared" si="11"/>
        <v>244371.12426813651</v>
      </c>
      <c r="U66" s="108">
        <f t="shared" si="12"/>
        <v>4143.93715026687</v>
      </c>
      <c r="V66" s="108">
        <f t="shared" si="13"/>
        <v>7163.5484299942764</v>
      </c>
      <c r="W66" s="108">
        <f t="shared" si="14"/>
        <v>255678.60984839767</v>
      </c>
      <c r="X66" s="108">
        <f t="shared" si="15"/>
        <v>42473.834276643494</v>
      </c>
      <c r="Y66" s="108">
        <f t="shared" si="16"/>
        <v>11467.935254693744</v>
      </c>
      <c r="Z66" s="108">
        <f t="shared" si="17"/>
        <v>31005.89902194975</v>
      </c>
      <c r="AA66" s="108">
        <f t="shared" si="18"/>
        <v>3060.3194044983361</v>
      </c>
      <c r="AB66" s="108">
        <f t="shared" si="19"/>
        <v>27945.579617451414</v>
      </c>
      <c r="AC66" s="109">
        <f t="shared" si="20"/>
        <v>0.55073298730068121</v>
      </c>
      <c r="AD66" s="108">
        <f t="shared" si="21"/>
        <v>17075.971392301657</v>
      </c>
      <c r="AE66" s="108">
        <f t="shared" si="22"/>
        <v>140810.64459069341</v>
      </c>
      <c r="AF66" s="48">
        <f t="shared" si="23"/>
        <v>0.12126903787663121</v>
      </c>
      <c r="AG66" s="110"/>
    </row>
    <row r="67" spans="5:33" x14ac:dyDescent="0.4">
      <c r="E67" s="107">
        <v>63</v>
      </c>
      <c r="F67" s="107">
        <v>6</v>
      </c>
      <c r="G67" s="141">
        <f t="shared" si="24"/>
        <v>64892643.735238813</v>
      </c>
      <c r="H67" s="141">
        <f t="shared" si="0"/>
        <v>1537668.1158701384</v>
      </c>
      <c r="I67" s="141">
        <f t="shared" si="1"/>
        <v>743561.54279961146</v>
      </c>
      <c r="J67" s="141">
        <f t="shared" si="2"/>
        <v>794106.57307052694</v>
      </c>
      <c r="K67" s="108">
        <f t="shared" si="3"/>
        <v>64098537.162168287</v>
      </c>
      <c r="L67" s="108">
        <f t="shared" si="4"/>
        <v>67918401.380021885</v>
      </c>
      <c r="M67" s="108">
        <f t="shared" si="5"/>
        <v>108154.40622539812</v>
      </c>
      <c r="N67" s="108">
        <f t="shared" si="6"/>
        <v>12500</v>
      </c>
      <c r="O67" s="108">
        <f t="shared" si="7"/>
        <v>120654.40622539812</v>
      </c>
      <c r="P67" s="108">
        <f t="shared" si="8"/>
        <v>48261.76249015925</v>
      </c>
      <c r="Q67" s="100">
        <f t="shared" si="9"/>
        <v>2.2333333333333333E-3</v>
      </c>
      <c r="R67" s="100">
        <f>20%</f>
        <v>0.2</v>
      </c>
      <c r="S67" s="108">
        <f t="shared" si="10"/>
        <v>30336.885949743108</v>
      </c>
      <c r="T67" s="108">
        <f t="shared" si="11"/>
        <v>241449.91690597779</v>
      </c>
      <c r="U67" s="108">
        <f t="shared" si="12"/>
        <v>4099.4776193089056</v>
      </c>
      <c r="V67" s="108">
        <f t="shared" si="13"/>
        <v>7086.6920512309789</v>
      </c>
      <c r="W67" s="108">
        <f t="shared" si="14"/>
        <v>252636.08657651767</v>
      </c>
      <c r="X67" s="108">
        <f t="shared" si="15"/>
        <v>42055.757785495764</v>
      </c>
      <c r="Y67" s="108">
        <f t="shared" si="16"/>
        <v>11355.054602083857</v>
      </c>
      <c r="Z67" s="108">
        <f t="shared" si="17"/>
        <v>30700.703183411904</v>
      </c>
      <c r="AA67" s="108">
        <f t="shared" si="18"/>
        <v>3023.9022282116962</v>
      </c>
      <c r="AB67" s="108">
        <f t="shared" si="19"/>
        <v>27676.800955200208</v>
      </c>
      <c r="AC67" s="109">
        <f t="shared" si="20"/>
        <v>0.54545976459783097</v>
      </c>
      <c r="AD67" s="108">
        <f t="shared" si="21"/>
        <v>16745.998331411738</v>
      </c>
      <c r="AE67" s="108">
        <f t="shared" si="22"/>
        <v>137802.82031294456</v>
      </c>
      <c r="AF67" s="48">
        <f t="shared" si="23"/>
        <v>0.12152144849707908</v>
      </c>
      <c r="AG67" s="110"/>
    </row>
    <row r="68" spans="5:33" x14ac:dyDescent="0.4">
      <c r="E68" s="107">
        <v>64</v>
      </c>
      <c r="F68" s="107">
        <v>6</v>
      </c>
      <c r="G68" s="141">
        <f t="shared" si="24"/>
        <v>64098537.162168287</v>
      </c>
      <c r="H68" s="141">
        <f t="shared" si="0"/>
        <v>1537668.1158701384</v>
      </c>
      <c r="I68" s="141">
        <f t="shared" si="1"/>
        <v>734462.40498317836</v>
      </c>
      <c r="J68" s="141">
        <f t="shared" si="2"/>
        <v>803205.71088696003</v>
      </c>
      <c r="K68" s="108">
        <f t="shared" si="3"/>
        <v>63295331.451281324</v>
      </c>
      <c r="L68" s="108">
        <f t="shared" si="4"/>
        <v>67087267.897644907</v>
      </c>
      <c r="M68" s="108">
        <f t="shared" si="5"/>
        <v>106830.89527028058</v>
      </c>
      <c r="N68" s="108">
        <f t="shared" si="6"/>
        <v>12500</v>
      </c>
      <c r="O68" s="108">
        <f t="shared" si="7"/>
        <v>119330.89527028058</v>
      </c>
      <c r="P68" s="108">
        <f t="shared" si="8"/>
        <v>47732.358108112239</v>
      </c>
      <c r="Q68" s="100">
        <f t="shared" si="9"/>
        <v>2.2333333333333333E-3</v>
      </c>
      <c r="R68" s="100">
        <f>20%</f>
        <v>0.2</v>
      </c>
      <c r="S68" s="108">
        <f t="shared" si="10"/>
        <v>29965.646327614726</v>
      </c>
      <c r="T68" s="108">
        <f t="shared" si="11"/>
        <v>238495.23737612762</v>
      </c>
      <c r="U68" s="108">
        <f t="shared" si="12"/>
        <v>4054.5086562253805</v>
      </c>
      <c r="V68" s="108">
        <f t="shared" si="13"/>
        <v>7008.9550264610189</v>
      </c>
      <c r="W68" s="108">
        <f t="shared" si="14"/>
        <v>249558.70105881401</v>
      </c>
      <c r="X68" s="108">
        <f t="shared" si="15"/>
        <v>41632.890834553618</v>
      </c>
      <c r="Y68" s="108">
        <f t="shared" si="16"/>
        <v>11240.880525329478</v>
      </c>
      <c r="Z68" s="108">
        <f t="shared" si="17"/>
        <v>30392.010309224141</v>
      </c>
      <c r="AA68" s="108">
        <f t="shared" si="18"/>
        <v>2987.067771780105</v>
      </c>
      <c r="AB68" s="108">
        <f t="shared" si="19"/>
        <v>27404.942537444036</v>
      </c>
      <c r="AC68" s="109">
        <f t="shared" si="20"/>
        <v>0.5402370325652599</v>
      </c>
      <c r="AD68" s="108">
        <f t="shared" si="21"/>
        <v>16418.889463148036</v>
      </c>
      <c r="AE68" s="108">
        <f t="shared" si="22"/>
        <v>134820.85211085447</v>
      </c>
      <c r="AF68" s="48">
        <f t="shared" si="23"/>
        <v>0.12178301209406277</v>
      </c>
      <c r="AG68" s="110"/>
    </row>
    <row r="69" spans="5:33" x14ac:dyDescent="0.4">
      <c r="E69" s="107">
        <v>65</v>
      </c>
      <c r="F69" s="107">
        <v>6</v>
      </c>
      <c r="G69" s="141">
        <f t="shared" si="24"/>
        <v>63295331.451281324</v>
      </c>
      <c r="H69" s="141">
        <f t="shared" si="0"/>
        <v>1537668.1158701384</v>
      </c>
      <c r="I69" s="141">
        <f t="shared" si="1"/>
        <v>725259.00621259853</v>
      </c>
      <c r="J69" s="141">
        <f t="shared" si="2"/>
        <v>812409.10965753987</v>
      </c>
      <c r="K69" s="108">
        <f t="shared" si="3"/>
        <v>62482922.341623783</v>
      </c>
      <c r="L69" s="108">
        <f t="shared" si="4"/>
        <v>66246611.010782354</v>
      </c>
      <c r="M69" s="108">
        <f t="shared" si="5"/>
        <v>105492.21908546897</v>
      </c>
      <c r="N69" s="108">
        <f t="shared" si="6"/>
        <v>12500</v>
      </c>
      <c r="O69" s="108">
        <f t="shared" si="7"/>
        <v>117992.21908546897</v>
      </c>
      <c r="P69" s="108">
        <f t="shared" si="8"/>
        <v>47196.887634187588</v>
      </c>
      <c r="Q69" s="100">
        <f t="shared" si="9"/>
        <v>2.2333333333333333E-3</v>
      </c>
      <c r="R69" s="100">
        <f>20%</f>
        <v>0.2</v>
      </c>
      <c r="S69" s="108">
        <f t="shared" si="10"/>
        <v>29590.152918149452</v>
      </c>
      <c r="T69" s="108">
        <f t="shared" si="11"/>
        <v>235506.70214333123</v>
      </c>
      <c r="U69" s="108">
        <f t="shared" si="12"/>
        <v>4009.0244237731899</v>
      </c>
      <c r="V69" s="108">
        <f t="shared" si="13"/>
        <v>6930.3272649489018</v>
      </c>
      <c r="W69" s="108">
        <f t="shared" si="14"/>
        <v>246446.05383205332</v>
      </c>
      <c r="X69" s="108">
        <f t="shared" si="15"/>
        <v>41205.178533131926</v>
      </c>
      <c r="Y69" s="108">
        <f t="shared" si="16"/>
        <v>11125.39820394562</v>
      </c>
      <c r="Z69" s="108">
        <f t="shared" si="17"/>
        <v>30079.780329186306</v>
      </c>
      <c r="AA69" s="108">
        <f t="shared" si="18"/>
        <v>2949.8112538685682</v>
      </c>
      <c r="AB69" s="108">
        <f t="shared" si="19"/>
        <v>27129.969075317738</v>
      </c>
      <c r="AC69" s="109">
        <f t="shared" si="20"/>
        <v>0.53506430775898584</v>
      </c>
      <c r="AD69" s="108">
        <f t="shared" si="21"/>
        <v>16094.61683937843</v>
      </c>
      <c r="AE69" s="108">
        <f t="shared" si="22"/>
        <v>131864.48719358136</v>
      </c>
      <c r="AF69" s="48">
        <f t="shared" si="23"/>
        <v>0.12205421779520521</v>
      </c>
      <c r="AG69" s="110"/>
    </row>
    <row r="70" spans="5:33" x14ac:dyDescent="0.4">
      <c r="E70" s="107">
        <v>66</v>
      </c>
      <c r="F70" s="107">
        <v>6</v>
      </c>
      <c r="G70" s="141">
        <f t="shared" si="24"/>
        <v>62482922.341623783</v>
      </c>
      <c r="H70" s="141">
        <f t="shared" ref="H70:H124" si="25">PMT($C$11/12,$C$8,-$C$7)</f>
        <v>1537668.1158701384</v>
      </c>
      <c r="I70" s="141">
        <f t="shared" ref="I70:I124" si="26">($C$11/12)*G70</f>
        <v>715950.15183110593</v>
      </c>
      <c r="J70" s="141">
        <f t="shared" ref="J70:J124" si="27">H70-I70</f>
        <v>821717.96403903246</v>
      </c>
      <c r="K70" s="108">
        <f t="shared" ref="K70:K124" si="28">G70-J70</f>
        <v>61661204.377584748</v>
      </c>
      <c r="L70" s="108">
        <f t="shared" ref="L70:L124" si="29">G70*(1+$C$11/12)^4</f>
        <v>65396321.597091168</v>
      </c>
      <c r="M70" s="108">
        <f t="shared" ref="M70:M124" si="30">G70*($C$11-$C$10)/12</f>
        <v>104138.2039027064</v>
      </c>
      <c r="N70" s="108">
        <f t="shared" ref="N70:N124" si="31">$C$14</f>
        <v>12500</v>
      </c>
      <c r="O70" s="108">
        <f t="shared" ref="O70:O124" si="32">SUM(M70:N70)</f>
        <v>116638.2039027064</v>
      </c>
      <c r="P70" s="108">
        <f t="shared" ref="P70:P124" si="33">0.4*O70</f>
        <v>46655.281561082564</v>
      </c>
      <c r="Q70" s="100">
        <f t="shared" ref="Q70:Q124" si="34">2.68%/12</f>
        <v>2.2333333333333333E-3</v>
      </c>
      <c r="R70" s="100">
        <f>20%</f>
        <v>0.2</v>
      </c>
      <c r="S70" s="108">
        <f t="shared" ref="S70:S124" si="35">Q70*R70*L70</f>
        <v>29210.356980034056</v>
      </c>
      <c r="T70" s="108">
        <f t="shared" ref="T70:T124" si="36">L70*($C$22/12)*$C$28</f>
        <v>232483.92327765908</v>
      </c>
      <c r="U70" s="108">
        <f t="shared" ref="U70:U124" si="37">O70*$C$23</f>
        <v>3963.0190178241519</v>
      </c>
      <c r="V70" s="108">
        <f t="shared" ref="V70:V124" si="38">O70*$C$24</f>
        <v>6850.7985603361267</v>
      </c>
      <c r="W70" s="108">
        <f t="shared" ref="W70:W124" si="39">SUM(T70:V70)</f>
        <v>243297.74085581934</v>
      </c>
      <c r="X70" s="108">
        <f t="shared" ref="X70:X124" si="40">O70-P70-S70</f>
        <v>40772.565361589783</v>
      </c>
      <c r="Y70" s="108">
        <f t="shared" ref="Y70:Y124" si="41">0.27*X70</f>
        <v>11008.592647629242</v>
      </c>
      <c r="Z70" s="108">
        <f t="shared" ref="Z70:Z124" si="42">X70-Y70</f>
        <v>29763.972713960538</v>
      </c>
      <c r="AA70" s="108">
        <f t="shared" ref="AA70:AA124" si="43">W70*($C$36/12)</f>
        <v>2912.1278383559616</v>
      </c>
      <c r="AB70" s="108">
        <f t="shared" ref="AB70:AB124" si="44">Z70-AA70</f>
        <v>26851.844875604576</v>
      </c>
      <c r="AC70" s="109">
        <f t="shared" ref="AC70:AC124" si="45">(1+($C$37/12))^-E70</f>
        <v>0.52994111136396194</v>
      </c>
      <c r="AD70" s="108">
        <f t="shared" ref="AD70:AD124" si="46">Z70*AC70</f>
        <v>15773.152778642887</v>
      </c>
      <c r="AE70" s="108">
        <f t="shared" ref="AE70:AE124" si="47">W70*AC70</f>
        <v>128933.4751814741</v>
      </c>
      <c r="AF70" s="48">
        <f t="shared" ref="AF70:AF124" si="48">Z70/W70</f>
        <v>0.12233559016727148</v>
      </c>
      <c r="AG70" s="110"/>
    </row>
    <row r="71" spans="5:33" x14ac:dyDescent="0.4">
      <c r="E71" s="107">
        <v>67</v>
      </c>
      <c r="F71" s="107">
        <v>6</v>
      </c>
      <c r="G71" s="141">
        <f t="shared" ref="G71:G124" si="49">K70</f>
        <v>61661204.377584748</v>
      </c>
      <c r="H71" s="141">
        <f t="shared" si="25"/>
        <v>1537668.1158701384</v>
      </c>
      <c r="I71" s="141">
        <f t="shared" si="26"/>
        <v>706534.63349315862</v>
      </c>
      <c r="J71" s="141">
        <f t="shared" si="27"/>
        <v>831133.48237697978</v>
      </c>
      <c r="K71" s="108">
        <f t="shared" si="28"/>
        <v>60830070.89520777</v>
      </c>
      <c r="L71" s="108">
        <f t="shared" si="29"/>
        <v>64536289.283868104</v>
      </c>
      <c r="M71" s="108">
        <f t="shared" si="30"/>
        <v>102768.67396264133</v>
      </c>
      <c r="N71" s="108">
        <f t="shared" si="31"/>
        <v>12500</v>
      </c>
      <c r="O71" s="108">
        <f t="shared" si="32"/>
        <v>115268.67396264133</v>
      </c>
      <c r="P71" s="108">
        <f t="shared" si="33"/>
        <v>46107.469585056533</v>
      </c>
      <c r="Q71" s="100">
        <f t="shared" si="34"/>
        <v>2.2333333333333333E-3</v>
      </c>
      <c r="R71" s="100">
        <f>20%</f>
        <v>0.2</v>
      </c>
      <c r="S71" s="108">
        <f t="shared" si="35"/>
        <v>28826.209213461087</v>
      </c>
      <c r="T71" s="108">
        <f t="shared" si="36"/>
        <v>229426.5084041511</v>
      </c>
      <c r="U71" s="108">
        <f t="shared" si="37"/>
        <v>3916.4864665986138</v>
      </c>
      <c r="V71" s="108">
        <f t="shared" si="38"/>
        <v>6770.3585893163281</v>
      </c>
      <c r="W71" s="108">
        <f t="shared" si="39"/>
        <v>240113.35346006605</v>
      </c>
      <c r="X71" s="108">
        <f t="shared" si="40"/>
        <v>40334.995164123713</v>
      </c>
      <c r="Y71" s="108">
        <f t="shared" si="41"/>
        <v>10890.448694313403</v>
      </c>
      <c r="Z71" s="108">
        <f t="shared" si="42"/>
        <v>29444.54646981031</v>
      </c>
      <c r="AA71" s="108">
        <f t="shared" si="43"/>
        <v>2874.0126337072738</v>
      </c>
      <c r="AB71" s="108">
        <f t="shared" si="44"/>
        <v>26570.533836103037</v>
      </c>
      <c r="AC71" s="109">
        <f t="shared" si="45"/>
        <v>0.52486696914975584</v>
      </c>
      <c r="AD71" s="108">
        <f t="shared" si="46"/>
        <v>15454.469863598481</v>
      </c>
      <c r="AE71" s="108">
        <f t="shared" si="47"/>
        <v>126027.56808296891</v>
      </c>
      <c r="AF71" s="48">
        <f t="shared" si="48"/>
        <v>0.12262769248569642</v>
      </c>
      <c r="AG71" s="110"/>
    </row>
    <row r="72" spans="5:33" x14ac:dyDescent="0.4">
      <c r="E72" s="107">
        <v>68</v>
      </c>
      <c r="F72" s="107">
        <v>6</v>
      </c>
      <c r="G72" s="141">
        <f t="shared" si="49"/>
        <v>60830070.89520777</v>
      </c>
      <c r="H72" s="141">
        <f t="shared" si="25"/>
        <v>1537668.1158701384</v>
      </c>
      <c r="I72" s="141">
        <f t="shared" si="26"/>
        <v>697011.22900758905</v>
      </c>
      <c r="J72" s="141">
        <f t="shared" si="27"/>
        <v>840656.88686254935</v>
      </c>
      <c r="K72" s="108">
        <f t="shared" si="28"/>
        <v>59989414.008345224</v>
      </c>
      <c r="L72" s="108">
        <f t="shared" si="29"/>
        <v>63666402.433722697</v>
      </c>
      <c r="M72" s="108">
        <f t="shared" si="30"/>
        <v>101383.45149201305</v>
      </c>
      <c r="N72" s="108">
        <f t="shared" si="31"/>
        <v>12500</v>
      </c>
      <c r="O72" s="108">
        <f t="shared" si="32"/>
        <v>113883.45149201305</v>
      </c>
      <c r="P72" s="108">
        <f t="shared" si="33"/>
        <v>45553.380596805218</v>
      </c>
      <c r="Q72" s="100">
        <f t="shared" si="34"/>
        <v>2.2333333333333333E-3</v>
      </c>
      <c r="R72" s="100">
        <f>20%</f>
        <v>0.2</v>
      </c>
      <c r="S72" s="108">
        <f t="shared" si="35"/>
        <v>28437.659753729473</v>
      </c>
      <c r="T72" s="108">
        <f t="shared" si="36"/>
        <v>226334.06065188415</v>
      </c>
      <c r="U72" s="108">
        <f t="shared" si="37"/>
        <v>3869.4207298902838</v>
      </c>
      <c r="V72" s="108">
        <f t="shared" si="38"/>
        <v>6688.9969102952637</v>
      </c>
      <c r="W72" s="108">
        <f t="shared" si="39"/>
        <v>236892.47829206972</v>
      </c>
      <c r="X72" s="108">
        <f t="shared" si="40"/>
        <v>39892.411141478355</v>
      </c>
      <c r="Y72" s="108">
        <f t="shared" si="41"/>
        <v>10770.951008199156</v>
      </c>
      <c r="Z72" s="108">
        <f t="shared" si="42"/>
        <v>29121.460133279201</v>
      </c>
      <c r="AA72" s="108">
        <f t="shared" si="43"/>
        <v>2835.4606923386523</v>
      </c>
      <c r="AB72" s="108">
        <f t="shared" si="44"/>
        <v>26285.999440940548</v>
      </c>
      <c r="AC72" s="109">
        <f t="shared" si="45"/>
        <v>0.51984141142665241</v>
      </c>
      <c r="AD72" s="108">
        <f t="shared" si="46"/>
        <v>15138.54093848885</v>
      </c>
      <c r="AE72" s="108">
        <f t="shared" si="47"/>
        <v>123146.52027170714</v>
      </c>
      <c r="AF72" s="48">
        <f t="shared" si="48"/>
        <v>0.12293113037288901</v>
      </c>
      <c r="AG72" s="110"/>
    </row>
    <row r="73" spans="5:33" x14ac:dyDescent="0.4">
      <c r="E73" s="107">
        <v>69</v>
      </c>
      <c r="F73" s="107">
        <v>6</v>
      </c>
      <c r="G73" s="141">
        <f t="shared" si="49"/>
        <v>59989414.008345224</v>
      </c>
      <c r="H73" s="141">
        <f t="shared" si="25"/>
        <v>1537668.1158701384</v>
      </c>
      <c r="I73" s="141">
        <f t="shared" si="26"/>
        <v>687378.70217895578</v>
      </c>
      <c r="J73" s="141">
        <f t="shared" si="27"/>
        <v>850289.41369118262</v>
      </c>
      <c r="K73" s="108">
        <f t="shared" si="28"/>
        <v>59139124.594654039</v>
      </c>
      <c r="L73" s="108">
        <f t="shared" si="29"/>
        <v>62786548.130086042</v>
      </c>
      <c r="M73" s="108">
        <f t="shared" si="30"/>
        <v>99982.356680575467</v>
      </c>
      <c r="N73" s="108">
        <f t="shared" si="31"/>
        <v>12500</v>
      </c>
      <c r="O73" s="108">
        <f t="shared" si="32"/>
        <v>112482.35668057547</v>
      </c>
      <c r="P73" s="108">
        <f t="shared" si="33"/>
        <v>44992.942672230187</v>
      </c>
      <c r="Q73" s="100">
        <f t="shared" si="34"/>
        <v>2.2333333333333333E-3</v>
      </c>
      <c r="R73" s="100">
        <f>20%</f>
        <v>0.2</v>
      </c>
      <c r="S73" s="108">
        <f t="shared" si="35"/>
        <v>28044.658164771765</v>
      </c>
      <c r="T73" s="108">
        <f t="shared" si="36"/>
        <v>223206.17860245585</v>
      </c>
      <c r="U73" s="108">
        <f t="shared" si="37"/>
        <v>3821.8156982821711</v>
      </c>
      <c r="V73" s="108">
        <f t="shared" si="38"/>
        <v>6606.7029620354151</v>
      </c>
      <c r="W73" s="108">
        <f t="shared" si="39"/>
        <v>233634.69726277346</v>
      </c>
      <c r="X73" s="108">
        <f t="shared" si="40"/>
        <v>39444.755843573512</v>
      </c>
      <c r="Y73" s="108">
        <f t="shared" si="41"/>
        <v>10650.084077764848</v>
      </c>
      <c r="Z73" s="108">
        <f t="shared" si="42"/>
        <v>28794.671765808664</v>
      </c>
      <c r="AA73" s="108">
        <f t="shared" si="43"/>
        <v>2796.4670099751829</v>
      </c>
      <c r="AB73" s="108">
        <f t="shared" si="44"/>
        <v>25998.204755833482</v>
      </c>
      <c r="AC73" s="109">
        <f t="shared" si="45"/>
        <v>0.51486397300217634</v>
      </c>
      <c r="AD73" s="108">
        <f t="shared" si="46"/>
        <v>14825.339106637841</v>
      </c>
      <c r="AE73" s="108">
        <f t="shared" si="47"/>
        <v>120290.08846387223</v>
      </c>
      <c r="AF73" s="48">
        <f t="shared" si="48"/>
        <v>0.12324655585476989</v>
      </c>
      <c r="AG73" s="110"/>
    </row>
    <row r="74" spans="5:33" x14ac:dyDescent="0.4">
      <c r="E74" s="107">
        <v>70</v>
      </c>
      <c r="F74" s="107">
        <v>6</v>
      </c>
      <c r="G74" s="141">
        <f t="shared" si="49"/>
        <v>59139124.594654039</v>
      </c>
      <c r="H74" s="141">
        <f t="shared" si="25"/>
        <v>1537668.1158701384</v>
      </c>
      <c r="I74" s="141">
        <f t="shared" si="26"/>
        <v>677635.80264707759</v>
      </c>
      <c r="J74" s="141">
        <f t="shared" si="27"/>
        <v>860032.3132230608</v>
      </c>
      <c r="K74" s="108">
        <f t="shared" si="28"/>
        <v>58279092.281430975</v>
      </c>
      <c r="L74" s="108">
        <f t="shared" si="29"/>
        <v>61896612.162553549</v>
      </c>
      <c r="M74" s="108">
        <f t="shared" si="30"/>
        <v>98565.207657756822</v>
      </c>
      <c r="N74" s="108">
        <f t="shared" si="31"/>
        <v>12500</v>
      </c>
      <c r="O74" s="108">
        <f t="shared" si="32"/>
        <v>111065.20765775682</v>
      </c>
      <c r="P74" s="108">
        <f t="shared" si="33"/>
        <v>44426.083063102735</v>
      </c>
      <c r="Q74" s="100">
        <f t="shared" si="34"/>
        <v>2.2333333333333333E-3</v>
      </c>
      <c r="R74" s="100">
        <f>20%</f>
        <v>0.2</v>
      </c>
      <c r="S74" s="108">
        <f t="shared" si="35"/>
        <v>27647.153432607251</v>
      </c>
      <c r="T74" s="108">
        <f t="shared" si="36"/>
        <v>220042.45623787786</v>
      </c>
      <c r="U74" s="108">
        <f t="shared" si="37"/>
        <v>3773.6651923535478</v>
      </c>
      <c r="V74" s="108">
        <f t="shared" si="38"/>
        <v>6523.4660622850879</v>
      </c>
      <c r="W74" s="108">
        <f t="shared" si="39"/>
        <v>230339.5874925165</v>
      </c>
      <c r="X74" s="108">
        <f t="shared" si="40"/>
        <v>38991.971162046837</v>
      </c>
      <c r="Y74" s="108">
        <f t="shared" si="41"/>
        <v>10527.832213752647</v>
      </c>
      <c r="Z74" s="108">
        <f t="shared" si="42"/>
        <v>28464.138948294189</v>
      </c>
      <c r="AA74" s="108">
        <f t="shared" si="43"/>
        <v>2757.0265250012981</v>
      </c>
      <c r="AB74" s="108">
        <f t="shared" si="44"/>
        <v>25707.112423292892</v>
      </c>
      <c r="AC74" s="109">
        <f t="shared" si="45"/>
        <v>0.50993419313803234</v>
      </c>
      <c r="AD74" s="108">
        <f t="shared" si="46"/>
        <v>14514.837727967237</v>
      </c>
      <c r="AE74" s="108">
        <f t="shared" si="47"/>
        <v>117458.0316957436</v>
      </c>
      <c r="AF74" s="48">
        <f t="shared" si="48"/>
        <v>0.12357467189272864</v>
      </c>
      <c r="AG74" s="110"/>
    </row>
    <row r="75" spans="5:33" x14ac:dyDescent="0.4">
      <c r="E75" s="107">
        <v>71</v>
      </c>
      <c r="F75" s="107">
        <v>6</v>
      </c>
      <c r="G75" s="141">
        <f t="shared" si="49"/>
        <v>58279092.281430975</v>
      </c>
      <c r="H75" s="141">
        <f t="shared" si="25"/>
        <v>1537668.1158701384</v>
      </c>
      <c r="I75" s="141">
        <f t="shared" si="26"/>
        <v>667781.26572472998</v>
      </c>
      <c r="J75" s="141">
        <f t="shared" si="27"/>
        <v>869886.85014540842</v>
      </c>
      <c r="K75" s="108">
        <f t="shared" si="28"/>
        <v>57409205.431285568</v>
      </c>
      <c r="L75" s="108">
        <f t="shared" si="29"/>
        <v>60996479.012059741</v>
      </c>
      <c r="M75" s="108">
        <f t="shared" si="30"/>
        <v>97131.820469051716</v>
      </c>
      <c r="N75" s="108">
        <f t="shared" si="31"/>
        <v>12500</v>
      </c>
      <c r="O75" s="108">
        <f t="shared" si="32"/>
        <v>109631.82046905172</v>
      </c>
      <c r="P75" s="108">
        <f t="shared" si="33"/>
        <v>43852.728187620691</v>
      </c>
      <c r="Q75" s="100">
        <f t="shared" si="34"/>
        <v>2.2333333333333333E-3</v>
      </c>
      <c r="R75" s="100">
        <f>20%</f>
        <v>0.2</v>
      </c>
      <c r="S75" s="108">
        <f t="shared" si="35"/>
        <v>27245.093958720019</v>
      </c>
      <c r="T75" s="108">
        <f t="shared" si="36"/>
        <v>216842.48288787235</v>
      </c>
      <c r="U75" s="108">
        <f t="shared" si="37"/>
        <v>3724.9629618778263</v>
      </c>
      <c r="V75" s="108">
        <f t="shared" si="38"/>
        <v>6439.2754063917891</v>
      </c>
      <c r="W75" s="108">
        <f t="shared" si="39"/>
        <v>227006.72125614196</v>
      </c>
      <c r="X75" s="108">
        <f t="shared" si="40"/>
        <v>38533.998322710999</v>
      </c>
      <c r="Y75" s="108">
        <f t="shared" si="41"/>
        <v>10404.179547131971</v>
      </c>
      <c r="Z75" s="108">
        <f t="shared" si="42"/>
        <v>28129.818775579028</v>
      </c>
      <c r="AA75" s="108">
        <f t="shared" si="43"/>
        <v>2717.1341178037537</v>
      </c>
      <c r="AB75" s="108">
        <f t="shared" si="44"/>
        <v>25412.684657775273</v>
      </c>
      <c r="AC75" s="109">
        <f t="shared" si="45"/>
        <v>0.50505161550745536</v>
      </c>
      <c r="AD75" s="108">
        <f t="shared" si="46"/>
        <v>14207.010416538138</v>
      </c>
      <c r="AE75" s="108">
        <f t="shared" si="47"/>
        <v>114650.11130146511</v>
      </c>
      <c r="AF75" s="48">
        <f t="shared" si="48"/>
        <v>0.12391623745729925</v>
      </c>
      <c r="AG75" s="110"/>
    </row>
    <row r="76" spans="5:33" x14ac:dyDescent="0.4">
      <c r="E76" s="107">
        <v>72</v>
      </c>
      <c r="F76" s="107">
        <v>6</v>
      </c>
      <c r="G76" s="141">
        <f t="shared" si="49"/>
        <v>57409205.431285568</v>
      </c>
      <c r="H76" s="141">
        <f t="shared" si="25"/>
        <v>1537668.1158701384</v>
      </c>
      <c r="I76" s="141">
        <f t="shared" si="26"/>
        <v>657813.81223348051</v>
      </c>
      <c r="J76" s="141">
        <f t="shared" si="27"/>
        <v>879854.30363665789</v>
      </c>
      <c r="K76" s="108">
        <f t="shared" si="28"/>
        <v>56529351.127648912</v>
      </c>
      <c r="L76" s="108">
        <f t="shared" si="29"/>
        <v>60086031.835883193</v>
      </c>
      <c r="M76" s="108">
        <f t="shared" si="30"/>
        <v>95682.00905214269</v>
      </c>
      <c r="N76" s="108">
        <f t="shared" si="31"/>
        <v>12500</v>
      </c>
      <c r="O76" s="108">
        <f t="shared" si="32"/>
        <v>108182.00905214269</v>
      </c>
      <c r="P76" s="108">
        <f t="shared" si="33"/>
        <v>43272.803620857077</v>
      </c>
      <c r="Q76" s="100">
        <f t="shared" si="34"/>
        <v>2.2333333333333333E-3</v>
      </c>
      <c r="R76" s="100">
        <f>20%</f>
        <v>0.2</v>
      </c>
      <c r="S76" s="108">
        <f t="shared" si="35"/>
        <v>26838.427553361158</v>
      </c>
      <c r="T76" s="108">
        <f t="shared" si="36"/>
        <v>213605.84317656473</v>
      </c>
      <c r="U76" s="108">
        <f t="shared" si="37"/>
        <v>3675.7026850112366</v>
      </c>
      <c r="V76" s="108">
        <f t="shared" si="38"/>
        <v>6354.1200658997122</v>
      </c>
      <c r="W76" s="108">
        <f t="shared" si="39"/>
        <v>223635.66592747567</v>
      </c>
      <c r="X76" s="108">
        <f t="shared" si="40"/>
        <v>38070.777877924455</v>
      </c>
      <c r="Y76" s="108">
        <f t="shared" si="41"/>
        <v>10279.110027039604</v>
      </c>
      <c r="Z76" s="108">
        <f t="shared" si="42"/>
        <v>27791.667850884849</v>
      </c>
      <c r="AA76" s="108">
        <f t="shared" si="43"/>
        <v>2676.7846101070713</v>
      </c>
      <c r="AB76" s="108">
        <f t="shared" si="44"/>
        <v>25114.883240777777</v>
      </c>
      <c r="AC76" s="109">
        <f t="shared" si="45"/>
        <v>0.50021578815297152</v>
      </c>
      <c r="AD76" s="108">
        <f t="shared" si="46"/>
        <v>13901.831038115964</v>
      </c>
      <c r="AE76" s="108">
        <f t="shared" si="47"/>
        <v>111866.09089102688</v>
      </c>
      <c r="AF76" s="48">
        <f t="shared" si="48"/>
        <v>0.12427207322063556</v>
      </c>
      <c r="AG76" s="110"/>
    </row>
    <row r="77" spans="5:33" x14ac:dyDescent="0.4">
      <c r="E77" s="107">
        <v>73</v>
      </c>
      <c r="F77" s="107">
        <v>7</v>
      </c>
      <c r="G77" s="141">
        <f t="shared" si="49"/>
        <v>56529351.127648912</v>
      </c>
      <c r="H77" s="141">
        <f t="shared" si="25"/>
        <v>1537668.1158701384</v>
      </c>
      <c r="I77" s="141">
        <f t="shared" si="26"/>
        <v>647732.14833764383</v>
      </c>
      <c r="J77" s="141">
        <f t="shared" si="27"/>
        <v>889935.96753249457</v>
      </c>
      <c r="K77" s="108">
        <f t="shared" si="28"/>
        <v>55639415.160116419</v>
      </c>
      <c r="L77" s="108">
        <f t="shared" si="29"/>
        <v>59165152.452479631</v>
      </c>
      <c r="M77" s="108">
        <f t="shared" si="30"/>
        <v>94215.585212748265</v>
      </c>
      <c r="N77" s="108">
        <f t="shared" si="31"/>
        <v>12500</v>
      </c>
      <c r="O77" s="108">
        <f t="shared" si="32"/>
        <v>106715.58521274826</v>
      </c>
      <c r="P77" s="108">
        <f t="shared" si="33"/>
        <v>42686.234085099306</v>
      </c>
      <c r="Q77" s="100">
        <f t="shared" si="34"/>
        <v>2.2333333333333333E-3</v>
      </c>
      <c r="R77" s="100">
        <f>20%</f>
        <v>0.2</v>
      </c>
      <c r="S77" s="108">
        <f t="shared" si="35"/>
        <v>26427.101428774236</v>
      </c>
      <c r="T77" s="108">
        <f t="shared" si="36"/>
        <v>210332.11696856507</v>
      </c>
      <c r="U77" s="108">
        <f t="shared" si="37"/>
        <v>3625.8779674722177</v>
      </c>
      <c r="V77" s="108">
        <f t="shared" si="38"/>
        <v>6267.9889871311652</v>
      </c>
      <c r="W77" s="108">
        <f t="shared" si="39"/>
        <v>220225.98392316845</v>
      </c>
      <c r="X77" s="108">
        <f t="shared" si="40"/>
        <v>37602.249698874723</v>
      </c>
      <c r="Y77" s="108">
        <f t="shared" si="41"/>
        <v>10152.607418696176</v>
      </c>
      <c r="Z77" s="108">
        <f t="shared" si="42"/>
        <v>27449.642280178545</v>
      </c>
      <c r="AA77" s="108">
        <f t="shared" si="43"/>
        <v>2635.9727643013653</v>
      </c>
      <c r="AB77" s="108">
        <f t="shared" si="44"/>
        <v>24813.66951587718</v>
      </c>
      <c r="AC77" s="109">
        <f t="shared" si="45"/>
        <v>0.4954262634445627</v>
      </c>
      <c r="AD77" s="108">
        <f t="shared" si="46"/>
        <v>13599.273707758743</v>
      </c>
      <c r="AE77" s="108">
        <f t="shared" si="47"/>
        <v>109105.73632845769</v>
      </c>
      <c r="AF77" s="48">
        <f t="shared" si="48"/>
        <v>0.12464306795766236</v>
      </c>
      <c r="AG77" s="110"/>
    </row>
    <row r="78" spans="5:33" x14ac:dyDescent="0.4">
      <c r="E78" s="107">
        <v>74</v>
      </c>
      <c r="F78" s="107">
        <v>7</v>
      </c>
      <c r="G78" s="141">
        <f t="shared" si="49"/>
        <v>55639415.160116419</v>
      </c>
      <c r="H78" s="141">
        <f t="shared" si="25"/>
        <v>1537668.1158701384</v>
      </c>
      <c r="I78" s="141">
        <f t="shared" si="26"/>
        <v>637534.96537633403</v>
      </c>
      <c r="J78" s="141">
        <f t="shared" si="27"/>
        <v>900133.15049380437</v>
      </c>
      <c r="K78" s="108">
        <f t="shared" si="28"/>
        <v>54739282.009622619</v>
      </c>
      <c r="L78" s="108">
        <f t="shared" si="29"/>
        <v>58233721.326141231</v>
      </c>
      <c r="M78" s="108">
        <f t="shared" si="30"/>
        <v>92732.358600194115</v>
      </c>
      <c r="N78" s="108">
        <f t="shared" si="31"/>
        <v>12500</v>
      </c>
      <c r="O78" s="108">
        <f t="shared" si="32"/>
        <v>105232.35860019411</v>
      </c>
      <c r="P78" s="108">
        <f t="shared" si="33"/>
        <v>42092.943440077652</v>
      </c>
      <c r="Q78" s="100">
        <f t="shared" si="34"/>
        <v>2.2333333333333333E-3</v>
      </c>
      <c r="R78" s="100">
        <f>20%</f>
        <v>0.2</v>
      </c>
      <c r="S78" s="108">
        <f t="shared" si="35"/>
        <v>26011.062192343084</v>
      </c>
      <c r="T78" s="108">
        <f t="shared" si="36"/>
        <v>207020.87931443207</v>
      </c>
      <c r="U78" s="108">
        <f t="shared" si="37"/>
        <v>3575.482341711398</v>
      </c>
      <c r="V78" s="108">
        <f t="shared" si="38"/>
        <v>6180.8709897517283</v>
      </c>
      <c r="W78" s="108">
        <f t="shared" si="39"/>
        <v>216777.23264589522</v>
      </c>
      <c r="X78" s="108">
        <f t="shared" si="40"/>
        <v>37128.352967773375</v>
      </c>
      <c r="Y78" s="108">
        <f t="shared" si="41"/>
        <v>10024.655301298812</v>
      </c>
      <c r="Z78" s="108">
        <f t="shared" si="42"/>
        <v>27103.697666474563</v>
      </c>
      <c r="AA78" s="108">
        <f t="shared" si="43"/>
        <v>2594.6932827624682</v>
      </c>
      <c r="AB78" s="108">
        <f t="shared" si="44"/>
        <v>24509.004383712094</v>
      </c>
      <c r="AC78" s="109">
        <f t="shared" si="45"/>
        <v>0.49068259803823056</v>
      </c>
      <c r="AD78" s="108">
        <f t="shared" si="46"/>
        <v>13299.312787428466</v>
      </c>
      <c r="AE78" s="108">
        <f t="shared" si="47"/>
        <v>106368.8157102258</v>
      </c>
      <c r="AF78" s="48">
        <f t="shared" si="48"/>
        <v>0.1250301857610128</v>
      </c>
      <c r="AG78" s="110"/>
    </row>
    <row r="79" spans="5:33" x14ac:dyDescent="0.4">
      <c r="E79" s="107">
        <v>75</v>
      </c>
      <c r="F79" s="107">
        <v>7</v>
      </c>
      <c r="G79" s="141">
        <f t="shared" si="49"/>
        <v>54739282.009622619</v>
      </c>
      <c r="H79" s="141">
        <f t="shared" si="25"/>
        <v>1537668.1158701384</v>
      </c>
      <c r="I79" s="141">
        <f t="shared" si="26"/>
        <v>627220.93969359261</v>
      </c>
      <c r="J79" s="141">
        <f t="shared" si="27"/>
        <v>910447.17617654579</v>
      </c>
      <c r="K79" s="108">
        <f t="shared" si="28"/>
        <v>53828834.833446071</v>
      </c>
      <c r="L79" s="108">
        <f t="shared" si="29"/>
        <v>57291617.551480204</v>
      </c>
      <c r="M79" s="108">
        <f t="shared" si="30"/>
        <v>91232.13668270444</v>
      </c>
      <c r="N79" s="108">
        <f t="shared" si="31"/>
        <v>12500</v>
      </c>
      <c r="O79" s="108">
        <f t="shared" si="32"/>
        <v>103732.13668270444</v>
      </c>
      <c r="P79" s="108">
        <f t="shared" si="33"/>
        <v>41492.854673081776</v>
      </c>
      <c r="Q79" s="100">
        <f t="shared" si="34"/>
        <v>2.2333333333333333E-3</v>
      </c>
      <c r="R79" s="100">
        <f>20%</f>
        <v>0.2</v>
      </c>
      <c r="S79" s="108">
        <f t="shared" si="35"/>
        <v>25590.255839661157</v>
      </c>
      <c r="T79" s="108">
        <f t="shared" si="36"/>
        <v>203671.7003955121</v>
      </c>
      <c r="U79" s="108">
        <f t="shared" si="37"/>
        <v>3524.5092660720684</v>
      </c>
      <c r="V79" s="108">
        <f t="shared" si="38"/>
        <v>6092.7547653189849</v>
      </c>
      <c r="W79" s="108">
        <f t="shared" si="39"/>
        <v>213288.96442690317</v>
      </c>
      <c r="X79" s="108">
        <f t="shared" si="40"/>
        <v>36649.026169961508</v>
      </c>
      <c r="Y79" s="108">
        <f t="shared" si="41"/>
        <v>9895.237065889607</v>
      </c>
      <c r="Z79" s="108">
        <f t="shared" si="42"/>
        <v>26753.789104071901</v>
      </c>
      <c r="AA79" s="108">
        <f t="shared" si="43"/>
        <v>2552.9408071642711</v>
      </c>
      <c r="AB79" s="108">
        <f t="shared" si="44"/>
        <v>24200.848296907629</v>
      </c>
      <c r="AC79" s="109">
        <f t="shared" si="45"/>
        <v>0.485984352834959</v>
      </c>
      <c r="AD79" s="108">
        <f t="shared" si="46"/>
        <v>13001.922883625361</v>
      </c>
      <c r="AE79" s="108">
        <f t="shared" si="47"/>
        <v>103655.09934384713</v>
      </c>
      <c r="AF79" s="48">
        <f t="shared" si="48"/>
        <v>0.1254344741930648</v>
      </c>
      <c r="AG79" s="110"/>
    </row>
    <row r="80" spans="5:33" x14ac:dyDescent="0.4">
      <c r="E80" s="107">
        <v>76</v>
      </c>
      <c r="F80" s="107">
        <v>7</v>
      </c>
      <c r="G80" s="141">
        <f t="shared" si="49"/>
        <v>53828834.833446071</v>
      </c>
      <c r="H80" s="141">
        <f t="shared" si="25"/>
        <v>1537668.1158701384</v>
      </c>
      <c r="I80" s="141">
        <f t="shared" si="26"/>
        <v>616788.73246656964</v>
      </c>
      <c r="J80" s="141">
        <f t="shared" si="27"/>
        <v>920879.38340356876</v>
      </c>
      <c r="K80" s="108">
        <f t="shared" si="28"/>
        <v>52907955.450042501</v>
      </c>
      <c r="L80" s="108">
        <f t="shared" si="29"/>
        <v>56338718.837734513</v>
      </c>
      <c r="M80" s="108">
        <f t="shared" si="30"/>
        <v>89714.724722410203</v>
      </c>
      <c r="N80" s="108">
        <f t="shared" si="31"/>
        <v>12500</v>
      </c>
      <c r="O80" s="108">
        <f t="shared" si="32"/>
        <v>102214.7247224102</v>
      </c>
      <c r="P80" s="108">
        <f t="shared" si="33"/>
        <v>40885.889888964084</v>
      </c>
      <c r="Q80" s="100">
        <f t="shared" si="34"/>
        <v>2.2333333333333333E-3</v>
      </c>
      <c r="R80" s="100">
        <f>20%</f>
        <v>0.2</v>
      </c>
      <c r="S80" s="108">
        <f t="shared" si="35"/>
        <v>25164.627747521416</v>
      </c>
      <c r="T80" s="108">
        <f t="shared" si="36"/>
        <v>200284.14546814619</v>
      </c>
      <c r="U80" s="108">
        <f t="shared" si="37"/>
        <v>3472.9521239410387</v>
      </c>
      <c r="V80" s="108">
        <f t="shared" si="38"/>
        <v>6003.6288758146165</v>
      </c>
      <c r="W80" s="108">
        <f t="shared" si="39"/>
        <v>209760.72646790184</v>
      </c>
      <c r="X80" s="108">
        <f t="shared" si="40"/>
        <v>36164.207085924703</v>
      </c>
      <c r="Y80" s="108">
        <f t="shared" si="41"/>
        <v>9764.3359131996713</v>
      </c>
      <c r="Z80" s="108">
        <f t="shared" si="42"/>
        <v>26399.871172725034</v>
      </c>
      <c r="AA80" s="108">
        <f t="shared" si="43"/>
        <v>2510.7099177831778</v>
      </c>
      <c r="AB80" s="108">
        <f t="shared" si="44"/>
        <v>23889.161254941857</v>
      </c>
      <c r="AC80" s="109">
        <f t="shared" si="45"/>
        <v>0.48133109294006865</v>
      </c>
      <c r="AD80" s="108">
        <f t="shared" si="46"/>
        <v>12707.078845044753</v>
      </c>
      <c r="AE80" s="108">
        <f t="shared" si="47"/>
        <v>100964.35972669798</v>
      </c>
      <c r="AF80" s="48">
        <f t="shared" si="48"/>
        <v>0.12585707352021788</v>
      </c>
      <c r="AG80" s="110"/>
    </row>
    <row r="81" spans="5:33" x14ac:dyDescent="0.4">
      <c r="E81" s="107">
        <v>77</v>
      </c>
      <c r="F81" s="107">
        <v>7</v>
      </c>
      <c r="G81" s="141">
        <f t="shared" si="49"/>
        <v>52907955.450042501</v>
      </c>
      <c r="H81" s="141">
        <f t="shared" si="25"/>
        <v>1537668.1158701384</v>
      </c>
      <c r="I81" s="141">
        <f t="shared" si="26"/>
        <v>606236.98953173705</v>
      </c>
      <c r="J81" s="141">
        <f t="shared" si="27"/>
        <v>931431.12633840134</v>
      </c>
      <c r="K81" s="108">
        <f t="shared" si="28"/>
        <v>51976524.323704101</v>
      </c>
      <c r="L81" s="108">
        <f t="shared" si="29"/>
        <v>55374901.492893822</v>
      </c>
      <c r="M81" s="108">
        <f t="shared" si="30"/>
        <v>88179.925750070906</v>
      </c>
      <c r="N81" s="108">
        <f t="shared" si="31"/>
        <v>12500</v>
      </c>
      <c r="O81" s="108">
        <f t="shared" si="32"/>
        <v>100679.92575007091</v>
      </c>
      <c r="P81" s="108">
        <f t="shared" si="33"/>
        <v>40271.970300028363</v>
      </c>
      <c r="Q81" s="100">
        <f t="shared" si="34"/>
        <v>2.2333333333333333E-3</v>
      </c>
      <c r="R81" s="100">
        <f>20%</f>
        <v>0.2</v>
      </c>
      <c r="S81" s="108">
        <f t="shared" si="35"/>
        <v>24734.122666825908</v>
      </c>
      <c r="T81" s="108">
        <f t="shared" si="36"/>
        <v>196857.77480723753</v>
      </c>
      <c r="U81" s="108">
        <f t="shared" si="37"/>
        <v>3420.8042228897566</v>
      </c>
      <c r="V81" s="108">
        <f t="shared" si="38"/>
        <v>5913.481752159676</v>
      </c>
      <c r="W81" s="108">
        <f t="shared" si="39"/>
        <v>206192.06078228698</v>
      </c>
      <c r="X81" s="108">
        <f t="shared" si="40"/>
        <v>35673.83278321664</v>
      </c>
      <c r="Y81" s="108">
        <f t="shared" si="41"/>
        <v>9631.9348514684934</v>
      </c>
      <c r="Z81" s="108">
        <f t="shared" si="42"/>
        <v>26041.897931748146</v>
      </c>
      <c r="AA81" s="108">
        <f t="shared" si="43"/>
        <v>2467.9951327945932</v>
      </c>
      <c r="AB81" s="108">
        <f t="shared" si="44"/>
        <v>23573.902798953553</v>
      </c>
      <c r="AC81" s="109">
        <f t="shared" si="45"/>
        <v>0.47672238762296082</v>
      </c>
      <c r="AD81" s="108">
        <f t="shared" si="46"/>
        <v>12414.755760256421</v>
      </c>
      <c r="AE81" s="108">
        <f t="shared" si="47"/>
        <v>98296.37152503051</v>
      </c>
      <c r="AF81" s="48">
        <f t="shared" si="48"/>
        <v>0.12629922720082387</v>
      </c>
      <c r="AG81" s="110"/>
    </row>
    <row r="82" spans="5:33" x14ac:dyDescent="0.4">
      <c r="E82" s="107">
        <v>78</v>
      </c>
      <c r="F82" s="107">
        <v>7</v>
      </c>
      <c r="G82" s="141">
        <f t="shared" si="49"/>
        <v>51976524.323704101</v>
      </c>
      <c r="H82" s="141">
        <f t="shared" si="25"/>
        <v>1537668.1158701384</v>
      </c>
      <c r="I82" s="141">
        <f t="shared" si="26"/>
        <v>595564.34120910952</v>
      </c>
      <c r="J82" s="141">
        <f t="shared" si="27"/>
        <v>942103.77466102887</v>
      </c>
      <c r="K82" s="108">
        <f t="shared" si="28"/>
        <v>51034420.549043074</v>
      </c>
      <c r="L82" s="108">
        <f t="shared" si="29"/>
        <v>54400040.407643504</v>
      </c>
      <c r="M82" s="108">
        <f t="shared" si="30"/>
        <v>86627.54053950691</v>
      </c>
      <c r="N82" s="108">
        <f t="shared" si="31"/>
        <v>12500</v>
      </c>
      <c r="O82" s="108">
        <f t="shared" si="32"/>
        <v>99127.54053950691</v>
      </c>
      <c r="P82" s="108">
        <f t="shared" si="33"/>
        <v>39651.016215802767</v>
      </c>
      <c r="Q82" s="100">
        <f t="shared" si="34"/>
        <v>2.2333333333333333E-3</v>
      </c>
      <c r="R82" s="100">
        <f>20%</f>
        <v>0.2</v>
      </c>
      <c r="S82" s="108">
        <f t="shared" si="35"/>
        <v>24298.6847154141</v>
      </c>
      <c r="T82" s="108">
        <f t="shared" si="36"/>
        <v>193392.14364917265</v>
      </c>
      <c r="U82" s="108">
        <f t="shared" si="37"/>
        <v>3368.058793805596</v>
      </c>
      <c r="V82" s="108">
        <f t="shared" si="38"/>
        <v>5822.3016927128574</v>
      </c>
      <c r="W82" s="108">
        <f t="shared" si="39"/>
        <v>202582.5041356911</v>
      </c>
      <c r="X82" s="108">
        <f t="shared" si="40"/>
        <v>35177.839608290044</v>
      </c>
      <c r="Y82" s="108">
        <f t="shared" si="41"/>
        <v>9498.016694238313</v>
      </c>
      <c r="Z82" s="108">
        <f t="shared" si="42"/>
        <v>25679.822914051729</v>
      </c>
      <c r="AA82" s="108">
        <f t="shared" si="43"/>
        <v>2424.7909075613475</v>
      </c>
      <c r="AB82" s="108">
        <f t="shared" si="44"/>
        <v>23255.032006490383</v>
      </c>
      <c r="AC82" s="109">
        <f t="shared" si="45"/>
        <v>0.47215781027724618</v>
      </c>
      <c r="AD82" s="108">
        <f t="shared" si="46"/>
        <v>12124.928955406116</v>
      </c>
      <c r="AE82" s="108">
        <f t="shared" si="47"/>
        <v>95650.911553189071</v>
      </c>
      <c r="AF82" s="48">
        <f t="shared" si="48"/>
        <v>0.12676229382993121</v>
      </c>
      <c r="AG82" s="110"/>
    </row>
    <row r="83" spans="5:33" x14ac:dyDescent="0.4">
      <c r="E83" s="107">
        <v>79</v>
      </c>
      <c r="F83" s="107">
        <v>7</v>
      </c>
      <c r="G83" s="141">
        <f t="shared" si="49"/>
        <v>51034420.549043074</v>
      </c>
      <c r="H83" s="141">
        <f t="shared" si="25"/>
        <v>1537668.1158701384</v>
      </c>
      <c r="I83" s="141">
        <f t="shared" si="26"/>
        <v>584769.40212445194</v>
      </c>
      <c r="J83" s="141">
        <f t="shared" si="27"/>
        <v>952898.71374568646</v>
      </c>
      <c r="K83" s="108">
        <f t="shared" si="28"/>
        <v>50081521.835297391</v>
      </c>
      <c r="L83" s="108">
        <f t="shared" si="29"/>
        <v>53414009.03912469</v>
      </c>
      <c r="M83" s="108">
        <f t="shared" si="30"/>
        <v>85057.367581738537</v>
      </c>
      <c r="N83" s="108">
        <f t="shared" si="31"/>
        <v>12500</v>
      </c>
      <c r="O83" s="108">
        <f t="shared" si="32"/>
        <v>97557.367581738537</v>
      </c>
      <c r="P83" s="108">
        <f t="shared" si="33"/>
        <v>39022.947032695418</v>
      </c>
      <c r="Q83" s="100">
        <f t="shared" si="34"/>
        <v>2.2333333333333333E-3</v>
      </c>
      <c r="R83" s="100">
        <f>20%</f>
        <v>0.2</v>
      </c>
      <c r="S83" s="108">
        <f t="shared" si="35"/>
        <v>23858.257370809028</v>
      </c>
      <c r="T83" s="108">
        <f t="shared" si="36"/>
        <v>189886.80213408827</v>
      </c>
      <c r="U83" s="108">
        <f t="shared" si="37"/>
        <v>3314.7089900131791</v>
      </c>
      <c r="V83" s="108">
        <f t="shared" si="38"/>
        <v>5730.0768617515441</v>
      </c>
      <c r="W83" s="108">
        <f t="shared" si="39"/>
        <v>198931.587985853</v>
      </c>
      <c r="X83" s="108">
        <f t="shared" si="40"/>
        <v>34676.163178234092</v>
      </c>
      <c r="Y83" s="108">
        <f t="shared" si="41"/>
        <v>9362.5640581232055</v>
      </c>
      <c r="Z83" s="108">
        <f t="shared" si="42"/>
        <v>25313.599120110885</v>
      </c>
      <c r="AA83" s="108">
        <f t="shared" si="43"/>
        <v>2381.0916339139712</v>
      </c>
      <c r="AB83" s="108">
        <f t="shared" si="44"/>
        <v>22932.507486196911</v>
      </c>
      <c r="AC83" s="109">
        <f t="shared" si="45"/>
        <v>0.46763693838125664</v>
      </c>
      <c r="AD83" s="108">
        <f t="shared" si="46"/>
        <v>11837.573991939125</v>
      </c>
      <c r="AE83" s="108">
        <f t="shared" si="47"/>
        <v>93027.758753025875</v>
      </c>
      <c r="AF83" s="48">
        <f t="shared" si="48"/>
        <v>0.12724776078252117</v>
      </c>
      <c r="AG83" s="110"/>
    </row>
    <row r="84" spans="5:33" x14ac:dyDescent="0.4">
      <c r="E84" s="107">
        <v>80</v>
      </c>
      <c r="F84" s="107">
        <v>7</v>
      </c>
      <c r="G84" s="141">
        <f t="shared" si="49"/>
        <v>50081521.835297391</v>
      </c>
      <c r="H84" s="141">
        <f t="shared" si="25"/>
        <v>1537668.1158701384</v>
      </c>
      <c r="I84" s="141">
        <f t="shared" si="26"/>
        <v>573850.7710294493</v>
      </c>
      <c r="J84" s="141">
        <f t="shared" si="27"/>
        <v>963817.3448406891</v>
      </c>
      <c r="K84" s="108">
        <f t="shared" si="28"/>
        <v>49117704.4904567</v>
      </c>
      <c r="L84" s="108">
        <f t="shared" si="29"/>
        <v>52416679.394508265</v>
      </c>
      <c r="M84" s="108">
        <f t="shared" si="30"/>
        <v>83469.203058829051</v>
      </c>
      <c r="N84" s="108">
        <f t="shared" si="31"/>
        <v>12500</v>
      </c>
      <c r="O84" s="108">
        <f t="shared" si="32"/>
        <v>95969.203058829051</v>
      </c>
      <c r="P84" s="108">
        <f t="shared" si="33"/>
        <v>38387.681223531625</v>
      </c>
      <c r="Q84" s="100">
        <f t="shared" si="34"/>
        <v>2.2333333333333333E-3</v>
      </c>
      <c r="R84" s="100">
        <f>20%</f>
        <v>0.2</v>
      </c>
      <c r="S84" s="108">
        <f t="shared" si="35"/>
        <v>23412.783462880358</v>
      </c>
      <c r="T84" s="108">
        <f t="shared" si="36"/>
        <v>186341.29524747687</v>
      </c>
      <c r="U84" s="108">
        <f t="shared" si="37"/>
        <v>3260.7478863856409</v>
      </c>
      <c r="V84" s="108">
        <f t="shared" si="38"/>
        <v>5636.7952879354652</v>
      </c>
      <c r="W84" s="108">
        <f t="shared" si="39"/>
        <v>195238.83842179799</v>
      </c>
      <c r="X84" s="108">
        <f t="shared" si="40"/>
        <v>34168.738372417065</v>
      </c>
      <c r="Y84" s="108">
        <f t="shared" si="41"/>
        <v>9225.5593605526083</v>
      </c>
      <c r="Z84" s="108">
        <f t="shared" si="42"/>
        <v>24943.179011864457</v>
      </c>
      <c r="AA84" s="108">
        <f t="shared" si="43"/>
        <v>2336.8916394227185</v>
      </c>
      <c r="AB84" s="108">
        <f t="shared" si="44"/>
        <v>22606.287372441737</v>
      </c>
      <c r="AC84" s="109">
        <f t="shared" si="45"/>
        <v>0.46315935345893339</v>
      </c>
      <c r="AD84" s="108">
        <f t="shared" si="46"/>
        <v>11552.666664345579</v>
      </c>
      <c r="AE84" s="108">
        <f t="shared" si="47"/>
        <v>90426.694173513126</v>
      </c>
      <c r="AF84" s="48">
        <f t="shared" si="48"/>
        <v>0.12775725984384675</v>
      </c>
      <c r="AG84" s="110"/>
    </row>
    <row r="85" spans="5:33" x14ac:dyDescent="0.4">
      <c r="E85" s="107">
        <v>81</v>
      </c>
      <c r="F85" s="107">
        <v>7</v>
      </c>
      <c r="G85" s="141">
        <f t="shared" si="49"/>
        <v>49117704.4904567</v>
      </c>
      <c r="H85" s="141">
        <f t="shared" si="25"/>
        <v>1537668.1158701384</v>
      </c>
      <c r="I85" s="141">
        <f t="shared" si="26"/>
        <v>562807.03061981639</v>
      </c>
      <c r="J85" s="141">
        <f t="shared" si="27"/>
        <v>974861.08525032201</v>
      </c>
      <c r="K85" s="108">
        <f t="shared" si="28"/>
        <v>48142843.405206375</v>
      </c>
      <c r="L85" s="108">
        <f t="shared" si="29"/>
        <v>51407922.014380611</v>
      </c>
      <c r="M85" s="108">
        <f t="shared" si="30"/>
        <v>81862.840817427903</v>
      </c>
      <c r="N85" s="108">
        <f t="shared" si="31"/>
        <v>12500</v>
      </c>
      <c r="O85" s="108">
        <f t="shared" si="32"/>
        <v>94362.840817427903</v>
      </c>
      <c r="P85" s="108">
        <f t="shared" si="33"/>
        <v>37745.136326971166</v>
      </c>
      <c r="Q85" s="100">
        <f t="shared" si="34"/>
        <v>2.2333333333333333E-3</v>
      </c>
      <c r="R85" s="100">
        <f>20%</f>
        <v>0.2</v>
      </c>
      <c r="S85" s="108">
        <f t="shared" si="35"/>
        <v>22962.20516642334</v>
      </c>
      <c r="T85" s="108">
        <f t="shared" si="36"/>
        <v>182755.16276112307</v>
      </c>
      <c r="U85" s="108">
        <f t="shared" si="37"/>
        <v>3206.1684784457034</v>
      </c>
      <c r="V85" s="108">
        <f t="shared" si="38"/>
        <v>5542.4448627527436</v>
      </c>
      <c r="W85" s="108">
        <f t="shared" si="39"/>
        <v>191503.77610232151</v>
      </c>
      <c r="X85" s="108">
        <f t="shared" si="40"/>
        <v>33655.499324033401</v>
      </c>
      <c r="Y85" s="108">
        <f t="shared" si="41"/>
        <v>9086.9848174890194</v>
      </c>
      <c r="Z85" s="108">
        <f t="shared" si="42"/>
        <v>24568.514506544379</v>
      </c>
      <c r="AA85" s="108">
        <f t="shared" si="43"/>
        <v>2292.1851866612537</v>
      </c>
      <c r="AB85" s="108">
        <f t="shared" si="44"/>
        <v>22276.329319883127</v>
      </c>
      <c r="AC85" s="109">
        <f t="shared" si="45"/>
        <v>0.45872464104109206</v>
      </c>
      <c r="AD85" s="108">
        <f t="shared" si="46"/>
        <v>11270.182997927433</v>
      </c>
      <c r="AE85" s="108">
        <f t="shared" si="47"/>
        <v>87847.500950551097</v>
      </c>
      <c r="AF85" s="48">
        <f t="shared" si="48"/>
        <v>0.1282925851729278</v>
      </c>
      <c r="AG85" s="110"/>
    </row>
    <row r="86" spans="5:33" x14ac:dyDescent="0.4">
      <c r="E86" s="107">
        <v>82</v>
      </c>
      <c r="F86" s="107">
        <v>7</v>
      </c>
      <c r="G86" s="141">
        <f t="shared" si="49"/>
        <v>48142843.405206375</v>
      </c>
      <c r="H86" s="141">
        <f t="shared" si="25"/>
        <v>1537668.1158701384</v>
      </c>
      <c r="I86" s="141">
        <f t="shared" si="26"/>
        <v>551636.74735132314</v>
      </c>
      <c r="J86" s="141">
        <f t="shared" si="27"/>
        <v>986031.36851881526</v>
      </c>
      <c r="K86" s="108">
        <f t="shared" si="28"/>
        <v>47156812.03668756</v>
      </c>
      <c r="L86" s="108">
        <f t="shared" si="29"/>
        <v>50387605.955938987</v>
      </c>
      <c r="M86" s="108">
        <f t="shared" si="30"/>
        <v>80238.072342010695</v>
      </c>
      <c r="N86" s="108">
        <f t="shared" si="31"/>
        <v>12500</v>
      </c>
      <c r="O86" s="108">
        <f t="shared" si="32"/>
        <v>92738.072342010695</v>
      </c>
      <c r="P86" s="108">
        <f t="shared" si="33"/>
        <v>37095.228936804277</v>
      </c>
      <c r="Q86" s="100">
        <f t="shared" si="34"/>
        <v>2.2333333333333333E-3</v>
      </c>
      <c r="R86" s="100">
        <f>20%</f>
        <v>0.2</v>
      </c>
      <c r="S86" s="108">
        <f t="shared" si="35"/>
        <v>22506.463993652749</v>
      </c>
      <c r="T86" s="108">
        <f t="shared" si="36"/>
        <v>179127.93917336309</v>
      </c>
      <c r="U86" s="108">
        <f t="shared" si="37"/>
        <v>3150.9636814564547</v>
      </c>
      <c r="V86" s="108">
        <f t="shared" si="38"/>
        <v>5447.0133389481371</v>
      </c>
      <c r="W86" s="108">
        <f t="shared" si="39"/>
        <v>187725.91619376768</v>
      </c>
      <c r="X86" s="108">
        <f t="shared" si="40"/>
        <v>33136.379411553673</v>
      </c>
      <c r="Y86" s="108">
        <f t="shared" si="41"/>
        <v>8946.8224411194915</v>
      </c>
      <c r="Z86" s="108">
        <f t="shared" si="42"/>
        <v>24189.556970434183</v>
      </c>
      <c r="AA86" s="108">
        <f t="shared" si="43"/>
        <v>2246.966472461897</v>
      </c>
      <c r="AB86" s="108">
        <f t="shared" si="44"/>
        <v>21942.590497972287</v>
      </c>
      <c r="AC86" s="109">
        <f t="shared" si="45"/>
        <v>0.45433239062705599</v>
      </c>
      <c r="AD86" s="108">
        <f t="shared" si="46"/>
        <v>10990.099246586729</v>
      </c>
      <c r="AE86" s="108">
        <f t="shared" si="47"/>
        <v>85289.96428696884</v>
      </c>
      <c r="AF86" s="48">
        <f t="shared" si="48"/>
        <v>0.12885571401588533</v>
      </c>
      <c r="AG86" s="110"/>
    </row>
    <row r="87" spans="5:33" x14ac:dyDescent="0.4">
      <c r="E87" s="107">
        <v>83</v>
      </c>
      <c r="F87" s="107">
        <v>7</v>
      </c>
      <c r="G87" s="141">
        <f t="shared" si="49"/>
        <v>47156812.03668756</v>
      </c>
      <c r="H87" s="141">
        <f t="shared" si="25"/>
        <v>1537668.1158701384</v>
      </c>
      <c r="I87" s="141">
        <f t="shared" si="26"/>
        <v>540338.47125371173</v>
      </c>
      <c r="J87" s="141">
        <f t="shared" si="27"/>
        <v>997329.64461642667</v>
      </c>
      <c r="K87" s="108">
        <f t="shared" si="28"/>
        <v>46159482.392071135</v>
      </c>
      <c r="L87" s="108">
        <f t="shared" si="29"/>
        <v>49355598.77599439</v>
      </c>
      <c r="M87" s="108">
        <f t="shared" si="30"/>
        <v>78594.686727812674</v>
      </c>
      <c r="N87" s="108">
        <f t="shared" si="31"/>
        <v>12500</v>
      </c>
      <c r="O87" s="108">
        <f t="shared" si="32"/>
        <v>91094.686727812674</v>
      </c>
      <c r="P87" s="108">
        <f t="shared" si="33"/>
        <v>36437.874691125071</v>
      </c>
      <c r="Q87" s="100">
        <f t="shared" si="34"/>
        <v>2.2333333333333333E-3</v>
      </c>
      <c r="R87" s="100">
        <f>20%</f>
        <v>0.2</v>
      </c>
      <c r="S87" s="108">
        <f t="shared" si="35"/>
        <v>22045.500786610828</v>
      </c>
      <c r="T87" s="108">
        <f t="shared" si="36"/>
        <v>175459.15364866005</v>
      </c>
      <c r="U87" s="108">
        <f t="shared" si="37"/>
        <v>3095.1263295017038</v>
      </c>
      <c r="V87" s="108">
        <f t="shared" si="38"/>
        <v>5350.4883289332693</v>
      </c>
      <c r="W87" s="108">
        <f t="shared" si="39"/>
        <v>183904.76830709504</v>
      </c>
      <c r="X87" s="108">
        <f t="shared" si="40"/>
        <v>32611.311250076775</v>
      </c>
      <c r="Y87" s="108">
        <f t="shared" si="41"/>
        <v>8805.0540375207293</v>
      </c>
      <c r="Z87" s="108">
        <f t="shared" si="42"/>
        <v>23806.257212556047</v>
      </c>
      <c r="AA87" s="108">
        <f t="shared" si="43"/>
        <v>2201.2296271623391</v>
      </c>
      <c r="AB87" s="108">
        <f t="shared" si="44"/>
        <v>21605.027585393709</v>
      </c>
      <c r="AC87" s="109">
        <f t="shared" si="45"/>
        <v>0.44998219564665815</v>
      </c>
      <c r="AD87" s="108">
        <f t="shared" si="46"/>
        <v>10712.391890635063</v>
      </c>
      <c r="AE87" s="108">
        <f t="shared" si="47"/>
        <v>82753.87143271658</v>
      </c>
      <c r="AF87" s="48">
        <f t="shared" si="48"/>
        <v>0.12944883067307397</v>
      </c>
      <c r="AG87" s="110"/>
    </row>
    <row r="88" spans="5:33" x14ac:dyDescent="0.4">
      <c r="E88" s="107">
        <v>84</v>
      </c>
      <c r="F88" s="107">
        <v>7</v>
      </c>
      <c r="G88" s="141">
        <f t="shared" si="49"/>
        <v>46159482.392071135</v>
      </c>
      <c r="H88" s="141">
        <f t="shared" si="25"/>
        <v>1537668.1158701384</v>
      </c>
      <c r="I88" s="141">
        <f t="shared" si="26"/>
        <v>528910.73574248177</v>
      </c>
      <c r="J88" s="141">
        <f t="shared" si="27"/>
        <v>1008757.3801276566</v>
      </c>
      <c r="K88" s="108">
        <f t="shared" si="28"/>
        <v>45150725.011943482</v>
      </c>
      <c r="L88" s="108">
        <f t="shared" si="29"/>
        <v>48311766.513779603</v>
      </c>
      <c r="M88" s="108">
        <f t="shared" si="30"/>
        <v>76932.470653451965</v>
      </c>
      <c r="N88" s="108">
        <f t="shared" si="31"/>
        <v>12500</v>
      </c>
      <c r="O88" s="108">
        <f t="shared" si="32"/>
        <v>89432.470653451965</v>
      </c>
      <c r="P88" s="108">
        <f t="shared" si="33"/>
        <v>35772.988261380786</v>
      </c>
      <c r="Q88" s="100">
        <f t="shared" si="34"/>
        <v>2.2333333333333333E-3</v>
      </c>
      <c r="R88" s="100">
        <f>20%</f>
        <v>0.2</v>
      </c>
      <c r="S88" s="108">
        <f t="shared" si="35"/>
        <v>21579.255709488221</v>
      </c>
      <c r="T88" s="108">
        <f t="shared" si="36"/>
        <v>171748.32995648647</v>
      </c>
      <c r="U88" s="108">
        <f t="shared" si="37"/>
        <v>3038.6491745558051</v>
      </c>
      <c r="V88" s="108">
        <f t="shared" si="38"/>
        <v>5252.8573031786482</v>
      </c>
      <c r="W88" s="108">
        <f t="shared" si="39"/>
        <v>180039.83643422092</v>
      </c>
      <c r="X88" s="108">
        <f t="shared" si="40"/>
        <v>32080.226682582957</v>
      </c>
      <c r="Y88" s="108">
        <f t="shared" si="41"/>
        <v>8661.6612042973993</v>
      </c>
      <c r="Z88" s="108">
        <f t="shared" si="42"/>
        <v>23418.565478285556</v>
      </c>
      <c r="AA88" s="108">
        <f t="shared" si="43"/>
        <v>2154.9687138437239</v>
      </c>
      <c r="AB88" s="108">
        <f t="shared" si="44"/>
        <v>21263.596764441834</v>
      </c>
      <c r="AC88" s="109">
        <f t="shared" si="45"/>
        <v>0.44567365342260767</v>
      </c>
      <c r="AD88" s="108">
        <f t="shared" si="46"/>
        <v>10437.037634624081</v>
      </c>
      <c r="AE88" s="108">
        <f t="shared" si="47"/>
        <v>80239.011665247948</v>
      </c>
      <c r="AF88" s="48">
        <f t="shared" si="48"/>
        <v>0.13007435433236314</v>
      </c>
      <c r="AG88" s="110"/>
    </row>
    <row r="89" spans="5:33" x14ac:dyDescent="0.4">
      <c r="E89" s="107">
        <v>85</v>
      </c>
      <c r="F89" s="107">
        <v>8</v>
      </c>
      <c r="G89" s="141">
        <f t="shared" si="49"/>
        <v>45150725.011943482</v>
      </c>
      <c r="H89" s="141">
        <f t="shared" si="25"/>
        <v>1537668.1158701384</v>
      </c>
      <c r="I89" s="141">
        <f t="shared" si="26"/>
        <v>517352.05742851913</v>
      </c>
      <c r="J89" s="141">
        <f t="shared" si="27"/>
        <v>1020316.0584416193</v>
      </c>
      <c r="K89" s="108">
        <f t="shared" si="28"/>
        <v>44130408.953501865</v>
      </c>
      <c r="L89" s="108">
        <f t="shared" si="29"/>
        <v>47255973.673560262</v>
      </c>
      <c r="M89" s="108">
        <f t="shared" si="30"/>
        <v>75251.208353239199</v>
      </c>
      <c r="N89" s="108">
        <f t="shared" si="31"/>
        <v>12500</v>
      </c>
      <c r="O89" s="108">
        <f t="shared" si="32"/>
        <v>87751.208353239199</v>
      </c>
      <c r="P89" s="108">
        <f t="shared" si="33"/>
        <v>35100.48334129568</v>
      </c>
      <c r="Q89" s="100">
        <f t="shared" si="34"/>
        <v>2.2333333333333333E-3</v>
      </c>
      <c r="R89" s="100">
        <f>20%</f>
        <v>0.2</v>
      </c>
      <c r="S89" s="108">
        <f t="shared" si="35"/>
        <v>21107.668240856918</v>
      </c>
      <c r="T89" s="108">
        <f t="shared" si="36"/>
        <v>167994.98640950673</v>
      </c>
      <c r="U89" s="108">
        <f t="shared" si="37"/>
        <v>2981.5248855428176</v>
      </c>
      <c r="V89" s="108">
        <f t="shared" si="38"/>
        <v>5154.1075885872542</v>
      </c>
      <c r="W89" s="108">
        <f t="shared" si="39"/>
        <v>176130.61888363678</v>
      </c>
      <c r="X89" s="108">
        <f t="shared" si="40"/>
        <v>31543.056771086602</v>
      </c>
      <c r="Y89" s="108">
        <f t="shared" si="41"/>
        <v>8516.6253281933823</v>
      </c>
      <c r="Z89" s="108">
        <f t="shared" si="42"/>
        <v>23026.431442893219</v>
      </c>
      <c r="AA89" s="108">
        <f t="shared" si="43"/>
        <v>2108.1777275599998</v>
      </c>
      <c r="AB89" s="108">
        <f t="shared" si="44"/>
        <v>20918.25371533322</v>
      </c>
      <c r="AC89" s="109">
        <f t="shared" si="45"/>
        <v>0.44140636513321513</v>
      </c>
      <c r="AD89" s="108">
        <f t="shared" si="46"/>
        <v>10164.013405196671</v>
      </c>
      <c r="AE89" s="108">
        <f t="shared" si="47"/>
        <v>77745.176270089738</v>
      </c>
      <c r="AF89" s="48">
        <f t="shared" si="48"/>
        <v>0.1307349715162584</v>
      </c>
      <c r="AG89" s="110"/>
    </row>
    <row r="90" spans="5:33" x14ac:dyDescent="0.4">
      <c r="E90" s="107">
        <v>86</v>
      </c>
      <c r="F90" s="107">
        <v>8</v>
      </c>
      <c r="G90" s="141">
        <f t="shared" si="49"/>
        <v>44130408.953501865</v>
      </c>
      <c r="H90" s="141">
        <f t="shared" si="25"/>
        <v>1537668.1158701384</v>
      </c>
      <c r="I90" s="141">
        <f t="shared" si="26"/>
        <v>505660.93592554226</v>
      </c>
      <c r="J90" s="141">
        <f t="shared" si="27"/>
        <v>1032007.1799445961</v>
      </c>
      <c r="K90" s="108">
        <f t="shared" si="28"/>
        <v>43098401.773557268</v>
      </c>
      <c r="L90" s="108">
        <f t="shared" si="29"/>
        <v>46188083.207046747</v>
      </c>
      <c r="M90" s="108">
        <f t="shared" si="30"/>
        <v>73550.68158916985</v>
      </c>
      <c r="N90" s="108">
        <f t="shared" si="31"/>
        <v>12500</v>
      </c>
      <c r="O90" s="108">
        <f t="shared" si="32"/>
        <v>86050.68158916985</v>
      </c>
      <c r="P90" s="108">
        <f t="shared" si="33"/>
        <v>34420.272635667941</v>
      </c>
      <c r="Q90" s="100">
        <f t="shared" si="34"/>
        <v>2.2333333333333333E-3</v>
      </c>
      <c r="R90" s="100">
        <f>20%</f>
        <v>0.2</v>
      </c>
      <c r="S90" s="108">
        <f t="shared" si="35"/>
        <v>20630.677165814213</v>
      </c>
      <c r="T90" s="108">
        <f t="shared" si="36"/>
        <v>164198.63580105116</v>
      </c>
      <c r="U90" s="108">
        <f t="shared" si="37"/>
        <v>2923.7460473848901</v>
      </c>
      <c r="V90" s="108">
        <f t="shared" si="38"/>
        <v>5054.2263668495025</v>
      </c>
      <c r="W90" s="108">
        <f t="shared" si="39"/>
        <v>172176.60821528555</v>
      </c>
      <c r="X90" s="108">
        <f t="shared" si="40"/>
        <v>30999.731787687695</v>
      </c>
      <c r="Y90" s="108">
        <f t="shared" si="41"/>
        <v>8369.9275826756784</v>
      </c>
      <c r="Z90" s="108">
        <f t="shared" si="42"/>
        <v>22629.804205012017</v>
      </c>
      <c r="AA90" s="108">
        <f t="shared" si="43"/>
        <v>2060.8505945584411</v>
      </c>
      <c r="AB90" s="108">
        <f t="shared" si="44"/>
        <v>20568.953610453576</v>
      </c>
      <c r="AC90" s="109">
        <f t="shared" si="45"/>
        <v>0.4371799357754757</v>
      </c>
      <c r="AD90" s="108">
        <f t="shared" si="46"/>
        <v>9893.2963489587437</v>
      </c>
      <c r="AE90" s="108">
        <f t="shared" si="47"/>
        <v>75272.158521597783</v>
      </c>
      <c r="AF90" s="48">
        <f t="shared" si="48"/>
        <v>0.13143367406051026</v>
      </c>
      <c r="AG90" s="110"/>
    </row>
    <row r="91" spans="5:33" x14ac:dyDescent="0.4">
      <c r="E91" s="107">
        <v>87</v>
      </c>
      <c r="F91" s="107">
        <v>8</v>
      </c>
      <c r="G91" s="141">
        <f t="shared" si="49"/>
        <v>43098401.773557268</v>
      </c>
      <c r="H91" s="141">
        <f t="shared" si="25"/>
        <v>1537668.1158701384</v>
      </c>
      <c r="I91" s="141">
        <f t="shared" si="26"/>
        <v>493835.85365534376</v>
      </c>
      <c r="J91" s="141">
        <f t="shared" si="27"/>
        <v>1043832.2622147946</v>
      </c>
      <c r="K91" s="108">
        <f t="shared" si="28"/>
        <v>42054569.511342473</v>
      </c>
      <c r="L91" s="108">
        <f t="shared" si="29"/>
        <v>45107956.495604426</v>
      </c>
      <c r="M91" s="108">
        <f t="shared" si="30"/>
        <v>71830.669622595509</v>
      </c>
      <c r="N91" s="108">
        <f t="shared" si="31"/>
        <v>12500</v>
      </c>
      <c r="O91" s="108">
        <f t="shared" si="32"/>
        <v>84330.669622595509</v>
      </c>
      <c r="P91" s="108">
        <f t="shared" si="33"/>
        <v>33732.267849038202</v>
      </c>
      <c r="Q91" s="100">
        <f t="shared" si="34"/>
        <v>2.2333333333333333E-3</v>
      </c>
      <c r="R91" s="100">
        <f>20%</f>
        <v>0.2</v>
      </c>
      <c r="S91" s="108">
        <f t="shared" si="35"/>
        <v>20148.220568036642</v>
      </c>
      <c r="T91" s="108">
        <f t="shared" si="36"/>
        <v>160358.78534187371</v>
      </c>
      <c r="U91" s="108">
        <f t="shared" si="37"/>
        <v>2865.3051600397357</v>
      </c>
      <c r="V91" s="108">
        <f t="shared" si="38"/>
        <v>4953.2006727793369</v>
      </c>
      <c r="W91" s="108">
        <f t="shared" si="39"/>
        <v>168177.2911746928</v>
      </c>
      <c r="X91" s="108">
        <f t="shared" si="40"/>
        <v>30450.181205520665</v>
      </c>
      <c r="Y91" s="108">
        <f t="shared" si="41"/>
        <v>8221.5489254905806</v>
      </c>
      <c r="Z91" s="108">
        <f t="shared" si="42"/>
        <v>22228.632280030084</v>
      </c>
      <c r="AA91" s="108">
        <f t="shared" si="43"/>
        <v>2012.9811714912398</v>
      </c>
      <c r="AB91" s="108">
        <f t="shared" si="44"/>
        <v>20215.651108538845</v>
      </c>
      <c r="AC91" s="109">
        <f t="shared" si="45"/>
        <v>0.43299397412850565</v>
      </c>
      <c r="AD91" s="108">
        <f t="shared" si="46"/>
        <v>9624.8638303714124</v>
      </c>
      <c r="AE91" s="108">
        <f t="shared" si="47"/>
        <v>72819.753663897092</v>
      </c>
      <c r="AF91" s="48">
        <f t="shared" si="48"/>
        <v>0.13217380375653853</v>
      </c>
      <c r="AG91" s="110"/>
    </row>
    <row r="92" spans="5:33" x14ac:dyDescent="0.4">
      <c r="E92" s="107">
        <v>88</v>
      </c>
      <c r="F92" s="107">
        <v>8</v>
      </c>
      <c r="G92" s="141">
        <f t="shared" si="49"/>
        <v>42054569.511342473</v>
      </c>
      <c r="H92" s="141">
        <f t="shared" si="25"/>
        <v>1537668.1158701384</v>
      </c>
      <c r="I92" s="141">
        <f t="shared" si="26"/>
        <v>481875.27565079922</v>
      </c>
      <c r="J92" s="141">
        <f t="shared" si="27"/>
        <v>1055792.8402193391</v>
      </c>
      <c r="K92" s="108">
        <f t="shared" si="28"/>
        <v>40998776.671123132</v>
      </c>
      <c r="L92" s="108">
        <f t="shared" si="29"/>
        <v>44015453.332260162</v>
      </c>
      <c r="M92" s="108">
        <f t="shared" si="30"/>
        <v>70090.949185570847</v>
      </c>
      <c r="N92" s="108">
        <f t="shared" si="31"/>
        <v>12500</v>
      </c>
      <c r="O92" s="108">
        <f t="shared" si="32"/>
        <v>82590.949185570847</v>
      </c>
      <c r="P92" s="108">
        <f t="shared" si="33"/>
        <v>33036.379674228338</v>
      </c>
      <c r="Q92" s="100">
        <f t="shared" si="34"/>
        <v>2.2333333333333333E-3</v>
      </c>
      <c r="R92" s="100">
        <f>20%</f>
        <v>0.2</v>
      </c>
      <c r="S92" s="108">
        <f t="shared" si="35"/>
        <v>19660.235821742874</v>
      </c>
      <c r="T92" s="108">
        <f t="shared" si="36"/>
        <v>156474.93659618485</v>
      </c>
      <c r="U92" s="108">
        <f t="shared" si="37"/>
        <v>2806.194637527085</v>
      </c>
      <c r="V92" s="108">
        <f t="shared" si="38"/>
        <v>4851.0173926312846</v>
      </c>
      <c r="W92" s="108">
        <f t="shared" si="39"/>
        <v>164132.1486263432</v>
      </c>
      <c r="X92" s="108">
        <f t="shared" si="40"/>
        <v>29894.333689599636</v>
      </c>
      <c r="Y92" s="108">
        <f t="shared" si="41"/>
        <v>8071.4700961919025</v>
      </c>
      <c r="Z92" s="108">
        <f t="shared" si="42"/>
        <v>21822.863593407732</v>
      </c>
      <c r="AA92" s="108">
        <f t="shared" si="43"/>
        <v>1964.5632446180593</v>
      </c>
      <c r="AB92" s="108">
        <f t="shared" si="44"/>
        <v>19858.300348789671</v>
      </c>
      <c r="AC92" s="109">
        <f t="shared" si="45"/>
        <v>0.4288480927173286</v>
      </c>
      <c r="AD92" s="108">
        <f t="shared" si="46"/>
        <v>9358.6934296633335</v>
      </c>
      <c r="AE92" s="108">
        <f t="shared" si="47"/>
        <v>70387.758892004393</v>
      </c>
      <c r="AF92" s="48">
        <f t="shared" si="48"/>
        <v>0.13295910506288933</v>
      </c>
      <c r="AG92" s="110"/>
    </row>
    <row r="93" spans="5:33" x14ac:dyDescent="0.4">
      <c r="E93" s="107">
        <v>89</v>
      </c>
      <c r="F93" s="107">
        <v>8</v>
      </c>
      <c r="G93" s="141">
        <f t="shared" si="49"/>
        <v>40998776.671123132</v>
      </c>
      <c r="H93" s="141">
        <f t="shared" si="25"/>
        <v>1537668.1158701384</v>
      </c>
      <c r="I93" s="141">
        <f t="shared" si="26"/>
        <v>469777.64935661928</v>
      </c>
      <c r="J93" s="141">
        <f t="shared" si="27"/>
        <v>1067890.4665135192</v>
      </c>
      <c r="K93" s="108">
        <f t="shared" si="28"/>
        <v>39930886.20460961</v>
      </c>
      <c r="L93" s="108">
        <f t="shared" si="29"/>
        <v>42910431.903502576</v>
      </c>
      <c r="M93" s="108">
        <f t="shared" si="30"/>
        <v>68331.294451871945</v>
      </c>
      <c r="N93" s="108">
        <f t="shared" si="31"/>
        <v>12500</v>
      </c>
      <c r="O93" s="108">
        <f t="shared" si="32"/>
        <v>80831.294451871945</v>
      </c>
      <c r="P93" s="108">
        <f t="shared" si="33"/>
        <v>32332.517780748778</v>
      </c>
      <c r="Q93" s="100">
        <f t="shared" si="34"/>
        <v>2.2333333333333333E-3</v>
      </c>
      <c r="R93" s="100">
        <f>20%</f>
        <v>0.2</v>
      </c>
      <c r="S93" s="108">
        <f t="shared" si="35"/>
        <v>19166.659583564484</v>
      </c>
      <c r="T93" s="108">
        <f t="shared" si="36"/>
        <v>152546.58541695165</v>
      </c>
      <c r="U93" s="108">
        <f t="shared" si="37"/>
        <v>2746.4068069439768</v>
      </c>
      <c r="V93" s="108">
        <f t="shared" si="38"/>
        <v>4747.6632623982023</v>
      </c>
      <c r="W93" s="108">
        <f t="shared" si="39"/>
        <v>160040.65548629384</v>
      </c>
      <c r="X93" s="108">
        <f t="shared" si="40"/>
        <v>29332.117087558683</v>
      </c>
      <c r="Y93" s="108">
        <f t="shared" si="41"/>
        <v>7919.671613640845</v>
      </c>
      <c r="Z93" s="108">
        <f t="shared" si="42"/>
        <v>21412.44547391784</v>
      </c>
      <c r="AA93" s="108">
        <f t="shared" si="43"/>
        <v>1915.590528999458</v>
      </c>
      <c r="AB93" s="108">
        <f t="shared" si="44"/>
        <v>19496.854944918381</v>
      </c>
      <c r="AC93" s="109">
        <f t="shared" si="45"/>
        <v>0.42474190777700938</v>
      </c>
      <c r="AD93" s="108">
        <f t="shared" si="46"/>
        <v>9094.7629407630538</v>
      </c>
      <c r="AE93" s="108">
        <f t="shared" si="47"/>
        <v>67975.973333131551</v>
      </c>
      <c r="AF93" s="48">
        <f t="shared" si="48"/>
        <v>0.13379378764011399</v>
      </c>
      <c r="AG93" s="110"/>
    </row>
    <row r="94" spans="5:33" x14ac:dyDescent="0.4">
      <c r="E94" s="107">
        <v>90</v>
      </c>
      <c r="F94" s="107">
        <v>8</v>
      </c>
      <c r="G94" s="141">
        <f t="shared" si="49"/>
        <v>39930886.20460961</v>
      </c>
      <c r="H94" s="141">
        <f t="shared" si="25"/>
        <v>1537668.1158701384</v>
      </c>
      <c r="I94" s="141">
        <f t="shared" si="26"/>
        <v>457541.40442781849</v>
      </c>
      <c r="J94" s="141">
        <f t="shared" si="27"/>
        <v>1080126.7114423199</v>
      </c>
      <c r="K94" s="108">
        <f t="shared" si="28"/>
        <v>38850759.493167289</v>
      </c>
      <c r="L94" s="108">
        <f t="shared" si="29"/>
        <v>41792748.770873815</v>
      </c>
      <c r="M94" s="108">
        <f t="shared" si="30"/>
        <v>66551.477007682741</v>
      </c>
      <c r="N94" s="108">
        <f t="shared" si="31"/>
        <v>12500</v>
      </c>
      <c r="O94" s="108">
        <f t="shared" si="32"/>
        <v>79051.477007682741</v>
      </c>
      <c r="P94" s="108">
        <f t="shared" si="33"/>
        <v>31620.590803073097</v>
      </c>
      <c r="Q94" s="100">
        <f t="shared" si="34"/>
        <v>2.2333333333333333E-3</v>
      </c>
      <c r="R94" s="100">
        <f>20%</f>
        <v>0.2</v>
      </c>
      <c r="S94" s="108">
        <f t="shared" si="35"/>
        <v>18667.427784323638</v>
      </c>
      <c r="T94" s="108">
        <f t="shared" si="36"/>
        <v>148573.2218804564</v>
      </c>
      <c r="U94" s="108">
        <f t="shared" si="37"/>
        <v>2685.93390746877</v>
      </c>
      <c r="V94" s="108">
        <f t="shared" si="38"/>
        <v>4643.1248660895326</v>
      </c>
      <c r="W94" s="108">
        <f t="shared" si="39"/>
        <v>155902.2806540147</v>
      </c>
      <c r="X94" s="108">
        <f t="shared" si="40"/>
        <v>28763.45842028601</v>
      </c>
      <c r="Y94" s="108">
        <f t="shared" si="41"/>
        <v>7766.1337734772233</v>
      </c>
      <c r="Z94" s="108">
        <f t="shared" si="42"/>
        <v>20997.324646808785</v>
      </c>
      <c r="AA94" s="108">
        <f t="shared" si="43"/>
        <v>1866.0566676810597</v>
      </c>
      <c r="AB94" s="108">
        <f t="shared" si="44"/>
        <v>19131.267979127726</v>
      </c>
      <c r="AC94" s="109">
        <f t="shared" si="45"/>
        <v>0.42067503921712979</v>
      </c>
      <c r="AD94" s="108">
        <f t="shared" si="46"/>
        <v>8833.050369251092</v>
      </c>
      <c r="AE94" s="108">
        <f t="shared" si="47"/>
        <v>65584.198028167608</v>
      </c>
      <c r="AF94" s="48">
        <f t="shared" si="48"/>
        <v>0.13468260091336948</v>
      </c>
      <c r="AG94" s="110"/>
    </row>
    <row r="95" spans="5:33" x14ac:dyDescent="0.4">
      <c r="E95" s="107">
        <v>91</v>
      </c>
      <c r="F95" s="107">
        <v>8</v>
      </c>
      <c r="G95" s="141">
        <f t="shared" si="49"/>
        <v>38850759.493167289</v>
      </c>
      <c r="H95" s="141">
        <f t="shared" si="25"/>
        <v>1537668.1158701384</v>
      </c>
      <c r="I95" s="141">
        <f t="shared" si="26"/>
        <v>445164.95252587524</v>
      </c>
      <c r="J95" s="141">
        <f t="shared" si="27"/>
        <v>1092503.1633442631</v>
      </c>
      <c r="K95" s="108">
        <f t="shared" si="28"/>
        <v>37758256.329823025</v>
      </c>
      <c r="L95" s="108">
        <f t="shared" si="29"/>
        <v>40662258.852350339</v>
      </c>
      <c r="M95" s="108">
        <f t="shared" si="30"/>
        <v>64751.265821945541</v>
      </c>
      <c r="N95" s="108">
        <f t="shared" si="31"/>
        <v>12500</v>
      </c>
      <c r="O95" s="108">
        <f t="shared" si="32"/>
        <v>77251.265821945533</v>
      </c>
      <c r="P95" s="108">
        <f t="shared" si="33"/>
        <v>30900.506328778214</v>
      </c>
      <c r="Q95" s="100">
        <f t="shared" si="34"/>
        <v>2.2333333333333333E-3</v>
      </c>
      <c r="R95" s="100">
        <f>20%</f>
        <v>0.2</v>
      </c>
      <c r="S95" s="108">
        <f t="shared" si="35"/>
        <v>18162.475620716486</v>
      </c>
      <c r="T95" s="108">
        <f t="shared" si="36"/>
        <v>144554.33022010545</v>
      </c>
      <c r="U95" s="108">
        <f t="shared" si="37"/>
        <v>2624.7680893537436</v>
      </c>
      <c r="V95" s="108">
        <f t="shared" si="38"/>
        <v>4537.3886339898263</v>
      </c>
      <c r="W95" s="108">
        <f t="shared" si="39"/>
        <v>151716.48694344901</v>
      </c>
      <c r="X95" s="108">
        <f t="shared" si="40"/>
        <v>28188.283872450836</v>
      </c>
      <c r="Y95" s="108">
        <f t="shared" si="41"/>
        <v>7610.8366455617261</v>
      </c>
      <c r="Z95" s="108">
        <f t="shared" si="42"/>
        <v>20577.447226889111</v>
      </c>
      <c r="AA95" s="108">
        <f t="shared" si="43"/>
        <v>1815.9552308683878</v>
      </c>
      <c r="AB95" s="108">
        <f t="shared" si="44"/>
        <v>18761.491996020723</v>
      </c>
      <c r="AC95" s="109">
        <f t="shared" si="45"/>
        <v>0.41664711058660603</v>
      </c>
      <c r="AD95" s="108">
        <f t="shared" si="46"/>
        <v>8573.5339303317178</v>
      </c>
      <c r="AE95" s="108">
        <f t="shared" si="47"/>
        <v>63212.235913338569</v>
      </c>
      <c r="AF95" s="48">
        <f t="shared" si="48"/>
        <v>0.13563092345104968</v>
      </c>
      <c r="AG95" s="110"/>
    </row>
    <row r="96" spans="5:33" x14ac:dyDescent="0.4">
      <c r="E96" s="107">
        <v>92</v>
      </c>
      <c r="F96" s="107">
        <v>8</v>
      </c>
      <c r="G96" s="141">
        <f t="shared" si="49"/>
        <v>37758256.329823025</v>
      </c>
      <c r="H96" s="141">
        <f t="shared" si="25"/>
        <v>1537668.1158701384</v>
      </c>
      <c r="I96" s="141">
        <f t="shared" si="26"/>
        <v>432646.68711255555</v>
      </c>
      <c r="J96" s="141">
        <f t="shared" si="27"/>
        <v>1105021.4287575828</v>
      </c>
      <c r="K96" s="108">
        <f t="shared" si="28"/>
        <v>36653234.901065439</v>
      </c>
      <c r="L96" s="108">
        <f t="shared" si="29"/>
        <v>39518815.403510459</v>
      </c>
      <c r="M96" s="108">
        <f t="shared" si="30"/>
        <v>62930.427216371761</v>
      </c>
      <c r="N96" s="108">
        <f t="shared" si="31"/>
        <v>12500</v>
      </c>
      <c r="O96" s="108">
        <f t="shared" si="32"/>
        <v>75430.427216371754</v>
      </c>
      <c r="P96" s="108">
        <f t="shared" si="33"/>
        <v>30172.170886548702</v>
      </c>
      <c r="Q96" s="100">
        <f t="shared" si="34"/>
        <v>2.2333333333333333E-3</v>
      </c>
      <c r="R96" s="100">
        <f>20%</f>
        <v>0.2</v>
      </c>
      <c r="S96" s="108">
        <f t="shared" si="35"/>
        <v>17651.737546901339</v>
      </c>
      <c r="T96" s="108">
        <f t="shared" si="36"/>
        <v>140489.38875947968</v>
      </c>
      <c r="U96" s="108">
        <f t="shared" si="37"/>
        <v>2562.9014129061493</v>
      </c>
      <c r="V96" s="108">
        <f t="shared" si="38"/>
        <v>4430.4408408973113</v>
      </c>
      <c r="W96" s="108">
        <f t="shared" si="39"/>
        <v>147482.73101328316</v>
      </c>
      <c r="X96" s="108">
        <f t="shared" si="40"/>
        <v>27606.518782921714</v>
      </c>
      <c r="Y96" s="108">
        <f t="shared" si="41"/>
        <v>7453.7600713888633</v>
      </c>
      <c r="Z96" s="108">
        <f t="shared" si="42"/>
        <v>20152.75871153285</v>
      </c>
      <c r="AA96" s="108">
        <f t="shared" si="43"/>
        <v>1765.2797150922383</v>
      </c>
      <c r="AB96" s="108">
        <f t="shared" si="44"/>
        <v>18387.478996440612</v>
      </c>
      <c r="AC96" s="109">
        <f t="shared" si="45"/>
        <v>0.41265774903884245</v>
      </c>
      <c r="AD96" s="108">
        <f t="shared" si="46"/>
        <v>8316.1920468240678</v>
      </c>
      <c r="AE96" s="108">
        <f t="shared" si="47"/>
        <v>60859.891802042512</v>
      </c>
      <c r="AF96" s="48">
        <f t="shared" si="48"/>
        <v>0.13664487071179726</v>
      </c>
      <c r="AG96" s="110"/>
    </row>
    <row r="97" spans="5:33" x14ac:dyDescent="0.4">
      <c r="E97" s="107">
        <v>93</v>
      </c>
      <c r="F97" s="107">
        <v>8</v>
      </c>
      <c r="G97" s="141">
        <f t="shared" si="49"/>
        <v>36653234.901065439</v>
      </c>
      <c r="H97" s="141">
        <f t="shared" si="25"/>
        <v>1537668.1158701384</v>
      </c>
      <c r="I97" s="141">
        <f t="shared" si="26"/>
        <v>419984.98324137484</v>
      </c>
      <c r="J97" s="141">
        <f t="shared" si="27"/>
        <v>1117683.1326287636</v>
      </c>
      <c r="K97" s="108">
        <f t="shared" si="28"/>
        <v>35535551.768436678</v>
      </c>
      <c r="L97" s="108">
        <f t="shared" si="29"/>
        <v>38362269.998485953</v>
      </c>
      <c r="M97" s="108">
        <f t="shared" si="30"/>
        <v>61088.724835109118</v>
      </c>
      <c r="N97" s="108">
        <f t="shared" si="31"/>
        <v>12500</v>
      </c>
      <c r="O97" s="108">
        <f t="shared" si="32"/>
        <v>73588.724835109111</v>
      </c>
      <c r="P97" s="108">
        <f t="shared" si="33"/>
        <v>29435.489934043646</v>
      </c>
      <c r="Q97" s="100">
        <f t="shared" si="34"/>
        <v>2.2333333333333333E-3</v>
      </c>
      <c r="R97" s="100">
        <f>20%</f>
        <v>0.2</v>
      </c>
      <c r="S97" s="108">
        <f t="shared" si="35"/>
        <v>17135.147265990392</v>
      </c>
      <c r="T97" s="108">
        <f t="shared" si="36"/>
        <v>136377.86984461755</v>
      </c>
      <c r="U97" s="108">
        <f t="shared" si="37"/>
        <v>2500.3258474575928</v>
      </c>
      <c r="V97" s="108">
        <f t="shared" si="38"/>
        <v>4322.2676043422771</v>
      </c>
      <c r="W97" s="108">
        <f t="shared" si="39"/>
        <v>143200.46329641744</v>
      </c>
      <c r="X97" s="108">
        <f t="shared" si="40"/>
        <v>27018.087635075073</v>
      </c>
      <c r="Y97" s="108">
        <f t="shared" si="41"/>
        <v>7294.8836614702705</v>
      </c>
      <c r="Z97" s="108">
        <f t="shared" si="42"/>
        <v>19723.203973604803</v>
      </c>
      <c r="AA97" s="108">
        <f t="shared" si="43"/>
        <v>1714.0235423644865</v>
      </c>
      <c r="AB97" s="108">
        <f t="shared" si="44"/>
        <v>18009.180431240315</v>
      </c>
      <c r="AC97" s="109">
        <f t="shared" si="45"/>
        <v>0.40870658529721837</v>
      </c>
      <c r="AD97" s="108">
        <f t="shared" si="46"/>
        <v>8061.0033471725474</v>
      </c>
      <c r="AE97" s="108">
        <f t="shared" si="47"/>
        <v>58526.972366858419</v>
      </c>
      <c r="AF97" s="48">
        <f t="shared" si="48"/>
        <v>0.13773142572017247</v>
      </c>
      <c r="AG97" s="110"/>
    </row>
    <row r="98" spans="5:33" x14ac:dyDescent="0.4">
      <c r="E98" s="107">
        <v>94</v>
      </c>
      <c r="F98" s="107">
        <v>8</v>
      </c>
      <c r="G98" s="141">
        <f t="shared" si="49"/>
        <v>35535551.768436678</v>
      </c>
      <c r="H98" s="141">
        <f t="shared" si="25"/>
        <v>1537668.1158701384</v>
      </c>
      <c r="I98" s="141">
        <f t="shared" si="26"/>
        <v>407178.19734667032</v>
      </c>
      <c r="J98" s="141">
        <f t="shared" si="27"/>
        <v>1130489.9185234681</v>
      </c>
      <c r="K98" s="108">
        <f t="shared" si="28"/>
        <v>34405061.84991321</v>
      </c>
      <c r="L98" s="108">
        <f t="shared" si="29"/>
        <v>37192472.510695539</v>
      </c>
      <c r="M98" s="108">
        <f t="shared" si="30"/>
        <v>59225.919614061182</v>
      </c>
      <c r="N98" s="108">
        <f t="shared" si="31"/>
        <v>12500</v>
      </c>
      <c r="O98" s="108">
        <f t="shared" si="32"/>
        <v>71725.919614061189</v>
      </c>
      <c r="P98" s="108">
        <f t="shared" si="33"/>
        <v>28690.367845624478</v>
      </c>
      <c r="Q98" s="100">
        <f t="shared" si="34"/>
        <v>2.2333333333333333E-3</v>
      </c>
      <c r="R98" s="100">
        <f>20%</f>
        <v>0.2</v>
      </c>
      <c r="S98" s="108">
        <f t="shared" si="35"/>
        <v>16612.637721444007</v>
      </c>
      <c r="T98" s="108">
        <f t="shared" si="36"/>
        <v>132219.23977552261</v>
      </c>
      <c r="U98" s="108">
        <f t="shared" si="37"/>
        <v>2437.0332703216054</v>
      </c>
      <c r="V98" s="108">
        <f t="shared" si="38"/>
        <v>4212.8548827850518</v>
      </c>
      <c r="W98" s="108">
        <f t="shared" si="39"/>
        <v>138869.12792862928</v>
      </c>
      <c r="X98" s="108">
        <f t="shared" si="40"/>
        <v>26422.914046992701</v>
      </c>
      <c r="Y98" s="108">
        <f t="shared" si="41"/>
        <v>7134.1867926880295</v>
      </c>
      <c r="Z98" s="108">
        <f t="shared" si="42"/>
        <v>19288.727254304671</v>
      </c>
      <c r="AA98" s="108">
        <f t="shared" si="43"/>
        <v>1662.180059324229</v>
      </c>
      <c r="AB98" s="108">
        <f t="shared" si="44"/>
        <v>17626.547194980441</v>
      </c>
      <c r="AC98" s="109">
        <f t="shared" si="45"/>
        <v>0.40479325362090623</v>
      </c>
      <c r="AD98" s="108">
        <f t="shared" si="46"/>
        <v>7807.9466634762375</v>
      </c>
      <c r="AE98" s="108">
        <f t="shared" si="47"/>
        <v>56213.28612172771</v>
      </c>
      <c r="AF98" s="48">
        <f t="shared" si="48"/>
        <v>0.13889859857273651</v>
      </c>
      <c r="AG98" s="110"/>
    </row>
    <row r="99" spans="5:33" x14ac:dyDescent="0.4">
      <c r="E99" s="107">
        <v>95</v>
      </c>
      <c r="F99" s="107">
        <v>8</v>
      </c>
      <c r="G99" s="141">
        <f t="shared" si="49"/>
        <v>34405061.84991321</v>
      </c>
      <c r="H99" s="141">
        <f t="shared" si="25"/>
        <v>1537668.1158701384</v>
      </c>
      <c r="I99" s="141">
        <f t="shared" si="26"/>
        <v>394224.66703025554</v>
      </c>
      <c r="J99" s="141">
        <f t="shared" si="27"/>
        <v>1143443.4488398829</v>
      </c>
      <c r="K99" s="108">
        <f t="shared" si="28"/>
        <v>33261618.401073325</v>
      </c>
      <c r="L99" s="108">
        <f t="shared" si="29"/>
        <v>36009271.093357526</v>
      </c>
      <c r="M99" s="108">
        <f t="shared" si="30"/>
        <v>57341.769749855397</v>
      </c>
      <c r="N99" s="108">
        <f t="shared" si="31"/>
        <v>12500</v>
      </c>
      <c r="O99" s="108">
        <f t="shared" si="32"/>
        <v>69841.76974985539</v>
      </c>
      <c r="P99" s="108">
        <f t="shared" si="33"/>
        <v>27936.707899942157</v>
      </c>
      <c r="Q99" s="100">
        <f t="shared" si="34"/>
        <v>2.2333333333333333E-3</v>
      </c>
      <c r="R99" s="100">
        <f>20%</f>
        <v>0.2</v>
      </c>
      <c r="S99" s="108">
        <f t="shared" si="35"/>
        <v>16084.141088366361</v>
      </c>
      <c r="T99" s="108">
        <f t="shared" si="36"/>
        <v>128012.95873688599</v>
      </c>
      <c r="U99" s="108">
        <f t="shared" si="37"/>
        <v>2373.0154657392673</v>
      </c>
      <c r="V99" s="108">
        <f t="shared" si="38"/>
        <v>4102.1884737933142</v>
      </c>
      <c r="W99" s="108">
        <f t="shared" si="39"/>
        <v>134488.16267641858</v>
      </c>
      <c r="X99" s="108">
        <f t="shared" si="40"/>
        <v>25820.920761546869</v>
      </c>
      <c r="Y99" s="108">
        <f t="shared" si="41"/>
        <v>6971.6486056176554</v>
      </c>
      <c r="Z99" s="108">
        <f t="shared" si="42"/>
        <v>18849.272155929215</v>
      </c>
      <c r="AA99" s="108">
        <f t="shared" si="43"/>
        <v>1609.7425363741354</v>
      </c>
      <c r="AB99" s="108">
        <f t="shared" si="44"/>
        <v>17239.52961955508</v>
      </c>
      <c r="AC99" s="109">
        <f t="shared" si="45"/>
        <v>0.40091739177101676</v>
      </c>
      <c r="AD99" s="108">
        <f t="shared" si="46"/>
        <v>7557.0010295371912</v>
      </c>
      <c r="AE99" s="108">
        <f t="shared" si="47"/>
        <v>53918.643404305942</v>
      </c>
      <c r="AF99" s="48">
        <f t="shared" si="48"/>
        <v>0.14015562247869331</v>
      </c>
      <c r="AG99" s="110"/>
    </row>
    <row r="100" spans="5:33" x14ac:dyDescent="0.4">
      <c r="E100" s="107">
        <v>96</v>
      </c>
      <c r="F100" s="107">
        <v>8</v>
      </c>
      <c r="G100" s="141">
        <f t="shared" si="49"/>
        <v>33261618.401073325</v>
      </c>
      <c r="H100" s="141">
        <f t="shared" si="25"/>
        <v>1537668.1158701384</v>
      </c>
      <c r="I100" s="141">
        <f t="shared" si="26"/>
        <v>381122.7108456319</v>
      </c>
      <c r="J100" s="141">
        <f t="shared" si="27"/>
        <v>1156545.4050245066</v>
      </c>
      <c r="K100" s="108">
        <f t="shared" si="28"/>
        <v>32105072.996048819</v>
      </c>
      <c r="L100" s="108">
        <f t="shared" si="29"/>
        <v>34812512.159779184</v>
      </c>
      <c r="M100" s="108">
        <f t="shared" si="30"/>
        <v>55436.030668455591</v>
      </c>
      <c r="N100" s="108">
        <f t="shared" si="31"/>
        <v>12500</v>
      </c>
      <c r="O100" s="108">
        <f t="shared" si="32"/>
        <v>67936.030668455584</v>
      </c>
      <c r="P100" s="108">
        <f t="shared" si="33"/>
        <v>27174.412267382235</v>
      </c>
      <c r="Q100" s="100">
        <f t="shared" si="34"/>
        <v>2.2333333333333333E-3</v>
      </c>
      <c r="R100" s="100">
        <f>20%</f>
        <v>0.2</v>
      </c>
      <c r="S100" s="108">
        <f t="shared" si="35"/>
        <v>15549.588764701368</v>
      </c>
      <c r="T100" s="108">
        <f t="shared" si="36"/>
        <v>123758.48072801498</v>
      </c>
      <c r="U100" s="108">
        <f t="shared" si="37"/>
        <v>2308.2641238127571</v>
      </c>
      <c r="V100" s="108">
        <f t="shared" si="38"/>
        <v>3990.2540121985471</v>
      </c>
      <c r="W100" s="108">
        <f t="shared" si="39"/>
        <v>130056.99886402629</v>
      </c>
      <c r="X100" s="108">
        <f t="shared" si="40"/>
        <v>25212.029636371983</v>
      </c>
      <c r="Y100" s="108">
        <f t="shared" si="41"/>
        <v>6807.248001820436</v>
      </c>
      <c r="Z100" s="108">
        <f t="shared" si="42"/>
        <v>18404.781634551546</v>
      </c>
      <c r="AA100" s="108">
        <f t="shared" si="43"/>
        <v>1556.7041668069053</v>
      </c>
      <c r="AB100" s="108">
        <f t="shared" si="44"/>
        <v>16848.077467744639</v>
      </c>
      <c r="AC100" s="109">
        <f t="shared" si="45"/>
        <v>0.39707864097706747</v>
      </c>
      <c r="AD100" s="108">
        <f t="shared" si="46"/>
        <v>7308.145678927418</v>
      </c>
      <c r="AE100" s="108">
        <f t="shared" si="47"/>
        <v>51642.856358483565</v>
      </c>
      <c r="AF100" s="48">
        <f t="shared" si="48"/>
        <v>0.14151319648543959</v>
      </c>
      <c r="AG100" s="110"/>
    </row>
    <row r="101" spans="5:33" x14ac:dyDescent="0.4">
      <c r="E101" s="107">
        <v>97</v>
      </c>
      <c r="F101" s="107">
        <v>9</v>
      </c>
      <c r="G101" s="141">
        <f t="shared" si="49"/>
        <v>32105072.996048819</v>
      </c>
      <c r="H101" s="141">
        <f t="shared" si="25"/>
        <v>1537668.1158701384</v>
      </c>
      <c r="I101" s="141">
        <f t="shared" si="26"/>
        <v>367870.62807972607</v>
      </c>
      <c r="J101" s="141">
        <f t="shared" si="27"/>
        <v>1169797.4877904123</v>
      </c>
      <c r="K101" s="108">
        <f t="shared" si="28"/>
        <v>30935275.508258406</v>
      </c>
      <c r="L101" s="108">
        <f t="shared" si="29"/>
        <v>33602040.363420255</v>
      </c>
      <c r="M101" s="108">
        <f t="shared" si="30"/>
        <v>53508.454993414751</v>
      </c>
      <c r="N101" s="108">
        <f t="shared" si="31"/>
        <v>12500</v>
      </c>
      <c r="O101" s="108">
        <f t="shared" si="32"/>
        <v>66008.454993414751</v>
      </c>
      <c r="P101" s="108">
        <f t="shared" si="33"/>
        <v>26403.381997365901</v>
      </c>
      <c r="Q101" s="100">
        <f t="shared" si="34"/>
        <v>2.2333333333333333E-3</v>
      </c>
      <c r="R101" s="100">
        <f>20%</f>
        <v>0.2</v>
      </c>
      <c r="S101" s="108">
        <f t="shared" si="35"/>
        <v>15008.911362327714</v>
      </c>
      <c r="T101" s="108">
        <f t="shared" si="36"/>
        <v>119455.253491959</v>
      </c>
      <c r="U101" s="108">
        <f t="shared" si="37"/>
        <v>2242.7708394266729</v>
      </c>
      <c r="V101" s="108">
        <f t="shared" si="38"/>
        <v>3877.0369682313408</v>
      </c>
      <c r="W101" s="108">
        <f t="shared" si="39"/>
        <v>125575.06129961701</v>
      </c>
      <c r="X101" s="108">
        <f t="shared" si="40"/>
        <v>24596.161633721138</v>
      </c>
      <c r="Y101" s="108">
        <f t="shared" si="41"/>
        <v>6640.9636411047077</v>
      </c>
      <c r="Z101" s="108">
        <f t="shared" si="42"/>
        <v>17955.197992616431</v>
      </c>
      <c r="AA101" s="108">
        <f t="shared" si="43"/>
        <v>1503.0580659217176</v>
      </c>
      <c r="AB101" s="108">
        <f t="shared" si="44"/>
        <v>16452.139926694712</v>
      </c>
      <c r="AC101" s="109">
        <f t="shared" si="45"/>
        <v>0.39327664590377431</v>
      </c>
      <c r="AD101" s="108">
        <f t="shared" si="46"/>
        <v>7061.3600430743718</v>
      </c>
      <c r="AE101" s="108">
        <f t="shared" si="47"/>
        <v>49385.738917074232</v>
      </c>
      <c r="AF101" s="48">
        <f t="shared" si="48"/>
        <v>0.14298378839550041</v>
      </c>
      <c r="AG101" s="110"/>
    </row>
    <row r="102" spans="5:33" x14ac:dyDescent="0.4">
      <c r="E102" s="107">
        <v>98</v>
      </c>
      <c r="F102" s="107">
        <v>9</v>
      </c>
      <c r="G102" s="141">
        <f t="shared" si="49"/>
        <v>30935275.508258406</v>
      </c>
      <c r="H102" s="141">
        <f t="shared" si="25"/>
        <v>1537668.1158701384</v>
      </c>
      <c r="I102" s="141">
        <f t="shared" si="26"/>
        <v>354466.6985321276</v>
      </c>
      <c r="J102" s="141">
        <f t="shared" si="27"/>
        <v>1183201.4173380109</v>
      </c>
      <c r="K102" s="108">
        <f t="shared" si="28"/>
        <v>29752074.090920396</v>
      </c>
      <c r="L102" s="108">
        <f t="shared" si="29"/>
        <v>32377698.577728052</v>
      </c>
      <c r="M102" s="108">
        <f t="shared" si="30"/>
        <v>51558.792513764056</v>
      </c>
      <c r="N102" s="108">
        <f t="shared" si="31"/>
        <v>12500</v>
      </c>
      <c r="O102" s="108">
        <f t="shared" si="32"/>
        <v>64058.792513764056</v>
      </c>
      <c r="P102" s="108">
        <f t="shared" si="33"/>
        <v>25623.517005505622</v>
      </c>
      <c r="Q102" s="100">
        <f t="shared" si="34"/>
        <v>2.2333333333333333E-3</v>
      </c>
      <c r="R102" s="100">
        <f>20%</f>
        <v>0.2</v>
      </c>
      <c r="S102" s="108">
        <f t="shared" si="35"/>
        <v>14462.038698051863</v>
      </c>
      <c r="T102" s="108">
        <f t="shared" si="36"/>
        <v>115102.71844382321</v>
      </c>
      <c r="U102" s="108">
        <f t="shared" si="37"/>
        <v>2176.5271111569973</v>
      </c>
      <c r="V102" s="108">
        <f t="shared" si="38"/>
        <v>3762.5226456353425</v>
      </c>
      <c r="W102" s="108">
        <f t="shared" si="39"/>
        <v>121041.76820061555</v>
      </c>
      <c r="X102" s="108">
        <f t="shared" si="40"/>
        <v>23973.23681020657</v>
      </c>
      <c r="Y102" s="108">
        <f t="shared" si="41"/>
        <v>6472.773938755774</v>
      </c>
      <c r="Z102" s="108">
        <f t="shared" si="42"/>
        <v>17500.462871450796</v>
      </c>
      <c r="AA102" s="108">
        <f t="shared" si="43"/>
        <v>1448.7972701305537</v>
      </c>
      <c r="AB102" s="108">
        <f t="shared" si="44"/>
        <v>16051.665601320243</v>
      </c>
      <c r="AC102" s="109">
        <f t="shared" si="45"/>
        <v>0.38951105461815838</v>
      </c>
      <c r="AD102" s="108">
        <f t="shared" si="46"/>
        <v>6816.6237493647241</v>
      </c>
      <c r="AE102" s="108">
        <f t="shared" si="47"/>
        <v>47147.106784668431</v>
      </c>
      <c r="AF102" s="48">
        <f t="shared" si="48"/>
        <v>0.14458201603966489</v>
      </c>
      <c r="AG102" s="110"/>
    </row>
    <row r="103" spans="5:33" x14ac:dyDescent="0.4">
      <c r="E103" s="107">
        <v>99</v>
      </c>
      <c r="F103" s="107">
        <v>9</v>
      </c>
      <c r="G103" s="141">
        <f t="shared" si="49"/>
        <v>29752074.090920396</v>
      </c>
      <c r="H103" s="141">
        <f t="shared" si="25"/>
        <v>1537668.1158701384</v>
      </c>
      <c r="I103" s="141">
        <f t="shared" si="26"/>
        <v>340909.18229179626</v>
      </c>
      <c r="J103" s="141">
        <f t="shared" si="27"/>
        <v>1196758.9335783422</v>
      </c>
      <c r="K103" s="108">
        <f t="shared" si="28"/>
        <v>28555315.157342054</v>
      </c>
      <c r="L103" s="108">
        <f t="shared" si="29"/>
        <v>31139327.875741456</v>
      </c>
      <c r="M103" s="108">
        <f t="shared" si="30"/>
        <v>49586.790151534042</v>
      </c>
      <c r="N103" s="108">
        <f t="shared" si="31"/>
        <v>12500</v>
      </c>
      <c r="O103" s="108">
        <f t="shared" si="32"/>
        <v>62086.790151534042</v>
      </c>
      <c r="P103" s="108">
        <f t="shared" si="33"/>
        <v>24834.716060613617</v>
      </c>
      <c r="Q103" s="100">
        <f t="shared" si="34"/>
        <v>2.2333333333333333E-3</v>
      </c>
      <c r="R103" s="100">
        <f>20%</f>
        <v>0.2</v>
      </c>
      <c r="S103" s="108">
        <f t="shared" si="35"/>
        <v>13908.899784497849</v>
      </c>
      <c r="T103" s="108">
        <f t="shared" si="36"/>
        <v>110700.31059826087</v>
      </c>
      <c r="U103" s="108">
        <f t="shared" si="37"/>
        <v>2109.5243401675652</v>
      </c>
      <c r="V103" s="108">
        <f t="shared" si="38"/>
        <v>3646.6961797595991</v>
      </c>
      <c r="W103" s="108">
        <f t="shared" si="39"/>
        <v>116456.53111818804</v>
      </c>
      <c r="X103" s="108">
        <f t="shared" si="40"/>
        <v>23343.174306422574</v>
      </c>
      <c r="Y103" s="108">
        <f t="shared" si="41"/>
        <v>6302.6570627340952</v>
      </c>
      <c r="Z103" s="108">
        <f t="shared" si="42"/>
        <v>17040.517243688479</v>
      </c>
      <c r="AA103" s="108">
        <f t="shared" si="43"/>
        <v>1393.9147360542827</v>
      </c>
      <c r="AB103" s="108">
        <f t="shared" si="44"/>
        <v>15646.602507634196</v>
      </c>
      <c r="AC103" s="109">
        <f t="shared" si="45"/>
        <v>0.38578151855697035</v>
      </c>
      <c r="AD103" s="108">
        <f t="shared" si="46"/>
        <v>6573.9166192663797</v>
      </c>
      <c r="AE103" s="108">
        <f t="shared" si="47"/>
        <v>44926.777420651655</v>
      </c>
      <c r="AF103" s="48">
        <f t="shared" si="48"/>
        <v>0.14632513161837699</v>
      </c>
      <c r="AG103" s="110"/>
    </row>
    <row r="104" spans="5:33" x14ac:dyDescent="0.4">
      <c r="E104" s="107">
        <v>100</v>
      </c>
      <c r="F104" s="107">
        <v>9</v>
      </c>
      <c r="G104" s="141">
        <f t="shared" si="49"/>
        <v>28555315.157342054</v>
      </c>
      <c r="H104" s="141">
        <f t="shared" si="25"/>
        <v>1537668.1158701384</v>
      </c>
      <c r="I104" s="141">
        <f t="shared" si="26"/>
        <v>327196.31951121107</v>
      </c>
      <c r="J104" s="141">
        <f t="shared" si="27"/>
        <v>1210471.7963589274</v>
      </c>
      <c r="K104" s="108">
        <f t="shared" si="28"/>
        <v>27344843.360983126</v>
      </c>
      <c r="L104" s="108">
        <f t="shared" si="29"/>
        <v>29886767.509461261</v>
      </c>
      <c r="M104" s="108">
        <f t="shared" si="30"/>
        <v>47592.191928903463</v>
      </c>
      <c r="N104" s="108">
        <f t="shared" si="31"/>
        <v>12500</v>
      </c>
      <c r="O104" s="108">
        <f t="shared" si="32"/>
        <v>60092.191928903463</v>
      </c>
      <c r="P104" s="108">
        <f t="shared" si="33"/>
        <v>24036.876771561387</v>
      </c>
      <c r="Q104" s="100">
        <f t="shared" si="34"/>
        <v>2.2333333333333333E-3</v>
      </c>
      <c r="R104" s="100">
        <f>20%</f>
        <v>0.2</v>
      </c>
      <c r="S104" s="108">
        <f t="shared" si="35"/>
        <v>13349.422820892696</v>
      </c>
      <c r="T104" s="108">
        <f t="shared" si="36"/>
        <v>106247.45849613477</v>
      </c>
      <c r="U104" s="108">
        <f t="shared" si="37"/>
        <v>2041.7538290938792</v>
      </c>
      <c r="V104" s="108">
        <f t="shared" si="38"/>
        <v>3529.5425356290289</v>
      </c>
      <c r="W104" s="108">
        <f t="shared" si="39"/>
        <v>111818.75486085768</v>
      </c>
      <c r="X104" s="108">
        <f t="shared" si="40"/>
        <v>22705.892336449382</v>
      </c>
      <c r="Y104" s="108">
        <f t="shared" si="41"/>
        <v>6130.5909308413338</v>
      </c>
      <c r="Z104" s="108">
        <f t="shared" si="42"/>
        <v>16575.30140560805</v>
      </c>
      <c r="AA104" s="108">
        <f t="shared" si="43"/>
        <v>1338.4033396083876</v>
      </c>
      <c r="AB104" s="108">
        <f t="shared" si="44"/>
        <v>15236.898065999663</v>
      </c>
      <c r="AC104" s="109">
        <f t="shared" si="45"/>
        <v>0.38208769249442504</v>
      </c>
      <c r="AD104" s="108">
        <f t="shared" si="46"/>
        <v>6333.2186664683795</v>
      </c>
      <c r="AE104" s="108">
        <f t="shared" si="47"/>
        <v>42724.570022384883</v>
      </c>
      <c r="AF104" s="48">
        <f t="shared" si="48"/>
        <v>0.1482336431507722</v>
      </c>
      <c r="AG104" s="110"/>
    </row>
    <row r="105" spans="5:33" x14ac:dyDescent="0.4">
      <c r="E105" s="107">
        <v>101</v>
      </c>
      <c r="F105" s="107">
        <v>9</v>
      </c>
      <c r="G105" s="141">
        <f t="shared" si="49"/>
        <v>27344843.360983126</v>
      </c>
      <c r="H105" s="141">
        <f t="shared" si="25"/>
        <v>1537668.1158701384</v>
      </c>
      <c r="I105" s="141">
        <f t="shared" si="26"/>
        <v>313326.3301779317</v>
      </c>
      <c r="J105" s="141">
        <f t="shared" si="27"/>
        <v>1224341.7856922066</v>
      </c>
      <c r="K105" s="108">
        <f t="shared" si="28"/>
        <v>26120501.575290918</v>
      </c>
      <c r="L105" s="108">
        <f t="shared" si="29"/>
        <v>28619854.88898411</v>
      </c>
      <c r="M105" s="108">
        <f t="shared" si="30"/>
        <v>45574.738934971916</v>
      </c>
      <c r="N105" s="108">
        <f t="shared" si="31"/>
        <v>12500</v>
      </c>
      <c r="O105" s="108">
        <f t="shared" si="32"/>
        <v>58074.738934971916</v>
      </c>
      <c r="P105" s="108">
        <f t="shared" si="33"/>
        <v>23229.895573988768</v>
      </c>
      <c r="Q105" s="100">
        <f t="shared" si="34"/>
        <v>2.2333333333333333E-3</v>
      </c>
      <c r="R105" s="100">
        <f>20%</f>
        <v>0.2</v>
      </c>
      <c r="S105" s="108">
        <f t="shared" si="35"/>
        <v>12783.535183746235</v>
      </c>
      <c r="T105" s="108">
        <f t="shared" si="36"/>
        <v>101743.58413033851</v>
      </c>
      <c r="U105" s="108">
        <f t="shared" si="37"/>
        <v>1973.2067809141404</v>
      </c>
      <c r="V105" s="108">
        <f t="shared" si="38"/>
        <v>3411.046505992796</v>
      </c>
      <c r="W105" s="108">
        <f t="shared" si="39"/>
        <v>107127.83741724545</v>
      </c>
      <c r="X105" s="108">
        <f t="shared" si="40"/>
        <v>22061.308177236911</v>
      </c>
      <c r="Y105" s="108">
        <f t="shared" si="41"/>
        <v>5956.5532078539663</v>
      </c>
      <c r="Z105" s="108">
        <f t="shared" si="42"/>
        <v>16104.754969382946</v>
      </c>
      <c r="AA105" s="108">
        <f t="shared" si="43"/>
        <v>1282.2558750782171</v>
      </c>
      <c r="AB105" s="108">
        <f t="shared" si="44"/>
        <v>14822.499094304729</v>
      </c>
      <c r="AC105" s="109">
        <f t="shared" si="45"/>
        <v>0.37842923451024524</v>
      </c>
      <c r="AD105" s="108">
        <f t="shared" si="46"/>
        <v>6094.5100950386559</v>
      </c>
      <c r="AE105" s="108">
        <f t="shared" si="47"/>
        <v>40540.305508546204</v>
      </c>
      <c r="AF105" s="48">
        <f t="shared" si="48"/>
        <v>0.15033212055478681</v>
      </c>
      <c r="AG105" s="110"/>
    </row>
    <row r="106" spans="5:33" x14ac:dyDescent="0.4">
      <c r="E106" s="107">
        <v>102</v>
      </c>
      <c r="F106" s="107">
        <v>9</v>
      </c>
      <c r="G106" s="141">
        <f t="shared" si="49"/>
        <v>26120501.575290918</v>
      </c>
      <c r="H106" s="141">
        <f t="shared" si="25"/>
        <v>1537668.1158701384</v>
      </c>
      <c r="I106" s="141">
        <f t="shared" si="26"/>
        <v>299297.41388354177</v>
      </c>
      <c r="J106" s="141">
        <f t="shared" si="27"/>
        <v>1238370.7019865967</v>
      </c>
      <c r="K106" s="108">
        <f t="shared" si="28"/>
        <v>24882130.873304322</v>
      </c>
      <c r="L106" s="108">
        <f t="shared" si="29"/>
        <v>27338425.561397322</v>
      </c>
      <c r="M106" s="108">
        <f t="shared" si="30"/>
        <v>43534.169292151571</v>
      </c>
      <c r="N106" s="108">
        <f t="shared" si="31"/>
        <v>12500</v>
      </c>
      <c r="O106" s="108">
        <f t="shared" si="32"/>
        <v>56034.169292151571</v>
      </c>
      <c r="P106" s="108">
        <f t="shared" si="33"/>
        <v>22413.667716860629</v>
      </c>
      <c r="Q106" s="100">
        <f t="shared" si="34"/>
        <v>2.2333333333333333E-3</v>
      </c>
      <c r="R106" s="100">
        <f>20%</f>
        <v>0.2</v>
      </c>
      <c r="S106" s="108">
        <f t="shared" si="35"/>
        <v>12211.163417424137</v>
      </c>
      <c r="T106" s="108">
        <f t="shared" si="36"/>
        <v>97188.10287076747</v>
      </c>
      <c r="U106" s="108">
        <f t="shared" si="37"/>
        <v>1903.8742978073424</v>
      </c>
      <c r="V106" s="108">
        <f t="shared" si="38"/>
        <v>3291.192709350315</v>
      </c>
      <c r="W106" s="108">
        <f t="shared" si="39"/>
        <v>102383.16987792513</v>
      </c>
      <c r="X106" s="108">
        <f t="shared" si="40"/>
        <v>21409.338157866801</v>
      </c>
      <c r="Y106" s="108">
        <f t="shared" si="41"/>
        <v>5780.5213026240372</v>
      </c>
      <c r="Z106" s="108">
        <f t="shared" si="42"/>
        <v>15628.816855242763</v>
      </c>
      <c r="AA106" s="108">
        <f t="shared" si="43"/>
        <v>1225.4650541836377</v>
      </c>
      <c r="AB106" s="108">
        <f t="shared" si="44"/>
        <v>14403.351801059125</v>
      </c>
      <c r="AC106" s="109">
        <f t="shared" si="45"/>
        <v>0.37480580595801255</v>
      </c>
      <c r="AD106" s="108">
        <f t="shared" si="46"/>
        <v>5857.7712975994355</v>
      </c>
      <c r="AE106" s="108">
        <f t="shared" si="47"/>
        <v>38373.806502631844</v>
      </c>
      <c r="AF106" s="48">
        <f t="shared" si="48"/>
        <v>0.15265025368795987</v>
      </c>
      <c r="AG106" s="110"/>
    </row>
    <row r="107" spans="5:33" x14ac:dyDescent="0.4">
      <c r="E107" s="107">
        <v>103</v>
      </c>
      <c r="F107" s="107">
        <v>9</v>
      </c>
      <c r="G107" s="141">
        <f t="shared" si="49"/>
        <v>24882130.873304322</v>
      </c>
      <c r="H107" s="141">
        <f t="shared" si="25"/>
        <v>1537668.1158701384</v>
      </c>
      <c r="I107" s="141">
        <f t="shared" si="26"/>
        <v>285107.74958994536</v>
      </c>
      <c r="J107" s="141">
        <f t="shared" si="27"/>
        <v>1252560.366280193</v>
      </c>
      <c r="K107" s="108">
        <f t="shared" si="28"/>
        <v>23629570.507024128</v>
      </c>
      <c r="L107" s="108">
        <f t="shared" si="29"/>
        <v>26042313.189431936</v>
      </c>
      <c r="M107" s="108">
        <f t="shared" si="30"/>
        <v>41470.218122173908</v>
      </c>
      <c r="N107" s="108">
        <f t="shared" si="31"/>
        <v>12500</v>
      </c>
      <c r="O107" s="108">
        <f t="shared" si="32"/>
        <v>53970.218122173908</v>
      </c>
      <c r="P107" s="108">
        <f t="shared" si="33"/>
        <v>21588.087248869564</v>
      </c>
      <c r="Q107" s="100">
        <f t="shared" si="34"/>
        <v>2.2333333333333333E-3</v>
      </c>
      <c r="R107" s="100">
        <f>20%</f>
        <v>0.2</v>
      </c>
      <c r="S107" s="108">
        <f t="shared" si="35"/>
        <v>11632.233224612932</v>
      </c>
      <c r="T107" s="108">
        <f t="shared" si="36"/>
        <v>92580.423388430529</v>
      </c>
      <c r="U107" s="108">
        <f t="shared" si="37"/>
        <v>1833.7473799982788</v>
      </c>
      <c r="V107" s="108">
        <f t="shared" si="38"/>
        <v>3169.9655879546385</v>
      </c>
      <c r="W107" s="108">
        <f t="shared" si="39"/>
        <v>97584.136356383446</v>
      </c>
      <c r="X107" s="108">
        <f t="shared" si="40"/>
        <v>20749.897648691411</v>
      </c>
      <c r="Y107" s="108">
        <f t="shared" si="41"/>
        <v>5602.4723651466811</v>
      </c>
      <c r="Z107" s="108">
        <f t="shared" si="42"/>
        <v>15147.42528354473</v>
      </c>
      <c r="AA107" s="108">
        <f t="shared" si="43"/>
        <v>1168.0235051329751</v>
      </c>
      <c r="AB107" s="108">
        <f t="shared" si="44"/>
        <v>13979.401778411755</v>
      </c>
      <c r="AC107" s="109">
        <f t="shared" si="45"/>
        <v>0.37121707143381955</v>
      </c>
      <c r="AD107" s="108">
        <f t="shared" si="46"/>
        <v>5622.9828535200686</v>
      </c>
      <c r="AE107" s="108">
        <f t="shared" si="47"/>
        <v>36224.897316615177</v>
      </c>
      <c r="AF107" s="48">
        <f t="shared" si="48"/>
        <v>0.15522425928150221</v>
      </c>
      <c r="AG107" s="110"/>
    </row>
    <row r="108" spans="5:33" x14ac:dyDescent="0.4">
      <c r="E108" s="107">
        <v>104</v>
      </c>
      <c r="F108" s="107">
        <v>9</v>
      </c>
      <c r="G108" s="141">
        <f t="shared" si="49"/>
        <v>23629570.507024128</v>
      </c>
      <c r="H108" s="141">
        <f t="shared" si="25"/>
        <v>1537668.1158701384</v>
      </c>
      <c r="I108" s="141">
        <f t="shared" si="26"/>
        <v>270755.49539298483</v>
      </c>
      <c r="J108" s="141">
        <f t="shared" si="27"/>
        <v>1266912.6204771535</v>
      </c>
      <c r="K108" s="108">
        <f t="shared" si="28"/>
        <v>22362657.886546973</v>
      </c>
      <c r="L108" s="108">
        <f t="shared" si="29"/>
        <v>24731349.52987111</v>
      </c>
      <c r="M108" s="108">
        <f t="shared" si="30"/>
        <v>39382.617511706914</v>
      </c>
      <c r="N108" s="108">
        <f t="shared" si="31"/>
        <v>12500</v>
      </c>
      <c r="O108" s="108">
        <f t="shared" si="32"/>
        <v>51882.617511706914</v>
      </c>
      <c r="P108" s="108">
        <f t="shared" si="33"/>
        <v>20753.047004682769</v>
      </c>
      <c r="Q108" s="100">
        <f t="shared" si="34"/>
        <v>2.2333333333333333E-3</v>
      </c>
      <c r="R108" s="100">
        <f>20%</f>
        <v>0.2</v>
      </c>
      <c r="S108" s="108">
        <f t="shared" si="35"/>
        <v>11046.669456675761</v>
      </c>
      <c r="T108" s="108">
        <f t="shared" si="36"/>
        <v>87919.94757869179</v>
      </c>
      <c r="U108" s="108">
        <f t="shared" si="37"/>
        <v>1762.8169245893196</v>
      </c>
      <c r="V108" s="108">
        <f t="shared" si="38"/>
        <v>3047.3494057929697</v>
      </c>
      <c r="W108" s="108">
        <f t="shared" si="39"/>
        <v>92730.113909074076</v>
      </c>
      <c r="X108" s="108">
        <f t="shared" si="40"/>
        <v>20082.901050348384</v>
      </c>
      <c r="Y108" s="108">
        <f t="shared" si="41"/>
        <v>5422.3832835940639</v>
      </c>
      <c r="Z108" s="108">
        <f t="shared" si="42"/>
        <v>14660.517766754321</v>
      </c>
      <c r="AA108" s="108">
        <f t="shared" si="43"/>
        <v>1109.9237716661064</v>
      </c>
      <c r="AB108" s="108">
        <f t="shared" si="44"/>
        <v>13550.593995088215</v>
      </c>
      <c r="AC108" s="109">
        <f t="shared" si="45"/>
        <v>0.36766269874522345</v>
      </c>
      <c r="AD108" s="108">
        <f t="shared" si="46"/>
        <v>5390.1255271271903</v>
      </c>
      <c r="AE108" s="108">
        <f t="shared" si="47"/>
        <v>34093.403934762158</v>
      </c>
      <c r="AF108" s="48">
        <f t="shared" si="48"/>
        <v>0.1580987787972481</v>
      </c>
      <c r="AG108" s="110"/>
    </row>
    <row r="109" spans="5:33" x14ac:dyDescent="0.4">
      <c r="E109" s="107">
        <v>105</v>
      </c>
      <c r="F109" s="107">
        <v>9</v>
      </c>
      <c r="G109" s="141">
        <f t="shared" si="49"/>
        <v>22362657.886546973</v>
      </c>
      <c r="H109" s="141">
        <f t="shared" si="25"/>
        <v>1537668.1158701384</v>
      </c>
      <c r="I109" s="141">
        <f t="shared" si="26"/>
        <v>256238.78828335076</v>
      </c>
      <c r="J109" s="141">
        <f t="shared" si="27"/>
        <v>1281429.3275867878</v>
      </c>
      <c r="K109" s="108">
        <f t="shared" si="28"/>
        <v>21081228.558960184</v>
      </c>
      <c r="L109" s="108">
        <f t="shared" si="29"/>
        <v>23405364.411711153</v>
      </c>
      <c r="M109" s="108">
        <f t="shared" si="30"/>
        <v>37271.096477578321</v>
      </c>
      <c r="N109" s="108">
        <f t="shared" si="31"/>
        <v>12500</v>
      </c>
      <c r="O109" s="108">
        <f t="shared" si="32"/>
        <v>49771.096477578321</v>
      </c>
      <c r="P109" s="108">
        <f t="shared" si="33"/>
        <v>19908.438591031329</v>
      </c>
      <c r="Q109" s="100">
        <f t="shared" si="34"/>
        <v>2.2333333333333333E-3</v>
      </c>
      <c r="R109" s="100">
        <f>20%</f>
        <v>0.2</v>
      </c>
      <c r="S109" s="108">
        <f t="shared" si="35"/>
        <v>10454.396103897649</v>
      </c>
      <c r="T109" s="108">
        <f t="shared" si="36"/>
        <v>83206.070483633142</v>
      </c>
      <c r="U109" s="108">
        <f t="shared" si="37"/>
        <v>1691.0737243787994</v>
      </c>
      <c r="V109" s="108">
        <f t="shared" si="38"/>
        <v>2923.3282465440325</v>
      </c>
      <c r="W109" s="108">
        <f t="shared" si="39"/>
        <v>87820.472454555973</v>
      </c>
      <c r="X109" s="108">
        <f t="shared" si="40"/>
        <v>19408.261782649344</v>
      </c>
      <c r="Y109" s="108">
        <f t="shared" si="41"/>
        <v>5240.2306813153236</v>
      </c>
      <c r="Z109" s="108">
        <f t="shared" si="42"/>
        <v>14168.031101334022</v>
      </c>
      <c r="AA109" s="108">
        <f t="shared" si="43"/>
        <v>1051.1583120865971</v>
      </c>
      <c r="AB109" s="108">
        <f t="shared" si="44"/>
        <v>13116.872789247423</v>
      </c>
      <c r="AC109" s="109">
        <f t="shared" si="45"/>
        <v>0.3641423588804969</v>
      </c>
      <c r="AD109" s="108">
        <f t="shared" si="46"/>
        <v>5159.1802659320147</v>
      </c>
      <c r="AE109" s="108">
        <f t="shared" si="47"/>
        <v>31979.153997601712</v>
      </c>
      <c r="AF109" s="48">
        <f t="shared" si="48"/>
        <v>0.16132947939520006</v>
      </c>
      <c r="AG109" s="110"/>
    </row>
    <row r="110" spans="5:33" x14ac:dyDescent="0.4">
      <c r="E110" s="107">
        <v>106</v>
      </c>
      <c r="F110" s="107">
        <v>9</v>
      </c>
      <c r="G110" s="141">
        <f t="shared" si="49"/>
        <v>21081228.558960184</v>
      </c>
      <c r="H110" s="141">
        <f t="shared" si="25"/>
        <v>1537668.1158701384</v>
      </c>
      <c r="I110" s="141">
        <f t="shared" si="26"/>
        <v>241555.74390475213</v>
      </c>
      <c r="J110" s="141">
        <f t="shared" si="27"/>
        <v>1296112.3719653862</v>
      </c>
      <c r="K110" s="108">
        <f t="shared" si="28"/>
        <v>19785116.186994798</v>
      </c>
      <c r="L110" s="108">
        <f t="shared" si="29"/>
        <v>22064185.71407228</v>
      </c>
      <c r="M110" s="108">
        <f t="shared" si="30"/>
        <v>35135.380931600339</v>
      </c>
      <c r="N110" s="108">
        <f t="shared" si="31"/>
        <v>12500</v>
      </c>
      <c r="O110" s="108">
        <f t="shared" si="32"/>
        <v>47635.380931600339</v>
      </c>
      <c r="P110" s="108">
        <f t="shared" si="33"/>
        <v>19054.152372640136</v>
      </c>
      <c r="Q110" s="100">
        <f t="shared" si="34"/>
        <v>2.2333333333333333E-3</v>
      </c>
      <c r="R110" s="100">
        <f>20%</f>
        <v>0.2</v>
      </c>
      <c r="S110" s="108">
        <f t="shared" si="35"/>
        <v>9855.3362856189524</v>
      </c>
      <c r="T110" s="108">
        <f t="shared" si="36"/>
        <v>78438.180213526954</v>
      </c>
      <c r="U110" s="108">
        <f t="shared" si="37"/>
        <v>1618.5084666658672</v>
      </c>
      <c r="V110" s="108">
        <f t="shared" si="38"/>
        <v>2797.8860115120337</v>
      </c>
      <c r="W110" s="108">
        <f t="shared" si="39"/>
        <v>82854.574691704853</v>
      </c>
      <c r="X110" s="108">
        <f t="shared" si="40"/>
        <v>18725.892273341251</v>
      </c>
      <c r="Y110" s="108">
        <f t="shared" si="41"/>
        <v>5055.9909138021385</v>
      </c>
      <c r="Z110" s="108">
        <f t="shared" si="42"/>
        <v>13669.901359539112</v>
      </c>
      <c r="AA110" s="108">
        <f t="shared" si="43"/>
        <v>991.71949828273898</v>
      </c>
      <c r="AB110" s="108">
        <f t="shared" si="44"/>
        <v>12678.181861256373</v>
      </c>
      <c r="AC110" s="109">
        <f t="shared" si="45"/>
        <v>0.36065572597817219</v>
      </c>
      <c r="AD110" s="108">
        <f t="shared" si="46"/>
        <v>4930.1281988745814</v>
      </c>
      <c r="AE110" s="108">
        <f t="shared" si="47"/>
        <v>29881.976786049505</v>
      </c>
      <c r="AF110" s="48">
        <f t="shared" si="48"/>
        <v>0.16498668191109186</v>
      </c>
      <c r="AG110" s="110"/>
    </row>
    <row r="111" spans="5:33" x14ac:dyDescent="0.4">
      <c r="E111" s="107">
        <v>107</v>
      </c>
      <c r="F111" s="107">
        <v>9</v>
      </c>
      <c r="G111" s="141">
        <f t="shared" si="49"/>
        <v>19785116.186994798</v>
      </c>
      <c r="H111" s="141">
        <f t="shared" si="25"/>
        <v>1537668.1158701384</v>
      </c>
      <c r="I111" s="141">
        <f t="shared" si="26"/>
        <v>226704.45630931543</v>
      </c>
      <c r="J111" s="141">
        <f t="shared" si="27"/>
        <v>1310963.6595608229</v>
      </c>
      <c r="K111" s="108">
        <f t="shared" si="28"/>
        <v>18474152.527433977</v>
      </c>
      <c r="L111" s="108">
        <f t="shared" si="29"/>
        <v>20707639.343856294</v>
      </c>
      <c r="M111" s="108">
        <f t="shared" si="30"/>
        <v>32975.193644991356</v>
      </c>
      <c r="N111" s="108">
        <f t="shared" si="31"/>
        <v>12500</v>
      </c>
      <c r="O111" s="108">
        <f t="shared" si="32"/>
        <v>45475.193644991356</v>
      </c>
      <c r="P111" s="108">
        <f t="shared" si="33"/>
        <v>18190.077457996544</v>
      </c>
      <c r="Q111" s="100">
        <f t="shared" si="34"/>
        <v>2.2333333333333333E-3</v>
      </c>
      <c r="R111" s="100">
        <f>20%</f>
        <v>0.2</v>
      </c>
      <c r="S111" s="108">
        <f t="shared" si="35"/>
        <v>9249.4122402558114</v>
      </c>
      <c r="T111" s="108">
        <f t="shared" si="36"/>
        <v>73615.657867409129</v>
      </c>
      <c r="U111" s="108">
        <f t="shared" si="37"/>
        <v>1545.1117320416408</v>
      </c>
      <c r="V111" s="108">
        <f t="shared" si="38"/>
        <v>2671.0064175369603</v>
      </c>
      <c r="W111" s="108">
        <f t="shared" si="39"/>
        <v>77831.776016987729</v>
      </c>
      <c r="X111" s="108">
        <f t="shared" si="40"/>
        <v>18035.703946738999</v>
      </c>
      <c r="Y111" s="108">
        <f t="shared" si="41"/>
        <v>4869.6400656195301</v>
      </c>
      <c r="Z111" s="108">
        <f t="shared" si="42"/>
        <v>13166.063881119469</v>
      </c>
      <c r="AA111" s="108">
        <f t="shared" si="43"/>
        <v>931.59961473737849</v>
      </c>
      <c r="AB111" s="108">
        <f t="shared" si="44"/>
        <v>12234.46426638209</v>
      </c>
      <c r="AC111" s="109">
        <f t="shared" si="45"/>
        <v>0.35720247729687832</v>
      </c>
      <c r="AD111" s="108">
        <f t="shared" si="46"/>
        <v>4702.9506345848267</v>
      </c>
      <c r="AE111" s="108">
        <f t="shared" si="47"/>
        <v>27801.703205683778</v>
      </c>
      <c r="AF111" s="48">
        <f t="shared" si="48"/>
        <v>0.16916052228135994</v>
      </c>
      <c r="AG111" s="110"/>
    </row>
    <row r="112" spans="5:33" x14ac:dyDescent="0.4">
      <c r="E112" s="107">
        <v>108</v>
      </c>
      <c r="F112" s="107">
        <v>9</v>
      </c>
      <c r="G112" s="141">
        <f t="shared" si="49"/>
        <v>18474152.527433977</v>
      </c>
      <c r="H112" s="141">
        <f t="shared" si="25"/>
        <v>1537668.1158701384</v>
      </c>
      <c r="I112" s="141">
        <f t="shared" si="26"/>
        <v>211682.99771018099</v>
      </c>
      <c r="J112" s="141">
        <f t="shared" si="27"/>
        <v>1325985.1181599575</v>
      </c>
      <c r="K112" s="108">
        <f t="shared" si="28"/>
        <v>17148167.409274019</v>
      </c>
      <c r="L112" s="108">
        <f t="shared" si="29"/>
        <v>19335549.213148251</v>
      </c>
      <c r="M112" s="108">
        <f t="shared" si="30"/>
        <v>30790.254212389988</v>
      </c>
      <c r="N112" s="108">
        <f t="shared" si="31"/>
        <v>12500</v>
      </c>
      <c r="O112" s="108">
        <f t="shared" si="32"/>
        <v>43290.254212389991</v>
      </c>
      <c r="P112" s="108">
        <f t="shared" si="33"/>
        <v>17316.101684955996</v>
      </c>
      <c r="Q112" s="100">
        <f t="shared" si="34"/>
        <v>2.2333333333333333E-3</v>
      </c>
      <c r="R112" s="100">
        <f>20%</f>
        <v>0.2</v>
      </c>
      <c r="S112" s="108">
        <f t="shared" si="35"/>
        <v>8636.5453152062182</v>
      </c>
      <c r="T112" s="108">
        <f t="shared" si="36"/>
        <v>68737.877452742032</v>
      </c>
      <c r="U112" s="108">
        <f t="shared" si="37"/>
        <v>1470.8739931665123</v>
      </c>
      <c r="V112" s="108">
        <f t="shared" si="38"/>
        <v>2542.6729948809234</v>
      </c>
      <c r="W112" s="108">
        <f t="shared" si="39"/>
        <v>72751.424440789473</v>
      </c>
      <c r="X112" s="108">
        <f t="shared" si="40"/>
        <v>17337.607212227776</v>
      </c>
      <c r="Y112" s="108">
        <f t="shared" si="41"/>
        <v>4681.1539473015</v>
      </c>
      <c r="Z112" s="108">
        <f t="shared" si="42"/>
        <v>12656.453264926276</v>
      </c>
      <c r="AA112" s="108">
        <f t="shared" si="43"/>
        <v>870.79085752639401</v>
      </c>
      <c r="AB112" s="108">
        <f t="shared" si="44"/>
        <v>11785.662407399883</v>
      </c>
      <c r="AC112" s="109">
        <f t="shared" si="45"/>
        <v>0.35378229318546622</v>
      </c>
      <c r="AD112" s="108">
        <f t="shared" si="46"/>
        <v>4477.6290596602994</v>
      </c>
      <c r="AE112" s="108">
        <f t="shared" si="47"/>
        <v>25738.165771171676</v>
      </c>
      <c r="AF112" s="48">
        <f t="shared" si="48"/>
        <v>0.17396845989217766</v>
      </c>
      <c r="AG112" s="110"/>
    </row>
    <row r="113" spans="5:33" x14ac:dyDescent="0.4">
      <c r="E113" s="107">
        <v>109</v>
      </c>
      <c r="F113" s="107">
        <v>10</v>
      </c>
      <c r="G113" s="141">
        <f t="shared" si="49"/>
        <v>17148167.409274019</v>
      </c>
      <c r="H113" s="141">
        <f t="shared" si="25"/>
        <v>1537668.1158701384</v>
      </c>
      <c r="I113" s="141">
        <f t="shared" si="26"/>
        <v>196489.41823126483</v>
      </c>
      <c r="J113" s="141">
        <f t="shared" si="27"/>
        <v>1341178.6976388735</v>
      </c>
      <c r="K113" s="108">
        <f t="shared" si="28"/>
        <v>15806988.711635146</v>
      </c>
      <c r="L113" s="108">
        <f t="shared" si="29"/>
        <v>17947737.216359176</v>
      </c>
      <c r="M113" s="108">
        <f t="shared" si="30"/>
        <v>28580.279015456723</v>
      </c>
      <c r="N113" s="108">
        <f t="shared" si="31"/>
        <v>12500</v>
      </c>
      <c r="O113" s="108">
        <f t="shared" si="32"/>
        <v>41080.279015456719</v>
      </c>
      <c r="P113" s="108">
        <f t="shared" si="33"/>
        <v>16432.111606182687</v>
      </c>
      <c r="Q113" s="100">
        <f t="shared" si="34"/>
        <v>2.2333333333333333E-3</v>
      </c>
      <c r="R113" s="100">
        <f>20%</f>
        <v>0.2</v>
      </c>
      <c r="S113" s="108">
        <f t="shared" si="35"/>
        <v>8016.6559566404321</v>
      </c>
      <c r="T113" s="108">
        <f t="shared" si="36"/>
        <v>63804.205804156867</v>
      </c>
      <c r="U113" s="108">
        <f t="shared" si="37"/>
        <v>1395.7856135334389</v>
      </c>
      <c r="V113" s="108">
        <f t="shared" si="38"/>
        <v>2412.8690850902849</v>
      </c>
      <c r="W113" s="108">
        <f t="shared" si="39"/>
        <v>67612.86050278059</v>
      </c>
      <c r="X113" s="108">
        <f t="shared" si="40"/>
        <v>16631.5114526336</v>
      </c>
      <c r="Y113" s="108">
        <f t="shared" si="41"/>
        <v>4490.5080922110719</v>
      </c>
      <c r="Z113" s="108">
        <f t="shared" si="42"/>
        <v>12141.003360422528</v>
      </c>
      <c r="AA113" s="108">
        <f t="shared" si="43"/>
        <v>809.28533330570008</v>
      </c>
      <c r="AB113" s="108">
        <f t="shared" si="44"/>
        <v>11331.718027116829</v>
      </c>
      <c r="AC113" s="109">
        <f t="shared" si="45"/>
        <v>0.35039485705341999</v>
      </c>
      <c r="AD113" s="108">
        <f t="shared" si="46"/>
        <v>4254.1451369603437</v>
      </c>
      <c r="AE113" s="108">
        <f t="shared" si="47"/>
        <v>23691.198590844633</v>
      </c>
      <c r="AF113" s="48">
        <f t="shared" si="48"/>
        <v>0.17956647995869407</v>
      </c>
      <c r="AG113" s="110"/>
    </row>
    <row r="114" spans="5:33" x14ac:dyDescent="0.4">
      <c r="E114" s="107">
        <v>110</v>
      </c>
      <c r="F114" s="107">
        <v>10</v>
      </c>
      <c r="G114" s="141">
        <f t="shared" si="49"/>
        <v>15806988.711635146</v>
      </c>
      <c r="H114" s="141">
        <f t="shared" si="25"/>
        <v>1537668.1158701384</v>
      </c>
      <c r="I114" s="141">
        <f t="shared" si="26"/>
        <v>181121.74565415274</v>
      </c>
      <c r="J114" s="141">
        <f t="shared" si="27"/>
        <v>1356546.3702159857</v>
      </c>
      <c r="K114" s="108">
        <f t="shared" si="28"/>
        <v>14450442.34141916</v>
      </c>
      <c r="L114" s="108">
        <f t="shared" si="29"/>
        <v>16544023.207106896</v>
      </c>
      <c r="M114" s="108">
        <f t="shared" si="30"/>
        <v>26344.981186058601</v>
      </c>
      <c r="N114" s="108">
        <f t="shared" si="31"/>
        <v>12500</v>
      </c>
      <c r="O114" s="108">
        <f t="shared" si="32"/>
        <v>38844.981186058605</v>
      </c>
      <c r="P114" s="108">
        <f t="shared" si="33"/>
        <v>15537.992474423443</v>
      </c>
      <c r="Q114" s="100">
        <f t="shared" si="34"/>
        <v>2.2333333333333333E-3</v>
      </c>
      <c r="R114" s="100">
        <f>20%</f>
        <v>0.2</v>
      </c>
      <c r="S114" s="108">
        <f t="shared" si="35"/>
        <v>7389.6636991744135</v>
      </c>
      <c r="T114" s="108">
        <f t="shared" si="36"/>
        <v>58814.002501265008</v>
      </c>
      <c r="U114" s="108">
        <f t="shared" si="37"/>
        <v>1319.8368462170706</v>
      </c>
      <c r="V114" s="108">
        <f t="shared" si="38"/>
        <v>2281.577838833296</v>
      </c>
      <c r="W114" s="108">
        <f t="shared" si="39"/>
        <v>62415.417186315375</v>
      </c>
      <c r="X114" s="108">
        <f t="shared" si="40"/>
        <v>15917.325012460748</v>
      </c>
      <c r="Y114" s="108">
        <f t="shared" si="41"/>
        <v>4297.6777533644017</v>
      </c>
      <c r="Z114" s="108">
        <f t="shared" si="42"/>
        <v>11619.647259096346</v>
      </c>
      <c r="AA114" s="108">
        <f t="shared" si="43"/>
        <v>747.07505828664432</v>
      </c>
      <c r="AB114" s="108">
        <f t="shared" si="44"/>
        <v>10872.572200809702</v>
      </c>
      <c r="AC114" s="109">
        <f t="shared" si="45"/>
        <v>0.34703985534155174</v>
      </c>
      <c r="AD114" s="108">
        <f t="shared" si="46"/>
        <v>4032.480703916654</v>
      </c>
      <c r="AE114" s="108">
        <f t="shared" si="47"/>
        <v>21660.63735142149</v>
      </c>
      <c r="AF114" s="48">
        <f t="shared" si="48"/>
        <v>0.18616629965655282</v>
      </c>
      <c r="AG114" s="110"/>
    </row>
    <row r="115" spans="5:33" x14ac:dyDescent="0.4">
      <c r="E115" s="107">
        <v>111</v>
      </c>
      <c r="F115" s="107">
        <v>10</v>
      </c>
      <c r="G115" s="141">
        <f t="shared" si="49"/>
        <v>14450442.34141916</v>
      </c>
      <c r="H115" s="141">
        <f t="shared" si="25"/>
        <v>1537668.1158701384</v>
      </c>
      <c r="I115" s="141">
        <f t="shared" si="26"/>
        <v>165577.98516209456</v>
      </c>
      <c r="J115" s="141">
        <f t="shared" si="27"/>
        <v>1372090.1307080439</v>
      </c>
      <c r="K115" s="108">
        <f t="shared" si="28"/>
        <v>13078352.210711116</v>
      </c>
      <c r="L115" s="108">
        <f t="shared" si="29"/>
        <v>15124224.974831931</v>
      </c>
      <c r="M115" s="108">
        <f t="shared" si="30"/>
        <v>24084.070569031956</v>
      </c>
      <c r="N115" s="108">
        <f t="shared" si="31"/>
        <v>12500</v>
      </c>
      <c r="O115" s="108">
        <f t="shared" si="32"/>
        <v>36584.070569031959</v>
      </c>
      <c r="P115" s="108">
        <f t="shared" si="33"/>
        <v>14633.628227612784</v>
      </c>
      <c r="Q115" s="100">
        <f t="shared" si="34"/>
        <v>2.2333333333333333E-3</v>
      </c>
      <c r="R115" s="100">
        <f>20%</f>
        <v>0.2</v>
      </c>
      <c r="S115" s="108">
        <f t="shared" si="35"/>
        <v>6755.4871554249294</v>
      </c>
      <c r="T115" s="108">
        <f t="shared" si="36"/>
        <v>53766.61978552751</v>
      </c>
      <c r="U115" s="108">
        <f t="shared" si="37"/>
        <v>1243.0178326085352</v>
      </c>
      <c r="V115" s="108">
        <f t="shared" si="38"/>
        <v>2148.7822137129456</v>
      </c>
      <c r="W115" s="108">
        <f t="shared" si="39"/>
        <v>57158.419831848994</v>
      </c>
      <c r="X115" s="108">
        <f t="shared" si="40"/>
        <v>15194.955185994248</v>
      </c>
      <c r="Y115" s="108">
        <f t="shared" si="41"/>
        <v>4102.6379002184467</v>
      </c>
      <c r="Z115" s="108">
        <f t="shared" si="42"/>
        <v>11092.3172857758</v>
      </c>
      <c r="AA115" s="108">
        <f t="shared" si="43"/>
        <v>684.15195719966187</v>
      </c>
      <c r="AB115" s="108">
        <f t="shared" si="44"/>
        <v>10408.165328576139</v>
      </c>
      <c r="AC115" s="109">
        <f t="shared" si="45"/>
        <v>0.34371697749297681</v>
      </c>
      <c r="AD115" s="108">
        <f t="shared" si="46"/>
        <v>3812.617770859958</v>
      </c>
      <c r="AE115" s="108">
        <f t="shared" si="47"/>
        <v>19646.31930287776</v>
      </c>
      <c r="AF115" s="48">
        <f t="shared" si="48"/>
        <v>0.1940627000957626</v>
      </c>
      <c r="AG115" s="110"/>
    </row>
    <row r="116" spans="5:33" x14ac:dyDescent="0.4">
      <c r="E116" s="107">
        <v>112</v>
      </c>
      <c r="F116" s="107">
        <v>10</v>
      </c>
      <c r="G116" s="141">
        <f t="shared" si="49"/>
        <v>13078352.210711116</v>
      </c>
      <c r="H116" s="141">
        <f t="shared" si="25"/>
        <v>1537668.1158701384</v>
      </c>
      <c r="I116" s="141">
        <f t="shared" si="26"/>
        <v>149856.11908106488</v>
      </c>
      <c r="J116" s="141">
        <f t="shared" si="27"/>
        <v>1387811.9967890736</v>
      </c>
      <c r="K116" s="108">
        <f t="shared" si="28"/>
        <v>11690540.213922042</v>
      </c>
      <c r="L116" s="108">
        <f t="shared" si="29"/>
        <v>13688158.221145483</v>
      </c>
      <c r="M116" s="108">
        <f t="shared" si="30"/>
        <v>21797.253684518546</v>
      </c>
      <c r="N116" s="108">
        <f t="shared" si="31"/>
        <v>12500</v>
      </c>
      <c r="O116" s="108">
        <f t="shared" si="32"/>
        <v>34297.253684518546</v>
      </c>
      <c r="P116" s="108">
        <f t="shared" si="33"/>
        <v>13718.901473807418</v>
      </c>
      <c r="Q116" s="100">
        <f t="shared" si="34"/>
        <v>2.2333333333333333E-3</v>
      </c>
      <c r="R116" s="100">
        <f>20%</f>
        <v>0.2</v>
      </c>
      <c r="S116" s="108">
        <f t="shared" si="35"/>
        <v>6114.0440054449818</v>
      </c>
      <c r="T116" s="108">
        <f t="shared" si="36"/>
        <v>48661.402476172188</v>
      </c>
      <c r="U116" s="108">
        <f t="shared" si="37"/>
        <v>1165.318601135735</v>
      </c>
      <c r="V116" s="108">
        <f t="shared" si="38"/>
        <v>2014.4649720547575</v>
      </c>
      <c r="W116" s="108">
        <f t="shared" si="39"/>
        <v>51841.186049362681</v>
      </c>
      <c r="X116" s="108">
        <f t="shared" si="40"/>
        <v>14464.308205266145</v>
      </c>
      <c r="Y116" s="108">
        <f t="shared" si="41"/>
        <v>3905.3632154218594</v>
      </c>
      <c r="Z116" s="108">
        <f t="shared" si="42"/>
        <v>10558.944989844285</v>
      </c>
      <c r="AA116" s="108">
        <f t="shared" si="43"/>
        <v>620.50786224605758</v>
      </c>
      <c r="AB116" s="108">
        <f t="shared" si="44"/>
        <v>9938.4371275982285</v>
      </c>
      <c r="AC116" s="109">
        <f t="shared" si="45"/>
        <v>0.34042591592436666</v>
      </c>
      <c r="AD116" s="108">
        <f t="shared" si="46"/>
        <v>3594.5385193627435</v>
      </c>
      <c r="AE116" s="108">
        <f t="shared" si="47"/>
        <v>17648.083243459791</v>
      </c>
      <c r="AF116" s="48">
        <f t="shared" si="48"/>
        <v>0.20367869245487863</v>
      </c>
      <c r="AG116" s="110"/>
    </row>
    <row r="117" spans="5:33" x14ac:dyDescent="0.4">
      <c r="E117" s="107">
        <v>113</v>
      </c>
      <c r="F117" s="107">
        <v>10</v>
      </c>
      <c r="G117" s="141">
        <f t="shared" si="49"/>
        <v>11690540.213922042</v>
      </c>
      <c r="H117" s="141">
        <f t="shared" si="25"/>
        <v>1537668.1158701384</v>
      </c>
      <c r="I117" s="141">
        <f t="shared" si="26"/>
        <v>133954.10661785674</v>
      </c>
      <c r="J117" s="141">
        <f t="shared" si="27"/>
        <v>1403714.0092522816</v>
      </c>
      <c r="K117" s="108">
        <f t="shared" si="28"/>
        <v>10286826.204669761</v>
      </c>
      <c r="L117" s="108">
        <f t="shared" si="29"/>
        <v>12235636.535906378</v>
      </c>
      <c r="M117" s="108">
        <f t="shared" si="30"/>
        <v>19484.233689870089</v>
      </c>
      <c r="N117" s="108">
        <f t="shared" si="31"/>
        <v>12500</v>
      </c>
      <c r="O117" s="108">
        <f t="shared" si="32"/>
        <v>31984.233689870089</v>
      </c>
      <c r="P117" s="108">
        <f t="shared" si="33"/>
        <v>12793.693475948035</v>
      </c>
      <c r="Q117" s="100">
        <f t="shared" si="34"/>
        <v>2.2333333333333333E-3</v>
      </c>
      <c r="R117" s="100">
        <f>20%</f>
        <v>0.2</v>
      </c>
      <c r="S117" s="108">
        <f t="shared" si="35"/>
        <v>5465.2509860381824</v>
      </c>
      <c r="T117" s="108">
        <f t="shared" si="36"/>
        <v>43497.68788514717</v>
      </c>
      <c r="U117" s="108">
        <f t="shared" si="37"/>
        <v>1086.7290659689761</v>
      </c>
      <c r="V117" s="108">
        <f t="shared" si="38"/>
        <v>1878.6086786692363</v>
      </c>
      <c r="W117" s="108">
        <f t="shared" si="39"/>
        <v>46463.025629785385</v>
      </c>
      <c r="X117" s="108">
        <f t="shared" si="40"/>
        <v>13725.28922788387</v>
      </c>
      <c r="Y117" s="108">
        <f t="shared" si="41"/>
        <v>3705.828091528645</v>
      </c>
      <c r="Z117" s="108">
        <f t="shared" si="42"/>
        <v>10019.461136355225</v>
      </c>
      <c r="AA117" s="108">
        <f t="shared" si="43"/>
        <v>556.13451203777674</v>
      </c>
      <c r="AB117" s="108">
        <f t="shared" si="44"/>
        <v>9463.3266243174476</v>
      </c>
      <c r="AC117" s="109">
        <f t="shared" si="45"/>
        <v>0.33716636599747812</v>
      </c>
      <c r="AD117" s="108">
        <f t="shared" si="46"/>
        <v>3378.2253005978537</v>
      </c>
      <c r="AE117" s="108">
        <f t="shared" si="47"/>
        <v>15665.769504842425</v>
      </c>
      <c r="AF117" s="48">
        <f t="shared" si="48"/>
        <v>0.21564375114504367</v>
      </c>
      <c r="AG117" s="110"/>
    </row>
    <row r="118" spans="5:33" x14ac:dyDescent="0.4">
      <c r="E118" s="107">
        <v>114</v>
      </c>
      <c r="F118" s="107">
        <v>10</v>
      </c>
      <c r="G118" s="141">
        <f t="shared" si="49"/>
        <v>10286826.204669761</v>
      </c>
      <c r="H118" s="141">
        <f t="shared" si="25"/>
        <v>1537668.1158701384</v>
      </c>
      <c r="I118" s="141">
        <f t="shared" si="26"/>
        <v>117869.88359517435</v>
      </c>
      <c r="J118" s="141">
        <f t="shared" si="27"/>
        <v>1419798.232274964</v>
      </c>
      <c r="K118" s="108">
        <f t="shared" si="28"/>
        <v>8867027.9723947961</v>
      </c>
      <c r="L118" s="108">
        <f t="shared" si="29"/>
        <v>10766471.373023909</v>
      </c>
      <c r="M118" s="108">
        <f t="shared" si="30"/>
        <v>17144.710341116283</v>
      </c>
      <c r="N118" s="108">
        <f t="shared" si="31"/>
        <v>12500</v>
      </c>
      <c r="O118" s="108">
        <f t="shared" si="32"/>
        <v>29644.710341116283</v>
      </c>
      <c r="P118" s="108">
        <f t="shared" si="33"/>
        <v>11857.884136446513</v>
      </c>
      <c r="Q118" s="100">
        <f t="shared" si="34"/>
        <v>2.2333333333333333E-3</v>
      </c>
      <c r="R118" s="100">
        <f>20%</f>
        <v>0.2</v>
      </c>
      <c r="S118" s="108">
        <f t="shared" si="35"/>
        <v>4809.0238799506787</v>
      </c>
      <c r="T118" s="108">
        <f t="shared" si="36"/>
        <v>38274.805731099987</v>
      </c>
      <c r="U118" s="108">
        <f t="shared" si="37"/>
        <v>1007.2390257117645</v>
      </c>
      <c r="V118" s="108">
        <f t="shared" si="38"/>
        <v>1741.1956985886725</v>
      </c>
      <c r="W118" s="108">
        <f t="shared" si="39"/>
        <v>41023.240455400424</v>
      </c>
      <c r="X118" s="108">
        <f t="shared" si="40"/>
        <v>12977.802324719092</v>
      </c>
      <c r="Y118" s="108">
        <f t="shared" si="41"/>
        <v>3504.006627674155</v>
      </c>
      <c r="Z118" s="108">
        <f t="shared" si="42"/>
        <v>9473.7956970449377</v>
      </c>
      <c r="AA118" s="108">
        <f t="shared" si="43"/>
        <v>491.02355052502594</v>
      </c>
      <c r="AB118" s="108">
        <f t="shared" si="44"/>
        <v>8982.772146519912</v>
      </c>
      <c r="AC118" s="109">
        <f t="shared" si="45"/>
        <v>0.33393802599095379</v>
      </c>
      <c r="AD118" s="108">
        <f t="shared" si="46"/>
        <v>3163.6606337127787</v>
      </c>
      <c r="AE118" s="108">
        <f t="shared" si="47"/>
        <v>13699.219937428654</v>
      </c>
      <c r="AF118" s="48">
        <f t="shared" si="48"/>
        <v>0.23093728315647424</v>
      </c>
      <c r="AG118" s="110"/>
    </row>
    <row r="119" spans="5:33" x14ac:dyDescent="0.4">
      <c r="E119" s="107">
        <v>115</v>
      </c>
      <c r="F119" s="107">
        <v>10</v>
      </c>
      <c r="G119" s="141">
        <f t="shared" si="49"/>
        <v>8867027.9723947961</v>
      </c>
      <c r="H119" s="141">
        <f t="shared" si="25"/>
        <v>1537668.1158701384</v>
      </c>
      <c r="I119" s="141">
        <f t="shared" si="26"/>
        <v>101601.36218369038</v>
      </c>
      <c r="J119" s="141">
        <f t="shared" si="27"/>
        <v>1436066.7536864481</v>
      </c>
      <c r="K119" s="108">
        <f t="shared" si="28"/>
        <v>7430961.2187083475</v>
      </c>
      <c r="L119" s="108">
        <f t="shared" si="29"/>
        <v>9280472.02598341</v>
      </c>
      <c r="M119" s="108">
        <f t="shared" si="30"/>
        <v>14778.37995399134</v>
      </c>
      <c r="N119" s="108">
        <f t="shared" si="31"/>
        <v>12500</v>
      </c>
      <c r="O119" s="108">
        <f t="shared" si="32"/>
        <v>27278.379953991338</v>
      </c>
      <c r="P119" s="108">
        <f t="shared" si="33"/>
        <v>10911.351981596536</v>
      </c>
      <c r="Q119" s="100">
        <f t="shared" si="34"/>
        <v>2.2333333333333333E-3</v>
      </c>
      <c r="R119" s="100">
        <f>20%</f>
        <v>0.2</v>
      </c>
      <c r="S119" s="108">
        <f t="shared" si="35"/>
        <v>4145.2775049392567</v>
      </c>
      <c r="T119" s="108">
        <f t="shared" si="36"/>
        <v>32992.07805237102</v>
      </c>
      <c r="U119" s="108">
        <f t="shared" si="37"/>
        <v>926.83816207660573</v>
      </c>
      <c r="V119" s="108">
        <f t="shared" si="38"/>
        <v>1602.2081947780189</v>
      </c>
      <c r="W119" s="108">
        <f t="shared" si="39"/>
        <v>35521.124409225646</v>
      </c>
      <c r="X119" s="108">
        <f t="shared" si="40"/>
        <v>12221.750467455546</v>
      </c>
      <c r="Y119" s="108">
        <f t="shared" si="41"/>
        <v>3299.8726262129976</v>
      </c>
      <c r="Z119" s="108">
        <f t="shared" si="42"/>
        <v>8921.877841242549</v>
      </c>
      <c r="AA119" s="108">
        <f t="shared" si="43"/>
        <v>425.16652591160823</v>
      </c>
      <c r="AB119" s="108">
        <f t="shared" si="44"/>
        <v>8496.7113153309401</v>
      </c>
      <c r="AC119" s="109">
        <f t="shared" si="45"/>
        <v>0.33074059707239306</v>
      </c>
      <c r="AD119" s="108">
        <f t="shared" si="46"/>
        <v>2950.827204219514</v>
      </c>
      <c r="AE119" s="108">
        <f t="shared" si="47"/>
        <v>11748.277895790045</v>
      </c>
      <c r="AF119" s="48">
        <f t="shared" si="48"/>
        <v>0.25117104229181814</v>
      </c>
      <c r="AG119" s="110"/>
    </row>
    <row r="120" spans="5:33" x14ac:dyDescent="0.4">
      <c r="E120" s="107">
        <v>116</v>
      </c>
      <c r="F120" s="107">
        <v>10</v>
      </c>
      <c r="G120" s="141">
        <f t="shared" si="49"/>
        <v>7430961.2187083475</v>
      </c>
      <c r="H120" s="141">
        <f t="shared" si="25"/>
        <v>1537668.1158701384</v>
      </c>
      <c r="I120" s="141">
        <f t="shared" si="26"/>
        <v>85146.430631033159</v>
      </c>
      <c r="J120" s="141">
        <f t="shared" si="27"/>
        <v>1452521.6852391053</v>
      </c>
      <c r="K120" s="108">
        <f t="shared" si="28"/>
        <v>5978439.533469242</v>
      </c>
      <c r="L120" s="108">
        <f t="shared" si="29"/>
        <v>7777445.6030914048</v>
      </c>
      <c r="M120" s="108">
        <f t="shared" si="30"/>
        <v>12384.935364513922</v>
      </c>
      <c r="N120" s="108">
        <f t="shared" si="31"/>
        <v>12500</v>
      </c>
      <c r="O120" s="108">
        <f t="shared" si="32"/>
        <v>24884.93536451392</v>
      </c>
      <c r="P120" s="108">
        <f t="shared" si="33"/>
        <v>9953.9741458055687</v>
      </c>
      <c r="Q120" s="100">
        <f t="shared" si="34"/>
        <v>2.2333333333333333E-3</v>
      </c>
      <c r="R120" s="100">
        <f>20%</f>
        <v>0.2</v>
      </c>
      <c r="S120" s="108">
        <f t="shared" si="35"/>
        <v>3473.9257027141607</v>
      </c>
      <c r="T120" s="108">
        <f t="shared" si="36"/>
        <v>27648.819118989941</v>
      </c>
      <c r="U120" s="108">
        <f t="shared" si="37"/>
        <v>845.51603854562745</v>
      </c>
      <c r="V120" s="108">
        <f t="shared" si="38"/>
        <v>1461.6281258195349</v>
      </c>
      <c r="W120" s="108">
        <f t="shared" si="39"/>
        <v>29955.963283355104</v>
      </c>
      <c r="X120" s="108">
        <f t="shared" si="40"/>
        <v>11457.03551599419</v>
      </c>
      <c r="Y120" s="108">
        <f t="shared" si="41"/>
        <v>3093.3995893184315</v>
      </c>
      <c r="Z120" s="108">
        <f t="shared" si="42"/>
        <v>8363.635926675759</v>
      </c>
      <c r="AA120" s="108">
        <f t="shared" si="43"/>
        <v>358.5548895578284</v>
      </c>
      <c r="AB120" s="108">
        <f t="shared" si="44"/>
        <v>8005.0810371179305</v>
      </c>
      <c r="AC120" s="109">
        <f t="shared" si="45"/>
        <v>0.32757378327069087</v>
      </c>
      <c r="AD120" s="108">
        <f t="shared" si="46"/>
        <v>2739.7078623998486</v>
      </c>
      <c r="AE120" s="108">
        <f t="shared" si="47"/>
        <v>9812.7882242465384</v>
      </c>
      <c r="AF120" s="48">
        <f t="shared" si="48"/>
        <v>0.27919769588324256</v>
      </c>
      <c r="AG120" s="110"/>
    </row>
    <row r="121" spans="5:33" x14ac:dyDescent="0.4">
      <c r="E121" s="107">
        <v>117</v>
      </c>
      <c r="F121" s="107">
        <v>10</v>
      </c>
      <c r="G121" s="141">
        <f t="shared" si="49"/>
        <v>5978439.533469242</v>
      </c>
      <c r="H121" s="141">
        <f t="shared" si="25"/>
        <v>1537668.1158701384</v>
      </c>
      <c r="I121" s="141">
        <f t="shared" si="26"/>
        <v>68502.95298766841</v>
      </c>
      <c r="J121" s="141">
        <f t="shared" si="27"/>
        <v>1469165.1628824701</v>
      </c>
      <c r="K121" s="108">
        <f t="shared" si="28"/>
        <v>4509274.3705867715</v>
      </c>
      <c r="L121" s="108">
        <f t="shared" si="29"/>
        <v>6257197.002437097</v>
      </c>
      <c r="M121" s="108">
        <f t="shared" si="30"/>
        <v>9964.0658891154126</v>
      </c>
      <c r="N121" s="108">
        <f t="shared" si="31"/>
        <v>12500</v>
      </c>
      <c r="O121" s="108">
        <f t="shared" si="32"/>
        <v>22464.065889115413</v>
      </c>
      <c r="P121" s="108">
        <f t="shared" si="33"/>
        <v>8985.6263556461654</v>
      </c>
      <c r="Q121" s="100">
        <f t="shared" si="34"/>
        <v>2.2333333333333333E-3</v>
      </c>
      <c r="R121" s="100">
        <f>20%</f>
        <v>0.2</v>
      </c>
      <c r="S121" s="108">
        <f t="shared" si="35"/>
        <v>2794.8813277552367</v>
      </c>
      <c r="T121" s="108">
        <f t="shared" si="36"/>
        <v>22244.335343663879</v>
      </c>
      <c r="U121" s="108">
        <f t="shared" si="37"/>
        <v>763.26209901585685</v>
      </c>
      <c r="V121" s="108">
        <f t="shared" si="38"/>
        <v>1319.437243570902</v>
      </c>
      <c r="W121" s="108">
        <f t="shared" si="39"/>
        <v>24327.034686250638</v>
      </c>
      <c r="X121" s="108">
        <f t="shared" si="40"/>
        <v>10683.558205714011</v>
      </c>
      <c r="Y121" s="108">
        <f t="shared" si="41"/>
        <v>2884.5607155427833</v>
      </c>
      <c r="Z121" s="108">
        <f t="shared" si="42"/>
        <v>7798.9974901712276</v>
      </c>
      <c r="AA121" s="108">
        <f t="shared" si="43"/>
        <v>291.17999487082824</v>
      </c>
      <c r="AB121" s="108">
        <f t="shared" si="44"/>
        <v>7507.8174953003991</v>
      </c>
      <c r="AC121" s="109">
        <f t="shared" si="45"/>
        <v>0.32443729144864114</v>
      </c>
      <c r="AD121" s="108">
        <f t="shared" si="46"/>
        <v>2530.2856217259032</v>
      </c>
      <c r="AE121" s="108">
        <f t="shared" si="47"/>
        <v>7892.5972425843001</v>
      </c>
      <c r="AF121" s="48">
        <f t="shared" si="48"/>
        <v>0.32058973034552096</v>
      </c>
      <c r="AG121" s="110"/>
    </row>
    <row r="122" spans="5:33" x14ac:dyDescent="0.4">
      <c r="E122" s="107">
        <v>118</v>
      </c>
      <c r="F122" s="107">
        <v>10</v>
      </c>
      <c r="G122" s="141">
        <f t="shared" si="49"/>
        <v>4509274.3705867715</v>
      </c>
      <c r="H122" s="141">
        <f t="shared" si="25"/>
        <v>1537668.1158701384</v>
      </c>
      <c r="I122" s="141">
        <f t="shared" si="26"/>
        <v>51668.768829640096</v>
      </c>
      <c r="J122" s="141">
        <f t="shared" si="27"/>
        <v>1485999.3470404984</v>
      </c>
      <c r="K122" s="108">
        <f t="shared" si="28"/>
        <v>3023275.0235462729</v>
      </c>
      <c r="L122" s="108">
        <f t="shared" si="29"/>
        <v>4719528.8865669575</v>
      </c>
      <c r="M122" s="108">
        <f t="shared" si="30"/>
        <v>7515.4572843112919</v>
      </c>
      <c r="N122" s="108">
        <f t="shared" si="31"/>
        <v>12500</v>
      </c>
      <c r="O122" s="108">
        <f t="shared" si="32"/>
        <v>20015.457284311291</v>
      </c>
      <c r="P122" s="108">
        <f t="shared" si="33"/>
        <v>8006.1829137245168</v>
      </c>
      <c r="Q122" s="100">
        <f t="shared" si="34"/>
        <v>2.2333333333333333E-3</v>
      </c>
      <c r="R122" s="100">
        <f>20%</f>
        <v>0.2</v>
      </c>
      <c r="S122" s="108">
        <f t="shared" si="35"/>
        <v>2108.0562359999076</v>
      </c>
      <c r="T122" s="108">
        <f t="shared" si="36"/>
        <v>16777.925191745533</v>
      </c>
      <c r="U122" s="108">
        <f t="shared" si="37"/>
        <v>680.06566642897405</v>
      </c>
      <c r="V122" s="108">
        <f t="shared" si="38"/>
        <v>1175.6170907965029</v>
      </c>
      <c r="W122" s="108">
        <f t="shared" si="39"/>
        <v>18633.60794897101</v>
      </c>
      <c r="X122" s="108">
        <f t="shared" si="40"/>
        <v>9901.2181345868667</v>
      </c>
      <c r="Y122" s="108">
        <f t="shared" si="41"/>
        <v>2673.3288963384543</v>
      </c>
      <c r="Z122" s="108">
        <f t="shared" si="42"/>
        <v>7227.8892382484119</v>
      </c>
      <c r="AA122" s="108">
        <f t="shared" si="43"/>
        <v>223.03309618220609</v>
      </c>
      <c r="AB122" s="108">
        <f t="shared" si="44"/>
        <v>7004.8561420662054</v>
      </c>
      <c r="AC122" s="109">
        <f t="shared" si="45"/>
        <v>0.32133083127580209</v>
      </c>
      <c r="AD122" s="108">
        <f t="shared" si="46"/>
        <v>2322.543657295786</v>
      </c>
      <c r="AE122" s="108">
        <f t="shared" si="47"/>
        <v>5987.5527319102484</v>
      </c>
      <c r="AF122" s="48">
        <f t="shared" si="48"/>
        <v>0.38789531571353858</v>
      </c>
      <c r="AG122" s="110"/>
    </row>
    <row r="123" spans="5:33" x14ac:dyDescent="0.4">
      <c r="E123" s="107">
        <v>119</v>
      </c>
      <c r="F123" s="107">
        <v>10</v>
      </c>
      <c r="G123" s="141">
        <f t="shared" si="49"/>
        <v>3023275.0235462729</v>
      </c>
      <c r="H123" s="141">
        <f t="shared" si="25"/>
        <v>1537668.1158701384</v>
      </c>
      <c r="I123" s="141">
        <f t="shared" si="26"/>
        <v>34641.692978134379</v>
      </c>
      <c r="J123" s="141">
        <f t="shared" si="27"/>
        <v>1503026.422892004</v>
      </c>
      <c r="K123" s="108">
        <f t="shared" si="28"/>
        <v>1520248.6006542689</v>
      </c>
      <c r="L123" s="108">
        <f t="shared" si="29"/>
        <v>3164241.65686914</v>
      </c>
      <c r="M123" s="108">
        <f t="shared" si="30"/>
        <v>5038.7917059104593</v>
      </c>
      <c r="N123" s="108">
        <f t="shared" si="31"/>
        <v>12500</v>
      </c>
      <c r="O123" s="108">
        <f t="shared" si="32"/>
        <v>17538.791705910458</v>
      </c>
      <c r="P123" s="108">
        <f t="shared" si="33"/>
        <v>7015.5166823641839</v>
      </c>
      <c r="Q123" s="100">
        <f t="shared" si="34"/>
        <v>2.2333333333333333E-3</v>
      </c>
      <c r="R123" s="100">
        <f>20%</f>
        <v>0.2</v>
      </c>
      <c r="S123" s="108">
        <f t="shared" si="35"/>
        <v>1413.3612734015492</v>
      </c>
      <c r="T123" s="108">
        <f t="shared" si="36"/>
        <v>11248.879090169792</v>
      </c>
      <c r="U123" s="108">
        <f t="shared" si="37"/>
        <v>595.91594138536675</v>
      </c>
      <c r="V123" s="108">
        <f t="shared" si="38"/>
        <v>1030.1489987715643</v>
      </c>
      <c r="W123" s="108">
        <f t="shared" si="39"/>
        <v>12874.944030326724</v>
      </c>
      <c r="X123" s="108">
        <f t="shared" si="40"/>
        <v>9109.913750144724</v>
      </c>
      <c r="Y123" s="108">
        <f t="shared" si="41"/>
        <v>2459.6767125390757</v>
      </c>
      <c r="Z123" s="108">
        <f t="shared" si="42"/>
        <v>6650.2370376056479</v>
      </c>
      <c r="AA123" s="108">
        <f t="shared" si="43"/>
        <v>154.10534761277691</v>
      </c>
      <c r="AB123" s="108">
        <f t="shared" si="44"/>
        <v>6496.1316899928706</v>
      </c>
      <c r="AC123" s="109">
        <f t="shared" si="45"/>
        <v>0.31825411520162183</v>
      </c>
      <c r="AD123" s="108">
        <f t="shared" si="46"/>
        <v>2116.4653042842401</v>
      </c>
      <c r="AE123" s="108">
        <f t="shared" si="47"/>
        <v>4097.5039206420342</v>
      </c>
      <c r="AF123" s="48">
        <f t="shared" si="48"/>
        <v>0.51652551047531714</v>
      </c>
      <c r="AG123" s="110"/>
    </row>
    <row r="124" spans="5:33" x14ac:dyDescent="0.4">
      <c r="E124" s="107">
        <v>120</v>
      </c>
      <c r="F124" s="107">
        <v>10</v>
      </c>
      <c r="G124" s="141">
        <f t="shared" si="49"/>
        <v>1520248.6006542689</v>
      </c>
      <c r="H124" s="141">
        <f t="shared" si="25"/>
        <v>1537668.1158701384</v>
      </c>
      <c r="I124" s="141">
        <f t="shared" si="26"/>
        <v>17419.515215830164</v>
      </c>
      <c r="J124" s="141">
        <f t="shared" si="27"/>
        <v>1520248.6006543082</v>
      </c>
      <c r="K124" s="108">
        <f t="shared" si="28"/>
        <v>-3.9348378777503967E-8</v>
      </c>
      <c r="L124" s="108">
        <f t="shared" si="29"/>
        <v>1591133.4276643684</v>
      </c>
      <c r="M124" s="108">
        <f t="shared" si="30"/>
        <v>2533.7476677571171</v>
      </c>
      <c r="N124" s="108">
        <f t="shared" si="31"/>
        <v>12500</v>
      </c>
      <c r="O124" s="108">
        <f t="shared" si="32"/>
        <v>15033.747667757118</v>
      </c>
      <c r="P124" s="108">
        <f t="shared" si="33"/>
        <v>6013.4990671028472</v>
      </c>
      <c r="Q124" s="100">
        <f t="shared" si="34"/>
        <v>2.2333333333333333E-3</v>
      </c>
      <c r="R124" s="100">
        <f>20%</f>
        <v>0.2</v>
      </c>
      <c r="S124" s="108">
        <f t="shared" si="35"/>
        <v>710.70626435675126</v>
      </c>
      <c r="T124" s="108">
        <f t="shared" si="36"/>
        <v>5656.4793353468294</v>
      </c>
      <c r="U124" s="108">
        <f t="shared" si="37"/>
        <v>510.80200074230146</v>
      </c>
      <c r="V124" s="108">
        <f t="shared" si="38"/>
        <v>883.01408485883985</v>
      </c>
      <c r="W124" s="108">
        <f t="shared" si="39"/>
        <v>7050.2954209479703</v>
      </c>
      <c r="X124" s="108">
        <f t="shared" si="40"/>
        <v>8309.5423362975198</v>
      </c>
      <c r="Y124" s="108">
        <f t="shared" si="41"/>
        <v>2243.5764308003304</v>
      </c>
      <c r="Z124" s="108">
        <f t="shared" si="42"/>
        <v>6065.9659054971889</v>
      </c>
      <c r="AA124" s="108">
        <f t="shared" si="43"/>
        <v>84.387801924322986</v>
      </c>
      <c r="AB124" s="108">
        <f t="shared" si="44"/>
        <v>5981.578103572866</v>
      </c>
      <c r="AC124" s="109">
        <f t="shared" si="45"/>
        <v>0.31520685842882107</v>
      </c>
      <c r="AD124" s="108">
        <f t="shared" si="46"/>
        <v>1912.0340564081077</v>
      </c>
      <c r="AE124" s="108">
        <f t="shared" si="47"/>
        <v>2222.3014706321123</v>
      </c>
      <c r="AF124" s="48">
        <f t="shared" si="48"/>
        <v>0.86038464253198199</v>
      </c>
      <c r="AG124" s="110"/>
    </row>
    <row r="125" spans="5:33" x14ac:dyDescent="0.4">
      <c r="E125" s="107"/>
      <c r="F125" s="107"/>
      <c r="H125" s="108"/>
      <c r="I125" s="108"/>
      <c r="J125" s="108"/>
      <c r="K125" s="108"/>
      <c r="L125" s="108"/>
      <c r="M125" s="108"/>
      <c r="N125" s="108"/>
      <c r="O125" s="108"/>
      <c r="P125" s="108"/>
      <c r="R125" s="100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9"/>
      <c r="AD125" s="108"/>
      <c r="AE125" s="108"/>
      <c r="AF125" s="48"/>
      <c r="AG125" s="110"/>
    </row>
    <row r="126" spans="5:33" x14ac:dyDescent="0.4">
      <c r="E126" s="107"/>
      <c r="F126" s="107"/>
      <c r="H126" s="108"/>
      <c r="I126" s="108"/>
      <c r="J126" s="108"/>
      <c r="K126" s="108"/>
      <c r="L126" s="108"/>
      <c r="M126" s="108"/>
      <c r="N126" s="108"/>
      <c r="O126" s="108"/>
      <c r="P126" s="108"/>
      <c r="R126" s="100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9"/>
      <c r="AD126" s="108"/>
      <c r="AE126" s="108"/>
      <c r="AF126" s="48"/>
      <c r="AG126" s="110"/>
    </row>
    <row r="127" spans="5:33" x14ac:dyDescent="0.4">
      <c r="E127" s="107"/>
      <c r="F127" s="107"/>
      <c r="H127" s="108"/>
      <c r="I127" s="108"/>
      <c r="J127" s="108"/>
      <c r="K127" s="108"/>
      <c r="L127" s="108"/>
      <c r="M127" s="108"/>
      <c r="N127" s="108"/>
      <c r="O127" s="108"/>
      <c r="P127" s="108"/>
      <c r="R127" s="100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9"/>
      <c r="AD127" s="108"/>
      <c r="AE127" s="108"/>
      <c r="AF127" s="48"/>
      <c r="AG127" s="110"/>
    </row>
    <row r="128" spans="5:33" x14ac:dyDescent="0.4">
      <c r="E128" s="107"/>
      <c r="F128" s="107"/>
      <c r="H128" s="108"/>
      <c r="I128" s="108"/>
      <c r="J128" s="108"/>
      <c r="K128" s="108"/>
      <c r="L128" s="108"/>
      <c r="M128" s="108"/>
      <c r="N128" s="108"/>
      <c r="O128" s="108"/>
      <c r="P128" s="108"/>
      <c r="R128" s="100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9"/>
      <c r="AD128" s="108"/>
      <c r="AE128" s="108"/>
      <c r="AF128" s="48"/>
      <c r="AG128" s="110"/>
    </row>
    <row r="129" spans="5:33" x14ac:dyDescent="0.4">
      <c r="E129" s="107"/>
      <c r="F129" s="107"/>
      <c r="H129" s="108"/>
      <c r="I129" s="108"/>
      <c r="J129" s="108"/>
      <c r="K129" s="108"/>
      <c r="L129" s="108"/>
      <c r="M129" s="108"/>
      <c r="N129" s="108"/>
      <c r="O129" s="108"/>
      <c r="P129" s="108"/>
      <c r="R129" s="100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9"/>
      <c r="AD129" s="108"/>
      <c r="AE129" s="108"/>
      <c r="AF129" s="48"/>
      <c r="AG129" s="110"/>
    </row>
    <row r="130" spans="5:33" x14ac:dyDescent="0.4">
      <c r="E130" s="107"/>
      <c r="F130" s="107"/>
      <c r="H130" s="108"/>
      <c r="I130" s="108"/>
      <c r="J130" s="108"/>
      <c r="K130" s="108"/>
      <c r="L130" s="108"/>
      <c r="M130" s="108"/>
      <c r="N130" s="108"/>
      <c r="O130" s="108"/>
      <c r="P130" s="108"/>
      <c r="R130" s="100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9"/>
      <c r="AD130" s="108"/>
      <c r="AE130" s="108"/>
      <c r="AF130" s="48"/>
      <c r="AG130" s="110"/>
    </row>
    <row r="131" spans="5:33" x14ac:dyDescent="0.4">
      <c r="E131" s="107"/>
      <c r="F131" s="107"/>
      <c r="H131" s="108"/>
      <c r="I131" s="108"/>
      <c r="J131" s="108"/>
      <c r="K131" s="108"/>
      <c r="L131" s="108"/>
      <c r="M131" s="108"/>
      <c r="N131" s="108"/>
      <c r="O131" s="108"/>
      <c r="P131" s="108"/>
      <c r="R131" s="100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9"/>
      <c r="AD131" s="108"/>
      <c r="AE131" s="108"/>
      <c r="AF131" s="48"/>
      <c r="AG131" s="110"/>
    </row>
    <row r="132" spans="5:33" x14ac:dyDescent="0.4">
      <c r="E132" s="107"/>
      <c r="F132" s="107"/>
      <c r="H132" s="108"/>
      <c r="I132" s="108"/>
      <c r="J132" s="108"/>
      <c r="K132" s="108"/>
      <c r="L132" s="108"/>
      <c r="M132" s="108"/>
      <c r="N132" s="108"/>
      <c r="O132" s="108"/>
      <c r="P132" s="108"/>
      <c r="R132" s="100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9"/>
      <c r="AD132" s="108"/>
      <c r="AE132" s="108"/>
      <c r="AF132" s="48"/>
      <c r="AG132" s="110"/>
    </row>
    <row r="133" spans="5:33" x14ac:dyDescent="0.4">
      <c r="E133" s="107"/>
      <c r="F133" s="107"/>
      <c r="H133" s="108"/>
      <c r="I133" s="108"/>
      <c r="J133" s="108"/>
      <c r="K133" s="108"/>
      <c r="L133" s="108"/>
      <c r="M133" s="108"/>
      <c r="N133" s="108"/>
      <c r="O133" s="108"/>
      <c r="P133" s="108"/>
      <c r="R133" s="100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9"/>
      <c r="AD133" s="108"/>
      <c r="AE133" s="108"/>
      <c r="AF133" s="48"/>
      <c r="AG133" s="110"/>
    </row>
    <row r="134" spans="5:33" x14ac:dyDescent="0.4">
      <c r="E134" s="107"/>
      <c r="F134" s="107"/>
      <c r="H134" s="108"/>
      <c r="I134" s="108"/>
      <c r="J134" s="108"/>
      <c r="K134" s="108"/>
      <c r="L134" s="108"/>
      <c r="M134" s="108"/>
      <c r="N134" s="108"/>
      <c r="O134" s="108"/>
      <c r="P134" s="108"/>
      <c r="R134" s="100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9"/>
      <c r="AD134" s="108"/>
      <c r="AE134" s="108"/>
      <c r="AF134" s="48"/>
      <c r="AG134" s="110"/>
    </row>
    <row r="135" spans="5:33" x14ac:dyDescent="0.4">
      <c r="E135" s="107"/>
      <c r="F135" s="107"/>
      <c r="H135" s="108"/>
      <c r="I135" s="108"/>
      <c r="J135" s="108"/>
      <c r="K135" s="108"/>
      <c r="L135" s="108"/>
      <c r="M135" s="108"/>
      <c r="N135" s="108"/>
      <c r="O135" s="108"/>
      <c r="P135" s="108"/>
      <c r="R135" s="100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9"/>
      <c r="AD135" s="108"/>
      <c r="AE135" s="108"/>
      <c r="AF135" s="48"/>
      <c r="AG135" s="110"/>
    </row>
    <row r="136" spans="5:33" x14ac:dyDescent="0.4">
      <c r="E136" s="107"/>
      <c r="F136" s="107"/>
      <c r="H136" s="108"/>
      <c r="I136" s="108"/>
      <c r="J136" s="108"/>
      <c r="K136" s="108"/>
      <c r="L136" s="108"/>
      <c r="M136" s="108"/>
      <c r="N136" s="108"/>
      <c r="O136" s="108"/>
      <c r="P136" s="108"/>
      <c r="R136" s="100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9"/>
      <c r="AD136" s="108"/>
      <c r="AE136" s="108"/>
      <c r="AF136" s="48"/>
      <c r="AG136" s="110"/>
    </row>
    <row r="137" spans="5:33" x14ac:dyDescent="0.4">
      <c r="E137" s="107"/>
      <c r="F137" s="107"/>
      <c r="H137" s="108"/>
      <c r="I137" s="108"/>
      <c r="J137" s="108"/>
      <c r="K137" s="108"/>
      <c r="L137" s="108"/>
      <c r="M137" s="108"/>
      <c r="N137" s="108"/>
      <c r="O137" s="108"/>
      <c r="P137" s="108"/>
      <c r="R137" s="100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9"/>
      <c r="AD137" s="108"/>
      <c r="AE137" s="108"/>
      <c r="AF137" s="48"/>
      <c r="AG137" s="110"/>
    </row>
    <row r="138" spans="5:33" x14ac:dyDescent="0.4">
      <c r="E138" s="107"/>
      <c r="F138" s="107"/>
      <c r="H138" s="108"/>
      <c r="I138" s="108"/>
      <c r="J138" s="108"/>
      <c r="K138" s="108"/>
      <c r="L138" s="108"/>
      <c r="M138" s="108"/>
      <c r="N138" s="108"/>
      <c r="O138" s="108"/>
      <c r="P138" s="108"/>
      <c r="R138" s="100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9"/>
      <c r="AD138" s="108"/>
      <c r="AE138" s="108"/>
      <c r="AF138" s="48"/>
      <c r="AG138" s="110"/>
    </row>
    <row r="139" spans="5:33" x14ac:dyDescent="0.4">
      <c r="E139" s="107"/>
      <c r="F139" s="107"/>
      <c r="H139" s="108"/>
      <c r="I139" s="108"/>
      <c r="J139" s="108"/>
      <c r="K139" s="108"/>
      <c r="L139" s="108"/>
      <c r="M139" s="108"/>
      <c r="N139" s="108"/>
      <c r="O139" s="108"/>
      <c r="P139" s="108"/>
      <c r="R139" s="100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9"/>
      <c r="AD139" s="108"/>
      <c r="AE139" s="108"/>
      <c r="AF139" s="48"/>
      <c r="AG139" s="110"/>
    </row>
    <row r="140" spans="5:33" x14ac:dyDescent="0.4">
      <c r="E140" s="107"/>
      <c r="F140" s="107"/>
      <c r="H140" s="108"/>
      <c r="I140" s="108"/>
      <c r="J140" s="108"/>
      <c r="K140" s="108"/>
      <c r="L140" s="108"/>
      <c r="M140" s="108"/>
      <c r="N140" s="108"/>
      <c r="O140" s="108"/>
      <c r="P140" s="108"/>
      <c r="R140" s="100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9"/>
      <c r="AD140" s="108"/>
      <c r="AE140" s="108"/>
      <c r="AF140" s="48"/>
      <c r="AG140" s="110"/>
    </row>
    <row r="141" spans="5:33" x14ac:dyDescent="0.4">
      <c r="E141" s="107"/>
      <c r="F141" s="107"/>
      <c r="H141" s="108"/>
      <c r="I141" s="108"/>
      <c r="J141" s="108"/>
      <c r="K141" s="108"/>
      <c r="L141" s="108"/>
      <c r="M141" s="108"/>
      <c r="N141" s="108"/>
      <c r="O141" s="108"/>
      <c r="P141" s="108"/>
      <c r="R141" s="100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9"/>
      <c r="AD141" s="108"/>
      <c r="AE141" s="108"/>
      <c r="AF141" s="48"/>
      <c r="AG141" s="110"/>
    </row>
    <row r="142" spans="5:33" x14ac:dyDescent="0.4">
      <c r="E142" s="107"/>
      <c r="F142" s="107"/>
      <c r="H142" s="108"/>
      <c r="I142" s="108"/>
      <c r="J142" s="108"/>
      <c r="K142" s="108"/>
      <c r="L142" s="108"/>
      <c r="M142" s="108"/>
      <c r="N142" s="108"/>
      <c r="O142" s="108"/>
      <c r="P142" s="108"/>
      <c r="R142" s="100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9"/>
      <c r="AD142" s="108"/>
      <c r="AE142" s="108"/>
      <c r="AF142" s="48"/>
      <c r="AG142" s="110"/>
    </row>
    <row r="143" spans="5:33" x14ac:dyDescent="0.4">
      <c r="E143" s="107"/>
      <c r="F143" s="107"/>
      <c r="H143" s="108"/>
      <c r="I143" s="108"/>
      <c r="J143" s="108"/>
      <c r="K143" s="108"/>
      <c r="L143" s="108"/>
      <c r="M143" s="108"/>
      <c r="N143" s="108"/>
      <c r="O143" s="108"/>
      <c r="P143" s="108"/>
      <c r="R143" s="100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9"/>
      <c r="AD143" s="108"/>
      <c r="AE143" s="108"/>
      <c r="AF143" s="48"/>
      <c r="AG143" s="110"/>
    </row>
    <row r="144" spans="5:33" x14ac:dyDescent="0.4">
      <c r="E144" s="107"/>
      <c r="F144" s="107"/>
      <c r="H144" s="108"/>
      <c r="I144" s="108"/>
      <c r="J144" s="108"/>
      <c r="K144" s="108"/>
      <c r="L144" s="108"/>
      <c r="M144" s="108"/>
      <c r="N144" s="108"/>
      <c r="O144" s="108"/>
      <c r="P144" s="108"/>
      <c r="R144" s="100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9"/>
      <c r="AD144" s="108"/>
      <c r="AE144" s="108"/>
      <c r="AF144" s="48"/>
      <c r="AG144" s="110"/>
    </row>
    <row r="145" spans="5:33" x14ac:dyDescent="0.4">
      <c r="E145" s="107"/>
      <c r="F145" s="107"/>
      <c r="H145" s="108"/>
      <c r="I145" s="108"/>
      <c r="J145" s="108"/>
      <c r="K145" s="108"/>
      <c r="L145" s="108"/>
      <c r="M145" s="108"/>
      <c r="N145" s="108"/>
      <c r="O145" s="108"/>
      <c r="P145" s="108"/>
      <c r="R145" s="100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9"/>
      <c r="AD145" s="108"/>
      <c r="AE145" s="108"/>
      <c r="AF145" s="48"/>
      <c r="AG145" s="110"/>
    </row>
    <row r="146" spans="5:33" x14ac:dyDescent="0.4">
      <c r="E146" s="107"/>
      <c r="F146" s="107"/>
      <c r="H146" s="108"/>
      <c r="I146" s="108"/>
      <c r="J146" s="108"/>
      <c r="K146" s="108"/>
      <c r="L146" s="108"/>
      <c r="M146" s="108"/>
      <c r="N146" s="108"/>
      <c r="O146" s="108"/>
      <c r="P146" s="108"/>
      <c r="R146" s="100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9"/>
      <c r="AD146" s="108"/>
      <c r="AE146" s="108"/>
      <c r="AF146" s="48"/>
      <c r="AG146" s="110"/>
    </row>
    <row r="147" spans="5:33" x14ac:dyDescent="0.4">
      <c r="E147" s="107"/>
      <c r="F147" s="107"/>
      <c r="H147" s="108"/>
      <c r="I147" s="108"/>
      <c r="J147" s="108"/>
      <c r="K147" s="108"/>
      <c r="L147" s="108"/>
      <c r="M147" s="108"/>
      <c r="N147" s="108"/>
      <c r="O147" s="108"/>
      <c r="P147" s="108"/>
      <c r="R147" s="100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9"/>
      <c r="AD147" s="108"/>
      <c r="AE147" s="108"/>
      <c r="AF147" s="48"/>
      <c r="AG147" s="110"/>
    </row>
    <row r="148" spans="5:33" x14ac:dyDescent="0.4">
      <c r="E148" s="107"/>
      <c r="F148" s="107"/>
      <c r="H148" s="108"/>
      <c r="I148" s="108"/>
      <c r="J148" s="108"/>
      <c r="K148" s="108"/>
      <c r="L148" s="108"/>
      <c r="M148" s="108"/>
      <c r="N148" s="108"/>
      <c r="O148" s="108"/>
      <c r="P148" s="108"/>
      <c r="R148" s="100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9"/>
      <c r="AD148" s="108"/>
      <c r="AE148" s="108"/>
      <c r="AF148" s="48"/>
      <c r="AG148" s="110"/>
    </row>
    <row r="149" spans="5:33" x14ac:dyDescent="0.4">
      <c r="E149" s="107"/>
      <c r="F149" s="107"/>
      <c r="H149" s="108"/>
      <c r="I149" s="108"/>
      <c r="J149" s="108"/>
      <c r="K149" s="108"/>
      <c r="L149" s="108"/>
      <c r="M149" s="108"/>
      <c r="N149" s="108"/>
      <c r="O149" s="108"/>
      <c r="P149" s="108"/>
      <c r="R149" s="100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9"/>
      <c r="AD149" s="108"/>
      <c r="AE149" s="108"/>
      <c r="AF149" s="48"/>
      <c r="AG149" s="110"/>
    </row>
    <row r="150" spans="5:33" x14ac:dyDescent="0.4">
      <c r="E150" s="107"/>
      <c r="F150" s="107"/>
      <c r="H150" s="108"/>
      <c r="I150" s="108"/>
      <c r="J150" s="108"/>
      <c r="K150" s="108"/>
      <c r="L150" s="108"/>
      <c r="M150" s="108"/>
      <c r="N150" s="108"/>
      <c r="O150" s="108"/>
      <c r="P150" s="108"/>
      <c r="R150" s="100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9"/>
      <c r="AD150" s="108"/>
      <c r="AE150" s="108"/>
      <c r="AF150" s="48"/>
      <c r="AG150" s="110"/>
    </row>
    <row r="151" spans="5:33" x14ac:dyDescent="0.4">
      <c r="E151" s="107"/>
      <c r="F151" s="107"/>
      <c r="H151" s="108"/>
      <c r="I151" s="108"/>
      <c r="J151" s="108"/>
      <c r="K151" s="108"/>
      <c r="L151" s="108"/>
      <c r="M151" s="108"/>
      <c r="N151" s="108"/>
      <c r="O151" s="108"/>
      <c r="P151" s="108"/>
      <c r="R151" s="100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9"/>
      <c r="AD151" s="108"/>
      <c r="AE151" s="108"/>
      <c r="AF151" s="48"/>
      <c r="AG151" s="110"/>
    </row>
    <row r="152" spans="5:33" x14ac:dyDescent="0.4">
      <c r="E152" s="107"/>
      <c r="F152" s="107"/>
      <c r="H152" s="108"/>
      <c r="I152" s="108"/>
      <c r="J152" s="108"/>
      <c r="K152" s="108"/>
      <c r="L152" s="108"/>
      <c r="M152" s="108"/>
      <c r="N152" s="108"/>
      <c r="O152" s="108"/>
      <c r="P152" s="108"/>
      <c r="R152" s="100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9"/>
      <c r="AD152" s="108"/>
      <c r="AE152" s="108"/>
      <c r="AF152" s="48"/>
      <c r="AG152" s="110"/>
    </row>
    <row r="153" spans="5:33" x14ac:dyDescent="0.4">
      <c r="E153" s="107"/>
      <c r="F153" s="107"/>
      <c r="H153" s="108"/>
      <c r="I153" s="108"/>
      <c r="J153" s="108"/>
      <c r="K153" s="108"/>
      <c r="L153" s="108"/>
      <c r="M153" s="108"/>
      <c r="N153" s="108"/>
      <c r="O153" s="108"/>
      <c r="P153" s="108"/>
      <c r="R153" s="100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9"/>
      <c r="AD153" s="108"/>
      <c r="AE153" s="108"/>
      <c r="AF153" s="48"/>
      <c r="AG153" s="110"/>
    </row>
    <row r="154" spans="5:33" x14ac:dyDescent="0.4">
      <c r="E154" s="107"/>
      <c r="F154" s="107"/>
      <c r="H154" s="108"/>
      <c r="I154" s="108"/>
      <c r="J154" s="108"/>
      <c r="K154" s="108"/>
      <c r="L154" s="108"/>
      <c r="M154" s="108"/>
      <c r="N154" s="108"/>
      <c r="O154" s="108"/>
      <c r="P154" s="108"/>
      <c r="R154" s="100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9"/>
      <c r="AD154" s="108"/>
      <c r="AE154" s="108"/>
      <c r="AF154" s="48"/>
      <c r="AG154" s="110"/>
    </row>
    <row r="155" spans="5:33" x14ac:dyDescent="0.4">
      <c r="E155" s="107"/>
      <c r="F155" s="107"/>
      <c r="H155" s="108"/>
      <c r="I155" s="108"/>
      <c r="J155" s="108"/>
      <c r="K155" s="108"/>
      <c r="L155" s="108"/>
      <c r="M155" s="108"/>
      <c r="N155" s="108"/>
      <c r="O155" s="108"/>
      <c r="P155" s="108"/>
      <c r="R155" s="100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9"/>
      <c r="AD155" s="108"/>
      <c r="AE155" s="108"/>
      <c r="AF155" s="48"/>
      <c r="AG155" s="110"/>
    </row>
    <row r="156" spans="5:33" x14ac:dyDescent="0.4">
      <c r="E156" s="107"/>
      <c r="F156" s="107"/>
      <c r="H156" s="108"/>
      <c r="I156" s="108"/>
      <c r="J156" s="108"/>
      <c r="K156" s="108"/>
      <c r="L156" s="108"/>
      <c r="M156" s="108"/>
      <c r="N156" s="108"/>
      <c r="O156" s="108"/>
      <c r="P156" s="108"/>
      <c r="R156" s="100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9"/>
      <c r="AD156" s="108"/>
      <c r="AE156" s="108"/>
      <c r="AF156" s="48"/>
      <c r="AG156" s="110"/>
    </row>
    <row r="157" spans="5:33" x14ac:dyDescent="0.4">
      <c r="E157" s="107"/>
      <c r="F157" s="107"/>
      <c r="H157" s="108"/>
      <c r="I157" s="108"/>
      <c r="J157" s="108"/>
      <c r="K157" s="108"/>
      <c r="L157" s="108"/>
      <c r="M157" s="108"/>
      <c r="N157" s="108"/>
      <c r="O157" s="108"/>
      <c r="P157" s="108"/>
      <c r="R157" s="100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9"/>
      <c r="AD157" s="108"/>
      <c r="AE157" s="108"/>
      <c r="AF157" s="48"/>
      <c r="AG157" s="110"/>
    </row>
    <row r="158" spans="5:33" x14ac:dyDescent="0.4">
      <c r="E158" s="107"/>
      <c r="F158" s="107"/>
      <c r="H158" s="108"/>
      <c r="I158" s="108"/>
      <c r="J158" s="108"/>
      <c r="K158" s="108"/>
      <c r="L158" s="108"/>
      <c r="M158" s="108"/>
      <c r="N158" s="108"/>
      <c r="O158" s="108"/>
      <c r="P158" s="108"/>
      <c r="R158" s="100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9"/>
      <c r="AD158" s="108"/>
      <c r="AE158" s="108"/>
      <c r="AF158" s="48"/>
      <c r="AG158" s="110"/>
    </row>
    <row r="159" spans="5:33" x14ac:dyDescent="0.4">
      <c r="E159" s="107"/>
      <c r="F159" s="107"/>
      <c r="H159" s="108"/>
      <c r="I159" s="108"/>
      <c r="J159" s="108"/>
      <c r="K159" s="108"/>
      <c r="L159" s="108"/>
      <c r="M159" s="108"/>
      <c r="N159" s="108"/>
      <c r="O159" s="108"/>
      <c r="P159" s="108"/>
      <c r="R159" s="100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9"/>
      <c r="AD159" s="108"/>
      <c r="AE159" s="108"/>
      <c r="AF159" s="48"/>
      <c r="AG159" s="110"/>
    </row>
    <row r="160" spans="5:33" x14ac:dyDescent="0.4">
      <c r="E160" s="107"/>
      <c r="F160" s="107"/>
      <c r="H160" s="108"/>
      <c r="I160" s="108"/>
      <c r="J160" s="108"/>
      <c r="K160" s="108"/>
      <c r="L160" s="108"/>
      <c r="M160" s="108"/>
      <c r="N160" s="108"/>
      <c r="O160" s="108"/>
      <c r="P160" s="108"/>
      <c r="R160" s="100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9"/>
      <c r="AD160" s="108"/>
      <c r="AE160" s="108"/>
      <c r="AF160" s="48"/>
      <c r="AG160" s="110"/>
    </row>
    <row r="161" spans="5:33" x14ac:dyDescent="0.4">
      <c r="E161" s="107"/>
      <c r="F161" s="107"/>
      <c r="H161" s="108"/>
      <c r="I161" s="108"/>
      <c r="J161" s="108"/>
      <c r="K161" s="108"/>
      <c r="L161" s="108"/>
      <c r="M161" s="108"/>
      <c r="N161" s="108"/>
      <c r="O161" s="108"/>
      <c r="P161" s="108"/>
      <c r="R161" s="100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9"/>
      <c r="AD161" s="108"/>
      <c r="AE161" s="108"/>
      <c r="AF161" s="48"/>
      <c r="AG161" s="110"/>
    </row>
    <row r="162" spans="5:33" x14ac:dyDescent="0.4">
      <c r="E162" s="107"/>
      <c r="F162" s="107"/>
      <c r="H162" s="108"/>
      <c r="I162" s="108"/>
      <c r="J162" s="108"/>
      <c r="K162" s="108"/>
      <c r="L162" s="108"/>
      <c r="M162" s="108"/>
      <c r="N162" s="108"/>
      <c r="O162" s="108"/>
      <c r="P162" s="108"/>
      <c r="R162" s="100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9"/>
      <c r="AD162" s="108"/>
      <c r="AE162" s="108"/>
      <c r="AF162" s="48"/>
      <c r="AG162" s="110"/>
    </row>
    <row r="163" spans="5:33" x14ac:dyDescent="0.4">
      <c r="E163" s="107"/>
      <c r="F163" s="107"/>
      <c r="H163" s="108"/>
      <c r="I163" s="108"/>
      <c r="J163" s="108"/>
      <c r="K163" s="108"/>
      <c r="L163" s="108"/>
      <c r="M163" s="108"/>
      <c r="N163" s="108"/>
      <c r="O163" s="108"/>
      <c r="P163" s="108"/>
      <c r="R163" s="100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9"/>
      <c r="AD163" s="108"/>
      <c r="AE163" s="108"/>
      <c r="AF163" s="48"/>
      <c r="AG163" s="110"/>
    </row>
    <row r="164" spans="5:33" x14ac:dyDescent="0.4">
      <c r="E164" s="107"/>
      <c r="F164" s="107"/>
      <c r="H164" s="108"/>
      <c r="I164" s="108"/>
      <c r="J164" s="108"/>
      <c r="K164" s="108"/>
      <c r="L164" s="108"/>
      <c r="M164" s="108"/>
      <c r="N164" s="108"/>
      <c r="O164" s="108"/>
      <c r="P164" s="108"/>
      <c r="R164" s="100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9"/>
      <c r="AD164" s="108"/>
      <c r="AE164" s="108"/>
      <c r="AF164" s="48"/>
      <c r="AG164" s="110"/>
    </row>
    <row r="165" spans="5:33" x14ac:dyDescent="0.4">
      <c r="E165" s="107"/>
      <c r="F165" s="107"/>
      <c r="H165" s="108"/>
      <c r="I165" s="108"/>
      <c r="J165" s="108"/>
      <c r="K165" s="108"/>
      <c r="L165" s="108"/>
      <c r="M165" s="108"/>
      <c r="N165" s="108"/>
      <c r="O165" s="108"/>
      <c r="P165" s="108"/>
      <c r="R165" s="100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9"/>
      <c r="AD165" s="108"/>
      <c r="AE165" s="108"/>
      <c r="AF165" s="48"/>
      <c r="AG165" s="110"/>
    </row>
    <row r="166" spans="5:33" x14ac:dyDescent="0.4">
      <c r="E166" s="107"/>
      <c r="F166" s="107"/>
      <c r="H166" s="108"/>
      <c r="I166" s="108"/>
      <c r="J166" s="108"/>
      <c r="K166" s="108"/>
      <c r="L166" s="108"/>
      <c r="M166" s="108"/>
      <c r="N166" s="108"/>
      <c r="O166" s="108"/>
      <c r="P166" s="108"/>
      <c r="R166" s="100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9"/>
      <c r="AD166" s="108"/>
      <c r="AE166" s="108"/>
      <c r="AF166" s="48"/>
      <c r="AG166" s="110"/>
    </row>
    <row r="167" spans="5:33" x14ac:dyDescent="0.4">
      <c r="E167" s="107"/>
      <c r="F167" s="107"/>
      <c r="H167" s="108"/>
      <c r="I167" s="108"/>
      <c r="J167" s="108"/>
      <c r="K167" s="108"/>
      <c r="L167" s="108"/>
      <c r="M167" s="108"/>
      <c r="N167" s="108"/>
      <c r="O167" s="108"/>
      <c r="P167" s="108"/>
      <c r="R167" s="100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9"/>
      <c r="AD167" s="108"/>
      <c r="AE167" s="108"/>
      <c r="AF167" s="48"/>
      <c r="AG167" s="110"/>
    </row>
    <row r="168" spans="5:33" x14ac:dyDescent="0.4">
      <c r="E168" s="107"/>
      <c r="F168" s="107"/>
      <c r="H168" s="108"/>
      <c r="I168" s="108"/>
      <c r="J168" s="108"/>
      <c r="K168" s="108"/>
      <c r="L168" s="108"/>
      <c r="M168" s="108"/>
      <c r="N168" s="108"/>
      <c r="O168" s="108"/>
      <c r="P168" s="108"/>
      <c r="R168" s="100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9"/>
      <c r="AD168" s="108"/>
      <c r="AE168" s="108"/>
      <c r="AF168" s="48"/>
      <c r="AG168" s="110"/>
    </row>
    <row r="169" spans="5:33" x14ac:dyDescent="0.4">
      <c r="E169" s="107"/>
      <c r="F169" s="107"/>
      <c r="H169" s="108"/>
      <c r="I169" s="108"/>
      <c r="J169" s="108"/>
      <c r="K169" s="108"/>
      <c r="L169" s="108"/>
      <c r="M169" s="108"/>
      <c r="N169" s="108"/>
      <c r="O169" s="108"/>
      <c r="P169" s="108"/>
      <c r="R169" s="100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9"/>
      <c r="AD169" s="108"/>
      <c r="AE169" s="108"/>
      <c r="AF169" s="48"/>
      <c r="AG169" s="110"/>
    </row>
    <row r="170" spans="5:33" x14ac:dyDescent="0.4">
      <c r="E170" s="107"/>
      <c r="F170" s="107"/>
      <c r="H170" s="108"/>
      <c r="I170" s="108"/>
      <c r="J170" s="108"/>
      <c r="K170" s="108"/>
      <c r="L170" s="108"/>
      <c r="M170" s="108"/>
      <c r="N170" s="108"/>
      <c r="O170" s="108"/>
      <c r="P170" s="108"/>
      <c r="R170" s="100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9"/>
      <c r="AD170" s="108"/>
      <c r="AE170" s="108"/>
      <c r="AF170" s="48"/>
      <c r="AG170" s="110"/>
    </row>
    <row r="171" spans="5:33" x14ac:dyDescent="0.4">
      <c r="E171" s="107"/>
      <c r="F171" s="107"/>
      <c r="H171" s="108"/>
      <c r="I171" s="108"/>
      <c r="J171" s="108"/>
      <c r="K171" s="108"/>
      <c r="L171" s="108"/>
      <c r="M171" s="108"/>
      <c r="N171" s="108"/>
      <c r="O171" s="108"/>
      <c r="P171" s="108"/>
      <c r="R171" s="100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9"/>
      <c r="AD171" s="108"/>
      <c r="AE171" s="108"/>
      <c r="AF171" s="48"/>
      <c r="AG171" s="110"/>
    </row>
    <row r="172" spans="5:33" x14ac:dyDescent="0.4">
      <c r="E172" s="107"/>
      <c r="F172" s="107"/>
      <c r="H172" s="108"/>
      <c r="I172" s="108"/>
      <c r="J172" s="108"/>
      <c r="K172" s="108"/>
      <c r="L172" s="108"/>
      <c r="M172" s="108"/>
      <c r="N172" s="108"/>
      <c r="O172" s="108"/>
      <c r="P172" s="108"/>
      <c r="R172" s="100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9"/>
      <c r="AD172" s="108"/>
      <c r="AE172" s="108"/>
      <c r="AF172" s="48"/>
      <c r="AG172" s="110"/>
    </row>
    <row r="173" spans="5:33" x14ac:dyDescent="0.4">
      <c r="E173" s="107"/>
      <c r="F173" s="107"/>
      <c r="H173" s="108"/>
      <c r="I173" s="108"/>
      <c r="J173" s="108"/>
      <c r="K173" s="108"/>
      <c r="L173" s="108"/>
      <c r="M173" s="108"/>
      <c r="N173" s="108"/>
      <c r="O173" s="108"/>
      <c r="P173" s="108"/>
      <c r="R173" s="100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9"/>
      <c r="AD173" s="108"/>
      <c r="AE173" s="108"/>
      <c r="AF173" s="48"/>
      <c r="AG173" s="110"/>
    </row>
    <row r="174" spans="5:33" x14ac:dyDescent="0.4">
      <c r="E174" s="107"/>
      <c r="F174" s="107"/>
      <c r="H174" s="108"/>
      <c r="I174" s="108"/>
      <c r="J174" s="108"/>
      <c r="K174" s="108"/>
      <c r="L174" s="108"/>
      <c r="M174" s="108"/>
      <c r="N174" s="108"/>
      <c r="O174" s="108"/>
      <c r="P174" s="108"/>
      <c r="R174" s="100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9"/>
      <c r="AD174" s="108"/>
      <c r="AE174" s="108"/>
      <c r="AF174" s="48"/>
      <c r="AG174" s="110"/>
    </row>
    <row r="175" spans="5:33" x14ac:dyDescent="0.4">
      <c r="E175" s="107"/>
      <c r="F175" s="107"/>
      <c r="H175" s="108"/>
      <c r="I175" s="108"/>
      <c r="J175" s="108"/>
      <c r="K175" s="108"/>
      <c r="L175" s="108"/>
      <c r="M175" s="108"/>
      <c r="N175" s="108"/>
      <c r="O175" s="108"/>
      <c r="P175" s="108"/>
      <c r="R175" s="100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9"/>
      <c r="AD175" s="108"/>
      <c r="AE175" s="108"/>
      <c r="AF175" s="48"/>
      <c r="AG175" s="110"/>
    </row>
    <row r="176" spans="5:33" x14ac:dyDescent="0.4">
      <c r="E176" s="107"/>
      <c r="F176" s="107"/>
      <c r="H176" s="108"/>
      <c r="I176" s="108"/>
      <c r="J176" s="108"/>
      <c r="K176" s="108"/>
      <c r="L176" s="108"/>
      <c r="M176" s="108"/>
      <c r="N176" s="108"/>
      <c r="O176" s="108"/>
      <c r="P176" s="108"/>
      <c r="R176" s="100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9"/>
      <c r="AD176" s="108"/>
      <c r="AE176" s="108"/>
      <c r="AF176" s="48"/>
      <c r="AG176" s="110"/>
    </row>
    <row r="177" spans="5:33" x14ac:dyDescent="0.4">
      <c r="E177" s="107"/>
      <c r="F177" s="107"/>
      <c r="H177" s="108"/>
      <c r="I177" s="108"/>
      <c r="J177" s="108"/>
      <c r="K177" s="108"/>
      <c r="L177" s="108"/>
      <c r="M177" s="108"/>
      <c r="N177" s="108"/>
      <c r="O177" s="108"/>
      <c r="P177" s="108"/>
      <c r="R177" s="100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9"/>
      <c r="AD177" s="108"/>
      <c r="AE177" s="108"/>
      <c r="AF177" s="48"/>
      <c r="AG177" s="110"/>
    </row>
    <row r="178" spans="5:33" x14ac:dyDescent="0.4">
      <c r="E178" s="107"/>
      <c r="F178" s="107"/>
      <c r="H178" s="108"/>
      <c r="I178" s="108"/>
      <c r="J178" s="108"/>
      <c r="K178" s="108"/>
      <c r="L178" s="108"/>
      <c r="M178" s="108"/>
      <c r="N178" s="108"/>
      <c r="O178" s="108"/>
      <c r="P178" s="108"/>
      <c r="R178" s="100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9"/>
      <c r="AD178" s="108"/>
      <c r="AE178" s="108"/>
      <c r="AF178" s="48"/>
      <c r="AG178" s="110"/>
    </row>
    <row r="179" spans="5:33" x14ac:dyDescent="0.4">
      <c r="E179" s="107"/>
      <c r="F179" s="107"/>
      <c r="H179" s="108"/>
      <c r="I179" s="108"/>
      <c r="J179" s="108"/>
      <c r="K179" s="108"/>
      <c r="L179" s="108"/>
      <c r="M179" s="108"/>
      <c r="N179" s="108"/>
      <c r="O179" s="108"/>
      <c r="P179" s="108"/>
      <c r="R179" s="100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9"/>
      <c r="AD179" s="108"/>
      <c r="AE179" s="108"/>
      <c r="AF179" s="48"/>
      <c r="AG179" s="110"/>
    </row>
    <row r="180" spans="5:33" x14ac:dyDescent="0.4">
      <c r="E180" s="107"/>
      <c r="F180" s="107"/>
      <c r="H180" s="108"/>
      <c r="I180" s="108"/>
      <c r="J180" s="108"/>
      <c r="K180" s="108"/>
      <c r="L180" s="108"/>
      <c r="M180" s="108"/>
      <c r="N180" s="108"/>
      <c r="O180" s="108"/>
      <c r="P180" s="108"/>
      <c r="R180" s="100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9"/>
      <c r="AD180" s="108"/>
      <c r="AE180" s="108"/>
      <c r="AF180" s="48"/>
      <c r="AG180" s="110"/>
    </row>
    <row r="181" spans="5:33" x14ac:dyDescent="0.4">
      <c r="E181" s="107"/>
      <c r="F181" s="107"/>
      <c r="H181" s="108"/>
      <c r="I181" s="108"/>
      <c r="J181" s="108"/>
      <c r="K181" s="108"/>
      <c r="L181" s="108"/>
      <c r="M181" s="108"/>
      <c r="N181" s="108"/>
      <c r="O181" s="108"/>
      <c r="P181" s="108"/>
      <c r="R181" s="100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9"/>
      <c r="AD181" s="108"/>
      <c r="AE181" s="108"/>
      <c r="AF181" s="48"/>
      <c r="AG181" s="110"/>
    </row>
    <row r="182" spans="5:33" x14ac:dyDescent="0.4">
      <c r="E182" s="107"/>
      <c r="F182" s="107"/>
      <c r="H182" s="108"/>
      <c r="I182" s="108"/>
      <c r="J182" s="108"/>
      <c r="K182" s="108"/>
      <c r="L182" s="108"/>
      <c r="M182" s="108"/>
      <c r="N182" s="108"/>
      <c r="O182" s="108"/>
      <c r="P182" s="108"/>
      <c r="R182" s="100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9"/>
      <c r="AD182" s="108"/>
      <c r="AE182" s="108"/>
      <c r="AF182" s="48"/>
      <c r="AG182" s="110"/>
    </row>
    <row r="183" spans="5:33" x14ac:dyDescent="0.4">
      <c r="E183" s="107"/>
      <c r="F183" s="107"/>
      <c r="H183" s="108"/>
      <c r="I183" s="108"/>
      <c r="J183" s="108"/>
      <c r="K183" s="108"/>
      <c r="L183" s="108"/>
      <c r="M183" s="108"/>
      <c r="N183" s="108"/>
      <c r="O183" s="108"/>
      <c r="P183" s="108"/>
      <c r="R183" s="100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9"/>
      <c r="AD183" s="108"/>
      <c r="AE183" s="108"/>
      <c r="AF183" s="48"/>
      <c r="AG183" s="110"/>
    </row>
    <row r="184" spans="5:33" x14ac:dyDescent="0.4">
      <c r="E184" s="107"/>
      <c r="F184" s="107"/>
      <c r="H184" s="108"/>
      <c r="I184" s="108"/>
      <c r="J184" s="108"/>
      <c r="K184" s="108"/>
      <c r="L184" s="108"/>
      <c r="M184" s="108"/>
      <c r="N184" s="108"/>
      <c r="O184" s="108"/>
      <c r="P184" s="108"/>
      <c r="R184" s="100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9"/>
      <c r="AD184" s="108"/>
      <c r="AE184" s="108"/>
      <c r="AF184" s="48"/>
      <c r="AG184" s="110"/>
    </row>
    <row r="185" spans="5:33" x14ac:dyDescent="0.4">
      <c r="E185" s="107"/>
      <c r="F185" s="107"/>
      <c r="H185" s="108"/>
      <c r="I185" s="108"/>
      <c r="J185" s="108"/>
      <c r="K185" s="108"/>
      <c r="L185" s="108"/>
      <c r="M185" s="108"/>
      <c r="N185" s="108"/>
      <c r="O185" s="108"/>
      <c r="P185" s="108"/>
      <c r="R185" s="100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9"/>
      <c r="AD185" s="108"/>
      <c r="AE185" s="108"/>
      <c r="AF185" s="48"/>
      <c r="AG185" s="110"/>
    </row>
    <row r="186" spans="5:33" x14ac:dyDescent="0.4">
      <c r="E186" s="107"/>
      <c r="F186" s="107"/>
      <c r="H186" s="108"/>
      <c r="I186" s="108"/>
      <c r="J186" s="108"/>
      <c r="K186" s="108"/>
      <c r="L186" s="108"/>
      <c r="M186" s="108"/>
      <c r="N186" s="108"/>
      <c r="O186" s="108"/>
      <c r="P186" s="108"/>
      <c r="R186" s="100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9"/>
      <c r="AD186" s="108"/>
      <c r="AE186" s="108"/>
      <c r="AF186" s="48"/>
      <c r="AG186" s="110"/>
    </row>
    <row r="187" spans="5:33" x14ac:dyDescent="0.4">
      <c r="E187" s="107"/>
      <c r="F187" s="107"/>
      <c r="H187" s="108"/>
      <c r="I187" s="108"/>
      <c r="J187" s="108"/>
      <c r="K187" s="108"/>
      <c r="L187" s="108"/>
      <c r="M187" s="108"/>
      <c r="N187" s="108"/>
      <c r="O187" s="108"/>
      <c r="P187" s="108"/>
      <c r="R187" s="100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9"/>
      <c r="AD187" s="108"/>
      <c r="AE187" s="108"/>
      <c r="AF187" s="48"/>
      <c r="AG187" s="110"/>
    </row>
    <row r="188" spans="5:33" x14ac:dyDescent="0.4">
      <c r="E188" s="107"/>
      <c r="F188" s="107"/>
      <c r="H188" s="108"/>
      <c r="I188" s="108"/>
      <c r="J188" s="108"/>
      <c r="K188" s="108"/>
      <c r="L188" s="108"/>
      <c r="M188" s="108"/>
      <c r="N188" s="108"/>
      <c r="O188" s="108"/>
      <c r="P188" s="108"/>
      <c r="R188" s="100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9"/>
      <c r="AD188" s="108"/>
      <c r="AE188" s="108"/>
      <c r="AF188" s="48"/>
      <c r="AG188" s="110"/>
    </row>
    <row r="189" spans="5:33" x14ac:dyDescent="0.4">
      <c r="E189" s="107"/>
      <c r="F189" s="107"/>
      <c r="H189" s="108"/>
      <c r="I189" s="108"/>
      <c r="J189" s="108"/>
      <c r="K189" s="108"/>
      <c r="L189" s="108"/>
      <c r="M189" s="108"/>
      <c r="N189" s="108"/>
      <c r="O189" s="108"/>
      <c r="P189" s="108"/>
      <c r="R189" s="100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9"/>
      <c r="AD189" s="108"/>
      <c r="AE189" s="108"/>
      <c r="AF189" s="48"/>
      <c r="AG189" s="110"/>
    </row>
    <row r="190" spans="5:33" x14ac:dyDescent="0.4">
      <c r="E190" s="107"/>
      <c r="F190" s="107"/>
      <c r="H190" s="108"/>
      <c r="I190" s="108"/>
      <c r="J190" s="108"/>
      <c r="K190" s="108"/>
      <c r="L190" s="108"/>
      <c r="M190" s="108"/>
      <c r="N190" s="108"/>
      <c r="O190" s="108"/>
      <c r="P190" s="108"/>
      <c r="R190" s="100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9"/>
      <c r="AD190" s="108"/>
      <c r="AE190" s="108"/>
      <c r="AF190" s="48"/>
      <c r="AG190" s="110"/>
    </row>
    <row r="191" spans="5:33" x14ac:dyDescent="0.4">
      <c r="E191" s="107"/>
      <c r="F191" s="107"/>
      <c r="H191" s="108"/>
      <c r="I191" s="108"/>
      <c r="J191" s="108"/>
      <c r="K191" s="108"/>
      <c r="L191" s="108"/>
      <c r="M191" s="108"/>
      <c r="N191" s="108"/>
      <c r="O191" s="108"/>
      <c r="P191" s="108"/>
      <c r="R191" s="100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9"/>
      <c r="AD191" s="108"/>
      <c r="AE191" s="108"/>
      <c r="AF191" s="48"/>
      <c r="AG191" s="110"/>
    </row>
    <row r="192" spans="5:33" x14ac:dyDescent="0.4">
      <c r="E192" s="107"/>
      <c r="F192" s="107"/>
      <c r="H192" s="108"/>
      <c r="I192" s="108"/>
      <c r="J192" s="108"/>
      <c r="K192" s="108"/>
      <c r="L192" s="108"/>
      <c r="M192" s="108"/>
      <c r="N192" s="108"/>
      <c r="O192" s="108"/>
      <c r="P192" s="108"/>
      <c r="R192" s="100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9"/>
      <c r="AD192" s="108"/>
      <c r="AE192" s="108"/>
      <c r="AF192" s="48"/>
      <c r="AG192" s="110"/>
    </row>
    <row r="193" spans="5:33" x14ac:dyDescent="0.4">
      <c r="E193" s="107"/>
      <c r="F193" s="107"/>
      <c r="H193" s="108"/>
      <c r="I193" s="108"/>
      <c r="J193" s="108"/>
      <c r="K193" s="108"/>
      <c r="L193" s="108"/>
      <c r="M193" s="108"/>
      <c r="N193" s="108"/>
      <c r="O193" s="108"/>
      <c r="P193" s="108"/>
      <c r="R193" s="100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9"/>
      <c r="AD193" s="108"/>
      <c r="AE193" s="108"/>
      <c r="AF193" s="48"/>
      <c r="AG193" s="110"/>
    </row>
    <row r="194" spans="5:33" x14ac:dyDescent="0.4">
      <c r="E194" s="107"/>
      <c r="F194" s="107"/>
      <c r="H194" s="108"/>
      <c r="I194" s="108"/>
      <c r="J194" s="108"/>
      <c r="K194" s="108"/>
      <c r="L194" s="108"/>
      <c r="M194" s="108"/>
      <c r="N194" s="108"/>
      <c r="O194" s="108"/>
      <c r="P194" s="108"/>
      <c r="R194" s="100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9"/>
      <c r="AD194" s="108"/>
      <c r="AE194" s="108"/>
      <c r="AF194" s="48"/>
      <c r="AG194" s="110"/>
    </row>
    <row r="195" spans="5:33" x14ac:dyDescent="0.4">
      <c r="E195" s="107"/>
      <c r="F195" s="107"/>
      <c r="H195" s="108"/>
      <c r="I195" s="108"/>
      <c r="J195" s="108"/>
      <c r="K195" s="108"/>
      <c r="L195" s="108"/>
      <c r="M195" s="108"/>
      <c r="N195" s="108"/>
      <c r="O195" s="108"/>
      <c r="P195" s="108"/>
      <c r="R195" s="100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9"/>
      <c r="AD195" s="108"/>
      <c r="AE195" s="108"/>
      <c r="AF195" s="48"/>
      <c r="AG195" s="110"/>
    </row>
    <row r="196" spans="5:33" x14ac:dyDescent="0.4">
      <c r="E196" s="107"/>
      <c r="F196" s="107"/>
      <c r="H196" s="108"/>
      <c r="I196" s="108"/>
      <c r="J196" s="108"/>
      <c r="K196" s="108"/>
      <c r="L196" s="108"/>
      <c r="M196" s="108"/>
      <c r="N196" s="108"/>
      <c r="O196" s="108"/>
      <c r="P196" s="108"/>
      <c r="R196" s="100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9"/>
      <c r="AD196" s="108"/>
      <c r="AE196" s="108"/>
      <c r="AF196" s="48"/>
      <c r="AG196" s="110"/>
    </row>
    <row r="197" spans="5:33" x14ac:dyDescent="0.4">
      <c r="E197" s="107"/>
      <c r="F197" s="107"/>
      <c r="H197" s="108"/>
      <c r="I197" s="108"/>
      <c r="J197" s="108"/>
      <c r="K197" s="108"/>
      <c r="L197" s="108"/>
      <c r="M197" s="108"/>
      <c r="N197" s="108"/>
      <c r="O197" s="108"/>
      <c r="P197" s="108"/>
      <c r="R197" s="100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9"/>
      <c r="AD197" s="108"/>
      <c r="AE197" s="108"/>
      <c r="AF197" s="48"/>
      <c r="AG197" s="110"/>
    </row>
    <row r="198" spans="5:33" x14ac:dyDescent="0.4">
      <c r="E198" s="107"/>
      <c r="F198" s="107"/>
      <c r="H198" s="108"/>
      <c r="I198" s="108"/>
      <c r="J198" s="108"/>
      <c r="K198" s="108"/>
      <c r="L198" s="108"/>
      <c r="M198" s="108"/>
      <c r="N198" s="108"/>
      <c r="O198" s="108"/>
      <c r="P198" s="108"/>
      <c r="R198" s="100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9"/>
      <c r="AD198" s="108"/>
      <c r="AE198" s="108"/>
      <c r="AF198" s="48"/>
      <c r="AG198" s="110"/>
    </row>
    <row r="199" spans="5:33" x14ac:dyDescent="0.4">
      <c r="E199" s="107"/>
      <c r="F199" s="107"/>
      <c r="H199" s="108"/>
      <c r="I199" s="108"/>
      <c r="J199" s="108"/>
      <c r="K199" s="108"/>
      <c r="L199" s="108"/>
      <c r="M199" s="108"/>
      <c r="N199" s="108"/>
      <c r="O199" s="108"/>
      <c r="P199" s="108"/>
      <c r="R199" s="100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9"/>
      <c r="AD199" s="108"/>
      <c r="AE199" s="108"/>
      <c r="AF199" s="48"/>
      <c r="AG199" s="110"/>
    </row>
    <row r="200" spans="5:33" x14ac:dyDescent="0.4">
      <c r="E200" s="107"/>
      <c r="F200" s="107"/>
      <c r="H200" s="108"/>
      <c r="I200" s="108"/>
      <c r="J200" s="108"/>
      <c r="K200" s="108"/>
      <c r="L200" s="108"/>
      <c r="M200" s="108"/>
      <c r="N200" s="108"/>
      <c r="O200" s="108"/>
      <c r="P200" s="108"/>
      <c r="R200" s="100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9"/>
      <c r="AD200" s="108"/>
      <c r="AE200" s="108"/>
      <c r="AF200" s="48"/>
      <c r="AG200" s="110"/>
    </row>
    <row r="201" spans="5:33" x14ac:dyDescent="0.4">
      <c r="E201" s="107"/>
      <c r="F201" s="107"/>
      <c r="H201" s="108"/>
      <c r="I201" s="108"/>
      <c r="J201" s="108"/>
      <c r="K201" s="108"/>
      <c r="L201" s="108"/>
      <c r="M201" s="108"/>
      <c r="N201" s="108"/>
      <c r="O201" s="108"/>
      <c r="P201" s="108"/>
      <c r="R201" s="100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9"/>
      <c r="AD201" s="108"/>
      <c r="AE201" s="108"/>
      <c r="AF201" s="48"/>
      <c r="AG201" s="110"/>
    </row>
    <row r="202" spans="5:33" x14ac:dyDescent="0.4">
      <c r="E202" s="107"/>
      <c r="F202" s="107"/>
      <c r="H202" s="108"/>
      <c r="I202" s="108"/>
      <c r="J202" s="108"/>
      <c r="K202" s="108"/>
      <c r="L202" s="108"/>
      <c r="M202" s="108"/>
      <c r="N202" s="108"/>
      <c r="O202" s="108"/>
      <c r="P202" s="108"/>
      <c r="R202" s="100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9"/>
      <c r="AD202" s="108"/>
      <c r="AE202" s="108"/>
      <c r="AF202" s="48"/>
      <c r="AG202" s="110"/>
    </row>
    <row r="203" spans="5:33" x14ac:dyDescent="0.4">
      <c r="E203" s="107"/>
      <c r="F203" s="107"/>
      <c r="H203" s="108"/>
      <c r="I203" s="108"/>
      <c r="J203" s="108"/>
      <c r="K203" s="108"/>
      <c r="L203" s="108"/>
      <c r="M203" s="108"/>
      <c r="N203" s="108"/>
      <c r="O203" s="108"/>
      <c r="P203" s="108"/>
      <c r="R203" s="100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9"/>
      <c r="AD203" s="108"/>
      <c r="AE203" s="108"/>
      <c r="AF203" s="48"/>
      <c r="AG203" s="110"/>
    </row>
    <row r="204" spans="5:33" x14ac:dyDescent="0.4">
      <c r="E204" s="107"/>
      <c r="F204" s="107"/>
      <c r="H204" s="108"/>
      <c r="I204" s="108"/>
      <c r="J204" s="108"/>
      <c r="K204" s="108"/>
      <c r="L204" s="108"/>
      <c r="M204" s="108"/>
      <c r="N204" s="108"/>
      <c r="O204" s="108"/>
      <c r="P204" s="108"/>
      <c r="R204" s="100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9"/>
      <c r="AD204" s="108"/>
      <c r="AE204" s="108"/>
      <c r="AF204" s="48"/>
      <c r="AG204" s="110"/>
    </row>
    <row r="205" spans="5:33" x14ac:dyDescent="0.4">
      <c r="E205" s="107"/>
      <c r="F205" s="107"/>
      <c r="H205" s="108"/>
      <c r="I205" s="108"/>
      <c r="J205" s="108"/>
      <c r="K205" s="108"/>
      <c r="L205" s="108"/>
      <c r="M205" s="108"/>
      <c r="N205" s="108"/>
      <c r="O205" s="108"/>
      <c r="P205" s="108"/>
      <c r="R205" s="100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9"/>
      <c r="AD205" s="108"/>
      <c r="AE205" s="108"/>
      <c r="AF205" s="48"/>
      <c r="AG205" s="110"/>
    </row>
    <row r="206" spans="5:33" x14ac:dyDescent="0.4">
      <c r="E206" s="107"/>
      <c r="F206" s="107"/>
      <c r="H206" s="108"/>
      <c r="I206" s="108"/>
      <c r="J206" s="108"/>
      <c r="K206" s="108"/>
      <c r="L206" s="108"/>
      <c r="M206" s="108"/>
      <c r="N206" s="108"/>
      <c r="O206" s="108"/>
      <c r="P206" s="108"/>
      <c r="R206" s="100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9"/>
      <c r="AD206" s="108"/>
      <c r="AE206" s="108"/>
      <c r="AF206" s="48"/>
      <c r="AG206" s="110"/>
    </row>
    <row r="207" spans="5:33" x14ac:dyDescent="0.4">
      <c r="E207" s="107"/>
      <c r="F207" s="107"/>
      <c r="H207" s="108"/>
      <c r="I207" s="108"/>
      <c r="J207" s="108"/>
      <c r="K207" s="108"/>
      <c r="L207" s="108"/>
      <c r="M207" s="108"/>
      <c r="N207" s="108"/>
      <c r="O207" s="108"/>
      <c r="P207" s="108"/>
      <c r="R207" s="100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9"/>
      <c r="AD207" s="108"/>
      <c r="AE207" s="108"/>
      <c r="AF207" s="48"/>
      <c r="AG207" s="110"/>
    </row>
    <row r="208" spans="5:33" x14ac:dyDescent="0.4">
      <c r="E208" s="107"/>
      <c r="F208" s="107"/>
      <c r="H208" s="108"/>
      <c r="I208" s="108"/>
      <c r="J208" s="108"/>
      <c r="K208" s="108"/>
      <c r="L208" s="108"/>
      <c r="M208" s="108"/>
      <c r="N208" s="108"/>
      <c r="O208" s="108"/>
      <c r="P208" s="108"/>
      <c r="R208" s="100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9"/>
      <c r="AD208" s="108"/>
      <c r="AE208" s="108"/>
      <c r="AF208" s="48"/>
      <c r="AG208" s="110"/>
    </row>
    <row r="209" spans="5:33" x14ac:dyDescent="0.4">
      <c r="E209" s="107"/>
      <c r="F209" s="107"/>
      <c r="H209" s="108"/>
      <c r="I209" s="108"/>
      <c r="J209" s="108"/>
      <c r="K209" s="108"/>
      <c r="L209" s="108"/>
      <c r="M209" s="108"/>
      <c r="N209" s="108"/>
      <c r="O209" s="108"/>
      <c r="P209" s="108"/>
      <c r="R209" s="100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9"/>
      <c r="AD209" s="108"/>
      <c r="AE209" s="108"/>
      <c r="AF209" s="48"/>
      <c r="AG209" s="110"/>
    </row>
    <row r="210" spans="5:33" x14ac:dyDescent="0.4">
      <c r="E210" s="107"/>
      <c r="F210" s="107"/>
      <c r="H210" s="108"/>
      <c r="I210" s="108"/>
      <c r="J210" s="108"/>
      <c r="K210" s="108"/>
      <c r="L210" s="108"/>
      <c r="M210" s="108"/>
      <c r="N210" s="108"/>
      <c r="O210" s="108"/>
      <c r="P210" s="108"/>
      <c r="R210" s="100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9"/>
      <c r="AD210" s="108"/>
      <c r="AE210" s="108"/>
      <c r="AF210" s="48"/>
      <c r="AG210" s="110"/>
    </row>
    <row r="211" spans="5:33" x14ac:dyDescent="0.4">
      <c r="E211" s="107"/>
      <c r="F211" s="107"/>
      <c r="H211" s="108"/>
      <c r="I211" s="108"/>
      <c r="J211" s="108"/>
      <c r="K211" s="108"/>
      <c r="L211" s="108"/>
      <c r="M211" s="108"/>
      <c r="N211" s="108"/>
      <c r="O211" s="108"/>
      <c r="P211" s="108"/>
      <c r="R211" s="100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9"/>
      <c r="AD211" s="108"/>
      <c r="AE211" s="108"/>
      <c r="AF211" s="48"/>
      <c r="AG211" s="110"/>
    </row>
    <row r="212" spans="5:33" x14ac:dyDescent="0.4">
      <c r="E212" s="107"/>
      <c r="F212" s="107"/>
      <c r="H212" s="108"/>
      <c r="I212" s="108"/>
      <c r="J212" s="108"/>
      <c r="K212" s="108"/>
      <c r="L212" s="108"/>
      <c r="M212" s="108"/>
      <c r="N212" s="108"/>
      <c r="O212" s="108"/>
      <c r="P212" s="108"/>
      <c r="R212" s="100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9"/>
      <c r="AD212" s="108"/>
      <c r="AE212" s="108"/>
      <c r="AF212" s="48"/>
      <c r="AG212" s="110"/>
    </row>
    <row r="213" spans="5:33" x14ac:dyDescent="0.4">
      <c r="E213" s="107"/>
      <c r="F213" s="107"/>
      <c r="H213" s="108"/>
      <c r="I213" s="108"/>
      <c r="J213" s="108"/>
      <c r="K213" s="108"/>
      <c r="L213" s="108"/>
      <c r="M213" s="108"/>
      <c r="N213" s="108"/>
      <c r="O213" s="108"/>
      <c r="P213" s="108"/>
      <c r="R213" s="100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9"/>
      <c r="AD213" s="108"/>
      <c r="AE213" s="108"/>
      <c r="AF213" s="48"/>
      <c r="AG213" s="110"/>
    </row>
    <row r="214" spans="5:33" x14ac:dyDescent="0.4">
      <c r="E214" s="107"/>
      <c r="F214" s="107"/>
      <c r="H214" s="108"/>
      <c r="I214" s="108"/>
      <c r="J214" s="108"/>
      <c r="K214" s="108"/>
      <c r="L214" s="108"/>
      <c r="M214" s="108"/>
      <c r="N214" s="108"/>
      <c r="O214" s="108"/>
      <c r="P214" s="108"/>
      <c r="R214" s="100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9"/>
      <c r="AD214" s="108"/>
      <c r="AE214" s="108"/>
      <c r="AF214" s="48"/>
      <c r="AG214" s="110"/>
    </row>
    <row r="215" spans="5:33" x14ac:dyDescent="0.4">
      <c r="E215" s="107"/>
      <c r="F215" s="107"/>
      <c r="H215" s="108"/>
      <c r="I215" s="108"/>
      <c r="J215" s="108"/>
      <c r="K215" s="108"/>
      <c r="L215" s="108"/>
      <c r="M215" s="108"/>
      <c r="N215" s="108"/>
      <c r="O215" s="108"/>
      <c r="P215" s="108"/>
      <c r="R215" s="100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9"/>
      <c r="AD215" s="108"/>
      <c r="AE215" s="108"/>
      <c r="AF215" s="48"/>
      <c r="AG215" s="110"/>
    </row>
    <row r="216" spans="5:33" x14ac:dyDescent="0.4">
      <c r="E216" s="107"/>
      <c r="F216" s="107"/>
      <c r="H216" s="108"/>
      <c r="I216" s="108"/>
      <c r="J216" s="108"/>
      <c r="K216" s="108"/>
      <c r="L216" s="108"/>
      <c r="M216" s="108"/>
      <c r="N216" s="108"/>
      <c r="O216" s="108"/>
      <c r="P216" s="108"/>
      <c r="R216" s="100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9"/>
      <c r="AD216" s="108"/>
      <c r="AE216" s="108"/>
      <c r="AF216" s="48"/>
      <c r="AG216" s="110"/>
    </row>
    <row r="217" spans="5:33" x14ac:dyDescent="0.4">
      <c r="E217" s="107"/>
      <c r="F217" s="107"/>
      <c r="H217" s="108"/>
      <c r="I217" s="108"/>
      <c r="J217" s="108"/>
      <c r="K217" s="108"/>
      <c r="L217" s="108"/>
      <c r="M217" s="108"/>
      <c r="N217" s="108"/>
      <c r="O217" s="108"/>
      <c r="P217" s="108"/>
      <c r="R217" s="100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9"/>
      <c r="AD217" s="108"/>
      <c r="AE217" s="108"/>
      <c r="AF217" s="48"/>
      <c r="AG217" s="110"/>
    </row>
    <row r="218" spans="5:33" x14ac:dyDescent="0.4">
      <c r="E218" s="107"/>
      <c r="F218" s="107"/>
      <c r="H218" s="108"/>
      <c r="I218" s="108"/>
      <c r="J218" s="108"/>
      <c r="K218" s="108"/>
      <c r="L218" s="108"/>
      <c r="M218" s="108"/>
      <c r="N218" s="108"/>
      <c r="O218" s="108"/>
      <c r="P218" s="108"/>
      <c r="R218" s="100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9"/>
      <c r="AD218" s="108"/>
      <c r="AE218" s="108"/>
      <c r="AF218" s="48"/>
      <c r="AG218" s="110"/>
    </row>
    <row r="219" spans="5:33" x14ac:dyDescent="0.4">
      <c r="E219" s="107"/>
      <c r="F219" s="107"/>
      <c r="H219" s="108"/>
      <c r="I219" s="108"/>
      <c r="J219" s="108"/>
      <c r="K219" s="108"/>
      <c r="L219" s="108"/>
      <c r="M219" s="108"/>
      <c r="N219" s="108"/>
      <c r="O219" s="108"/>
      <c r="P219" s="108"/>
      <c r="R219" s="100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9"/>
      <c r="AD219" s="108"/>
      <c r="AE219" s="108"/>
      <c r="AF219" s="48"/>
      <c r="AG219" s="110"/>
    </row>
    <row r="220" spans="5:33" x14ac:dyDescent="0.4">
      <c r="E220" s="107"/>
      <c r="F220" s="107"/>
      <c r="H220" s="108"/>
      <c r="I220" s="108"/>
      <c r="J220" s="108"/>
      <c r="K220" s="108"/>
      <c r="L220" s="108"/>
      <c r="M220" s="108"/>
      <c r="N220" s="108"/>
      <c r="O220" s="108"/>
      <c r="P220" s="108"/>
      <c r="R220" s="100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9"/>
      <c r="AD220" s="108"/>
      <c r="AE220" s="108"/>
      <c r="AF220" s="48"/>
      <c r="AG220" s="110"/>
    </row>
    <row r="221" spans="5:33" x14ac:dyDescent="0.4">
      <c r="E221" s="107"/>
      <c r="F221" s="107"/>
      <c r="H221" s="108"/>
      <c r="I221" s="108"/>
      <c r="J221" s="108"/>
      <c r="K221" s="108"/>
      <c r="L221" s="108"/>
      <c r="M221" s="108"/>
      <c r="N221" s="108"/>
      <c r="O221" s="108"/>
      <c r="P221" s="108"/>
      <c r="R221" s="100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9"/>
      <c r="AD221" s="108"/>
      <c r="AE221" s="108"/>
      <c r="AF221" s="48"/>
      <c r="AG221" s="110"/>
    </row>
    <row r="222" spans="5:33" x14ac:dyDescent="0.4">
      <c r="E222" s="107"/>
      <c r="F222" s="107"/>
      <c r="H222" s="108"/>
      <c r="I222" s="108"/>
      <c r="J222" s="108"/>
      <c r="K222" s="108"/>
      <c r="L222" s="108"/>
      <c r="M222" s="108"/>
      <c r="N222" s="108"/>
      <c r="O222" s="108"/>
      <c r="P222" s="108"/>
      <c r="R222" s="100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9"/>
      <c r="AD222" s="108"/>
      <c r="AE222" s="108"/>
      <c r="AF222" s="48"/>
      <c r="AG222" s="110"/>
    </row>
    <row r="223" spans="5:33" x14ac:dyDescent="0.4">
      <c r="E223" s="107"/>
      <c r="F223" s="107"/>
      <c r="H223" s="108"/>
      <c r="I223" s="108"/>
      <c r="J223" s="108"/>
      <c r="K223" s="108"/>
      <c r="L223" s="108"/>
      <c r="M223" s="108"/>
      <c r="N223" s="108"/>
      <c r="O223" s="108"/>
      <c r="P223" s="108"/>
      <c r="R223" s="100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9"/>
      <c r="AD223" s="108"/>
      <c r="AE223" s="108"/>
      <c r="AF223" s="48"/>
      <c r="AG223" s="110"/>
    </row>
    <row r="224" spans="5:33" x14ac:dyDescent="0.4">
      <c r="E224" s="107"/>
      <c r="F224" s="107"/>
      <c r="H224" s="108"/>
      <c r="I224" s="108"/>
      <c r="J224" s="108"/>
      <c r="K224" s="108"/>
      <c r="L224" s="108"/>
      <c r="M224" s="108"/>
      <c r="N224" s="108"/>
      <c r="O224" s="108"/>
      <c r="P224" s="108"/>
      <c r="R224" s="100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9"/>
      <c r="AD224" s="108"/>
      <c r="AE224" s="108"/>
      <c r="AF224" s="48"/>
      <c r="AG224" s="110"/>
    </row>
    <row r="225" spans="5:33" x14ac:dyDescent="0.4">
      <c r="E225" s="107"/>
      <c r="F225" s="107"/>
      <c r="H225" s="108"/>
      <c r="I225" s="108"/>
      <c r="J225" s="108"/>
      <c r="K225" s="108"/>
      <c r="L225" s="108"/>
      <c r="M225" s="108"/>
      <c r="N225" s="108"/>
      <c r="O225" s="108"/>
      <c r="P225" s="108"/>
      <c r="R225" s="100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9"/>
      <c r="AD225" s="108"/>
      <c r="AE225" s="108"/>
      <c r="AF225" s="48"/>
      <c r="AG225" s="110"/>
    </row>
    <row r="226" spans="5:33" x14ac:dyDescent="0.4">
      <c r="E226" s="107"/>
      <c r="F226" s="107"/>
      <c r="H226" s="108"/>
      <c r="I226" s="108"/>
      <c r="J226" s="108"/>
      <c r="K226" s="108"/>
      <c r="L226" s="108"/>
      <c r="M226" s="108"/>
      <c r="N226" s="108"/>
      <c r="O226" s="108"/>
      <c r="P226" s="108"/>
      <c r="R226" s="100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9"/>
      <c r="AD226" s="108"/>
      <c r="AE226" s="108"/>
      <c r="AF226" s="48"/>
      <c r="AG226" s="110"/>
    </row>
    <row r="227" spans="5:33" x14ac:dyDescent="0.4">
      <c r="E227" s="107"/>
      <c r="F227" s="107"/>
      <c r="H227" s="108"/>
      <c r="I227" s="108"/>
      <c r="J227" s="108"/>
      <c r="K227" s="108"/>
      <c r="L227" s="108"/>
      <c r="M227" s="108"/>
      <c r="N227" s="108"/>
      <c r="O227" s="108"/>
      <c r="P227" s="108"/>
      <c r="R227" s="100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9"/>
      <c r="AD227" s="108"/>
      <c r="AE227" s="108"/>
      <c r="AF227" s="48"/>
      <c r="AG227" s="110"/>
    </row>
    <row r="228" spans="5:33" x14ac:dyDescent="0.4">
      <c r="E228" s="107"/>
      <c r="F228" s="107"/>
      <c r="H228" s="108"/>
      <c r="I228" s="108"/>
      <c r="J228" s="108"/>
      <c r="K228" s="108"/>
      <c r="L228" s="108"/>
      <c r="M228" s="108"/>
      <c r="N228" s="108"/>
      <c r="O228" s="108"/>
      <c r="P228" s="108"/>
      <c r="R228" s="100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9"/>
      <c r="AD228" s="108"/>
      <c r="AE228" s="108"/>
      <c r="AF228" s="48"/>
      <c r="AG228" s="110"/>
    </row>
    <row r="229" spans="5:33" x14ac:dyDescent="0.4">
      <c r="E229" s="107"/>
      <c r="F229" s="107"/>
      <c r="H229" s="108"/>
      <c r="I229" s="108"/>
      <c r="J229" s="108"/>
      <c r="K229" s="108"/>
      <c r="L229" s="108"/>
      <c r="M229" s="108"/>
      <c r="N229" s="108"/>
      <c r="O229" s="108"/>
      <c r="P229" s="108"/>
      <c r="R229" s="100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9"/>
      <c r="AD229" s="108"/>
      <c r="AE229" s="108"/>
      <c r="AF229" s="48"/>
      <c r="AG229" s="110"/>
    </row>
    <row r="230" spans="5:33" x14ac:dyDescent="0.4">
      <c r="E230" s="107"/>
      <c r="F230" s="107"/>
      <c r="H230" s="108"/>
      <c r="I230" s="108"/>
      <c r="J230" s="108"/>
      <c r="K230" s="108"/>
      <c r="L230" s="108"/>
      <c r="M230" s="108"/>
      <c r="N230" s="108"/>
      <c r="O230" s="108"/>
      <c r="P230" s="108"/>
      <c r="R230" s="100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9"/>
      <c r="AD230" s="108"/>
      <c r="AE230" s="108"/>
      <c r="AF230" s="48"/>
      <c r="AG230" s="110"/>
    </row>
    <row r="231" spans="5:33" x14ac:dyDescent="0.4">
      <c r="E231" s="107"/>
      <c r="F231" s="107"/>
      <c r="H231" s="108"/>
      <c r="I231" s="108"/>
      <c r="J231" s="108"/>
      <c r="K231" s="108"/>
      <c r="L231" s="108"/>
      <c r="M231" s="108"/>
      <c r="N231" s="108"/>
      <c r="O231" s="108"/>
      <c r="P231" s="108"/>
      <c r="R231" s="100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9"/>
      <c r="AD231" s="108"/>
      <c r="AE231" s="108"/>
      <c r="AF231" s="48"/>
      <c r="AG231" s="110"/>
    </row>
    <row r="232" spans="5:33" x14ac:dyDescent="0.4">
      <c r="E232" s="107"/>
      <c r="F232" s="107"/>
      <c r="H232" s="108"/>
      <c r="I232" s="108"/>
      <c r="J232" s="108"/>
      <c r="K232" s="108"/>
      <c r="L232" s="108"/>
      <c r="M232" s="108"/>
      <c r="N232" s="108"/>
      <c r="O232" s="108"/>
      <c r="P232" s="108"/>
      <c r="R232" s="100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9"/>
      <c r="AD232" s="108"/>
      <c r="AE232" s="108"/>
      <c r="AF232" s="48"/>
      <c r="AG232" s="110"/>
    </row>
    <row r="233" spans="5:33" x14ac:dyDescent="0.4">
      <c r="E233" s="107"/>
      <c r="F233" s="126"/>
      <c r="H233" s="108"/>
      <c r="I233" s="108"/>
      <c r="J233" s="108"/>
      <c r="K233" s="108"/>
      <c r="L233" s="127"/>
      <c r="M233" s="108"/>
      <c r="N233" s="127"/>
      <c r="O233" s="127"/>
      <c r="P233" s="127"/>
      <c r="Q233" s="128"/>
      <c r="R233" s="128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9"/>
      <c r="AD233" s="127"/>
      <c r="AE233" s="127"/>
      <c r="AF233" s="130"/>
      <c r="AG233" s="110"/>
    </row>
    <row r="234" spans="5:33" x14ac:dyDescent="0.4">
      <c r="E234" s="107"/>
      <c r="F234" s="107"/>
      <c r="AG234" s="110"/>
    </row>
    <row r="235" spans="5:33" x14ac:dyDescent="0.4">
      <c r="E235" s="107"/>
      <c r="F235" s="107"/>
      <c r="AG235" s="110"/>
    </row>
    <row r="236" spans="5:33" x14ac:dyDescent="0.4">
      <c r="E236" s="107"/>
      <c r="F236" s="107"/>
      <c r="AG236" s="110"/>
    </row>
    <row r="237" spans="5:33" x14ac:dyDescent="0.4">
      <c r="E237" s="107"/>
      <c r="F237" s="107"/>
      <c r="AG237" s="110"/>
    </row>
    <row r="238" spans="5:33" x14ac:dyDescent="0.4">
      <c r="E238" s="107"/>
      <c r="F238" s="107"/>
      <c r="AG238" s="110"/>
    </row>
    <row r="239" spans="5:33" x14ac:dyDescent="0.4">
      <c r="E239" s="107"/>
      <c r="F239" s="107"/>
      <c r="AG239" s="110"/>
    </row>
    <row r="240" spans="5:33" x14ac:dyDescent="0.4">
      <c r="E240" s="107"/>
      <c r="F240" s="107"/>
      <c r="AG240" s="110"/>
    </row>
    <row r="241" spans="5:33" x14ac:dyDescent="0.4">
      <c r="E241" s="107"/>
      <c r="F241" s="107"/>
      <c r="AG241" s="110"/>
    </row>
    <row r="242" spans="5:33" x14ac:dyDescent="0.4">
      <c r="E242" s="107"/>
      <c r="F242" s="107"/>
      <c r="AG242" s="110"/>
    </row>
    <row r="243" spans="5:33" x14ac:dyDescent="0.4">
      <c r="E243" s="107"/>
      <c r="F243" s="107"/>
      <c r="AG243" s="110"/>
    </row>
    <row r="244" spans="5:33" x14ac:dyDescent="0.4">
      <c r="E244" s="107"/>
      <c r="F244" s="107"/>
      <c r="AG244" s="110"/>
    </row>
    <row r="245" spans="5:33" x14ac:dyDescent="0.4">
      <c r="E245" s="107"/>
      <c r="F245" s="107"/>
      <c r="AG245" s="110"/>
    </row>
    <row r="246" spans="5:33" x14ac:dyDescent="0.4">
      <c r="E246" s="107"/>
      <c r="F246" s="107"/>
      <c r="AG246" s="110"/>
    </row>
    <row r="247" spans="5:33" x14ac:dyDescent="0.4">
      <c r="E247" s="126"/>
      <c r="F247" s="107"/>
      <c r="AG247" s="131"/>
    </row>
    <row r="248" spans="5:33" x14ac:dyDescent="0.4">
      <c r="E248" s="107"/>
      <c r="F248" s="107"/>
    </row>
    <row r="249" spans="5:33" x14ac:dyDescent="0.4">
      <c r="E249" s="107"/>
      <c r="F249" s="107"/>
    </row>
    <row r="250" spans="5:33" x14ac:dyDescent="0.4">
      <c r="E250" s="107"/>
      <c r="F250" s="107"/>
    </row>
    <row r="251" spans="5:33" x14ac:dyDescent="0.4">
      <c r="E251" s="107"/>
      <c r="F251" s="107"/>
    </row>
    <row r="252" spans="5:33" x14ac:dyDescent="0.4">
      <c r="E252" s="107"/>
      <c r="F252" s="107"/>
    </row>
    <row r="253" spans="5:33" x14ac:dyDescent="0.4">
      <c r="E253" s="107"/>
      <c r="F253" s="107"/>
    </row>
    <row r="254" spans="5:33" x14ac:dyDescent="0.4">
      <c r="E254" s="107"/>
      <c r="F254" s="107"/>
    </row>
    <row r="255" spans="5:33" x14ac:dyDescent="0.4">
      <c r="E255" s="107"/>
      <c r="F255" s="107"/>
    </row>
    <row r="256" spans="5:33" x14ac:dyDescent="0.4">
      <c r="E256" s="107"/>
      <c r="F256" s="107"/>
    </row>
    <row r="257" spans="5:6" x14ac:dyDescent="0.4">
      <c r="E257" s="107"/>
      <c r="F257" s="107"/>
    </row>
    <row r="258" spans="5:6" x14ac:dyDescent="0.4">
      <c r="E258" s="107"/>
      <c r="F258" s="107"/>
    </row>
    <row r="259" spans="5:6" x14ac:dyDescent="0.4">
      <c r="E259" s="107"/>
      <c r="F259" s="107"/>
    </row>
    <row r="260" spans="5:6" x14ac:dyDescent="0.4">
      <c r="E260" s="107"/>
      <c r="F260" s="107"/>
    </row>
    <row r="261" spans="5:6" x14ac:dyDescent="0.4">
      <c r="E261" s="107"/>
      <c r="F261" s="107"/>
    </row>
    <row r="262" spans="5:6" x14ac:dyDescent="0.4">
      <c r="E262" s="107"/>
      <c r="F262" s="107"/>
    </row>
    <row r="263" spans="5:6" x14ac:dyDescent="0.4">
      <c r="E263" s="107"/>
      <c r="F263" s="107"/>
    </row>
    <row r="264" spans="5:6" x14ac:dyDescent="0.4">
      <c r="E264" s="107"/>
      <c r="F264" s="107"/>
    </row>
    <row r="265" spans="5:6" x14ac:dyDescent="0.4">
      <c r="E265" s="107"/>
      <c r="F265" s="107"/>
    </row>
    <row r="266" spans="5:6" x14ac:dyDescent="0.4">
      <c r="E266" s="107"/>
      <c r="F266" s="107"/>
    </row>
    <row r="267" spans="5:6" x14ac:dyDescent="0.4">
      <c r="E267" s="107"/>
      <c r="F267" s="107"/>
    </row>
    <row r="268" spans="5:6" x14ac:dyDescent="0.4">
      <c r="E268" s="107"/>
      <c r="F268" s="107"/>
    </row>
    <row r="269" spans="5:6" x14ac:dyDescent="0.4">
      <c r="E269" s="107"/>
      <c r="F269" s="107"/>
    </row>
    <row r="270" spans="5:6" x14ac:dyDescent="0.4">
      <c r="E270" s="107"/>
      <c r="F270" s="107"/>
    </row>
    <row r="271" spans="5:6" x14ac:dyDescent="0.4">
      <c r="E271" s="107"/>
      <c r="F271" s="107"/>
    </row>
    <row r="272" spans="5:6" x14ac:dyDescent="0.4">
      <c r="E272" s="107"/>
      <c r="F272" s="107"/>
    </row>
    <row r="273" spans="5:6" x14ac:dyDescent="0.4">
      <c r="E273" s="107"/>
      <c r="F273" s="107"/>
    </row>
    <row r="274" spans="5:6" x14ac:dyDescent="0.4">
      <c r="E274" s="107"/>
      <c r="F274" s="107"/>
    </row>
    <row r="275" spans="5:6" x14ac:dyDescent="0.4">
      <c r="E275" s="107"/>
      <c r="F275" s="107"/>
    </row>
    <row r="276" spans="5:6" x14ac:dyDescent="0.4">
      <c r="E276" s="107"/>
      <c r="F276" s="107"/>
    </row>
    <row r="277" spans="5:6" x14ac:dyDescent="0.4">
      <c r="E277" s="107"/>
      <c r="F277" s="107"/>
    </row>
    <row r="278" spans="5:6" x14ac:dyDescent="0.4">
      <c r="E278" s="107"/>
      <c r="F278" s="107"/>
    </row>
    <row r="279" spans="5:6" x14ac:dyDescent="0.4">
      <c r="E279" s="107"/>
      <c r="F279" s="107"/>
    </row>
    <row r="280" spans="5:6" x14ac:dyDescent="0.4">
      <c r="E280" s="107"/>
      <c r="F280" s="107"/>
    </row>
    <row r="281" spans="5:6" x14ac:dyDescent="0.4">
      <c r="E281" s="107"/>
      <c r="F281" s="107"/>
    </row>
    <row r="282" spans="5:6" x14ac:dyDescent="0.4">
      <c r="E282" s="107"/>
    </row>
    <row r="283" spans="5:6" x14ac:dyDescent="0.4">
      <c r="E283" s="107"/>
    </row>
    <row r="284" spans="5:6" x14ac:dyDescent="0.4">
      <c r="E284" s="107"/>
    </row>
    <row r="285" spans="5:6" x14ac:dyDescent="0.4">
      <c r="E285" s="107"/>
    </row>
    <row r="286" spans="5:6" x14ac:dyDescent="0.4">
      <c r="E286" s="107"/>
    </row>
    <row r="287" spans="5:6" x14ac:dyDescent="0.4">
      <c r="E287" s="107"/>
    </row>
    <row r="288" spans="5:6" x14ac:dyDescent="0.4">
      <c r="E288" s="107"/>
    </row>
    <row r="289" spans="5:5" x14ac:dyDescent="0.4">
      <c r="E289" s="107"/>
    </row>
    <row r="290" spans="5:5" x14ac:dyDescent="0.4">
      <c r="E290" s="107"/>
    </row>
    <row r="291" spans="5:5" x14ac:dyDescent="0.4">
      <c r="E291" s="107"/>
    </row>
    <row r="292" spans="5:5" x14ac:dyDescent="0.4">
      <c r="E292" s="107"/>
    </row>
    <row r="293" spans="5:5" x14ac:dyDescent="0.4">
      <c r="E293" s="107"/>
    </row>
    <row r="294" spans="5:5" x14ac:dyDescent="0.4">
      <c r="E294" s="107"/>
    </row>
    <row r="295" spans="5:5" x14ac:dyDescent="0.4">
      <c r="E295" s="107"/>
    </row>
  </sheetData>
  <mergeCells count="6">
    <mergeCell ref="T2:W2"/>
    <mergeCell ref="B4:C4"/>
    <mergeCell ref="E2:F2"/>
    <mergeCell ref="G2:L2"/>
    <mergeCell ref="N2:O2"/>
    <mergeCell ref="Q2:S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1BF2-1515-40F6-AB7A-E8E5655F0FF6}">
  <sheetPr>
    <tabColor rgb="FF009639"/>
  </sheetPr>
  <dimension ref="B2:AG295"/>
  <sheetViews>
    <sheetView showGridLines="0" topLeftCell="Q1" zoomScale="78" zoomScaleNormal="115" workbookViewId="0">
      <selection activeCell="AC5" sqref="AC5:AC124"/>
    </sheetView>
  </sheetViews>
  <sheetFormatPr defaultColWidth="8.88671875" defaultRowHeight="16.8" x14ac:dyDescent="0.4"/>
  <cols>
    <col min="1" max="1" width="2.88671875" style="35" customWidth="1"/>
    <col min="2" max="2" width="54.33203125" style="35" bestFit="1" customWidth="1"/>
    <col min="3" max="3" width="19.109375" style="35" bestFit="1" customWidth="1"/>
    <col min="4" max="4" width="3.44140625" style="35" customWidth="1"/>
    <col min="5" max="6" width="7.21875" style="35" bestFit="1" customWidth="1"/>
    <col min="7" max="7" width="22.77734375" style="138" bestFit="1" customWidth="1"/>
    <col min="8" max="8" width="15.109375" style="35" bestFit="1" customWidth="1"/>
    <col min="9" max="9" width="18.88671875" style="35" bestFit="1" customWidth="1"/>
    <col min="10" max="10" width="19.21875" style="35" bestFit="1" customWidth="1"/>
    <col min="11" max="11" width="17.21875" style="35" bestFit="1" customWidth="1"/>
    <col min="12" max="12" width="18" style="35" bestFit="1" customWidth="1"/>
    <col min="13" max="13" width="13.77734375" style="35" bestFit="1" customWidth="1"/>
    <col min="14" max="14" width="15.44140625" style="35" bestFit="1" customWidth="1"/>
    <col min="15" max="15" width="17.77734375" style="35" bestFit="1" customWidth="1"/>
    <col min="16" max="16" width="17.6640625" style="35" bestFit="1" customWidth="1"/>
    <col min="17" max="17" width="10.77734375" style="100" bestFit="1" customWidth="1"/>
    <col min="18" max="18" width="12.33203125" style="101" bestFit="1" customWidth="1"/>
    <col min="19" max="19" width="12.6640625" style="35" bestFit="1" customWidth="1"/>
    <col min="20" max="20" width="15.77734375" style="35" bestFit="1" customWidth="1"/>
    <col min="21" max="21" width="12.77734375" style="35" bestFit="1" customWidth="1"/>
    <col min="22" max="22" width="13.77734375" style="35" bestFit="1" customWidth="1"/>
    <col min="23" max="23" width="15.21875" style="35" bestFit="1" customWidth="1"/>
    <col min="24" max="24" width="14" style="35" bestFit="1" customWidth="1"/>
    <col min="25" max="25" width="13.44140625" style="35" bestFit="1" customWidth="1"/>
    <col min="26" max="26" width="13.6640625" style="35" bestFit="1" customWidth="1"/>
    <col min="27" max="27" width="14.6640625" style="35" bestFit="1" customWidth="1"/>
    <col min="28" max="28" width="15.6640625" style="35" bestFit="1" customWidth="1"/>
    <col min="29" max="29" width="12" style="35" bestFit="1" customWidth="1"/>
    <col min="30" max="30" width="15" style="35" bestFit="1" customWidth="1"/>
    <col min="31" max="31" width="13.5546875" style="35" bestFit="1" customWidth="1"/>
    <col min="32" max="32" width="8.6640625" style="35" bestFit="1" customWidth="1"/>
    <col min="33" max="33" width="8.88671875" style="35"/>
    <col min="34" max="34" width="15.6640625" style="35" bestFit="1" customWidth="1"/>
    <col min="35" max="35" width="8.88671875" style="35"/>
    <col min="36" max="36" width="12.33203125" style="35" bestFit="1" customWidth="1"/>
    <col min="37" max="37" width="11.44140625" style="35" bestFit="1" customWidth="1"/>
    <col min="38" max="38" width="10.109375" style="35" bestFit="1" customWidth="1"/>
    <col min="39" max="39" width="11.44140625" style="35" bestFit="1" customWidth="1"/>
    <col min="40" max="41" width="12.33203125" style="35" bestFit="1" customWidth="1"/>
    <col min="42" max="42" width="9.33203125" style="35" bestFit="1" customWidth="1"/>
    <col min="43" max="43" width="8.88671875" style="35"/>
    <col min="44" max="45" width="9.33203125" style="35" bestFit="1" customWidth="1"/>
    <col min="46" max="46" width="10.5546875" style="35" bestFit="1" customWidth="1"/>
    <col min="47" max="47" width="10.109375" style="35" bestFit="1" customWidth="1"/>
    <col min="48" max="48" width="13.5546875" style="35" bestFit="1" customWidth="1"/>
    <col min="49" max="53" width="8.88671875" style="35"/>
    <col min="54" max="54" width="9.5546875" style="35" bestFit="1" customWidth="1"/>
    <col min="55" max="55" width="10.109375" style="35" bestFit="1" customWidth="1"/>
    <col min="56" max="56" width="9.33203125" style="35" bestFit="1" customWidth="1"/>
    <col min="57" max="57" width="8.88671875" style="35"/>
    <col min="58" max="58" width="9.33203125" style="35" bestFit="1" customWidth="1"/>
    <col min="59" max="59" width="10.88671875" style="35" bestFit="1" customWidth="1"/>
    <col min="60" max="60" width="13.88671875" style="35" bestFit="1" customWidth="1"/>
    <col min="61" max="61" width="9.33203125" style="35" bestFit="1" customWidth="1"/>
    <col min="62" max="62" width="10.5546875" style="35" bestFit="1" customWidth="1"/>
    <col min="63" max="63" width="11.109375" style="35" bestFit="1" customWidth="1"/>
    <col min="64" max="64" width="12" style="35" bestFit="1" customWidth="1"/>
    <col min="65" max="65" width="8.88671875" style="35"/>
    <col min="66" max="66" width="13.88671875" style="35" bestFit="1" customWidth="1"/>
    <col min="67" max="67" width="9.33203125" style="35" bestFit="1" customWidth="1"/>
    <col min="68" max="16384" width="8.88671875" style="35"/>
  </cols>
  <sheetData>
    <row r="2" spans="2:33" x14ac:dyDescent="0.4">
      <c r="E2" s="159" t="s">
        <v>45</v>
      </c>
      <c r="F2" s="159"/>
      <c r="G2" s="160" t="s">
        <v>46</v>
      </c>
      <c r="H2" s="160"/>
      <c r="I2" s="160"/>
      <c r="J2" s="160"/>
      <c r="K2" s="160"/>
      <c r="L2" s="160"/>
      <c r="N2" s="161"/>
      <c r="O2" s="161"/>
      <c r="P2" s="91" t="s">
        <v>47</v>
      </c>
      <c r="Q2" s="162" t="s">
        <v>48</v>
      </c>
      <c r="R2" s="162"/>
      <c r="S2" s="162"/>
      <c r="T2" s="157" t="s">
        <v>49</v>
      </c>
      <c r="U2" s="157"/>
      <c r="V2" s="157"/>
      <c r="W2" s="157"/>
      <c r="X2" s="92"/>
      <c r="Y2" s="93" t="s">
        <v>50</v>
      </c>
      <c r="Z2" s="92"/>
      <c r="AA2" s="94" t="s">
        <v>51</v>
      </c>
      <c r="AB2" s="95" t="s">
        <v>52</v>
      </c>
      <c r="AC2" s="96" t="s">
        <v>53</v>
      </c>
      <c r="AD2" s="97"/>
      <c r="AE2" s="97"/>
      <c r="AF2" s="98" t="s">
        <v>54</v>
      </c>
    </row>
    <row r="3" spans="2:33" x14ac:dyDescent="0.4">
      <c r="B3" s="99"/>
    </row>
    <row r="4" spans="2:33" ht="47.4" customHeight="1" thickBot="1" x14ac:dyDescent="0.45">
      <c r="B4" s="158"/>
      <c r="C4" s="158"/>
      <c r="E4" s="102" t="s">
        <v>55</v>
      </c>
      <c r="F4" s="102" t="s">
        <v>56</v>
      </c>
      <c r="G4" s="139" t="s">
        <v>57</v>
      </c>
      <c r="H4" s="104" t="s">
        <v>58</v>
      </c>
      <c r="I4" s="104" t="s">
        <v>59</v>
      </c>
      <c r="J4" s="104" t="s">
        <v>60</v>
      </c>
      <c r="K4" s="104" t="s">
        <v>61</v>
      </c>
      <c r="L4" s="102" t="s">
        <v>62</v>
      </c>
      <c r="M4" s="105" t="s">
        <v>63</v>
      </c>
      <c r="N4" s="102" t="s">
        <v>64</v>
      </c>
      <c r="O4" s="103" t="s">
        <v>65</v>
      </c>
      <c r="P4" s="104" t="s">
        <v>66</v>
      </c>
      <c r="Q4" s="104" t="s">
        <v>67</v>
      </c>
      <c r="R4" s="104" t="s">
        <v>68</v>
      </c>
      <c r="S4" s="104" t="s">
        <v>69</v>
      </c>
      <c r="T4" s="104" t="s">
        <v>70</v>
      </c>
      <c r="U4" s="104" t="s">
        <v>71</v>
      </c>
      <c r="V4" s="104" t="s">
        <v>72</v>
      </c>
      <c r="W4" s="102" t="s">
        <v>73</v>
      </c>
      <c r="X4" s="104" t="s">
        <v>74</v>
      </c>
      <c r="Y4" s="104" t="s">
        <v>50</v>
      </c>
      <c r="Z4" s="104" t="s">
        <v>75</v>
      </c>
      <c r="AA4" s="104" t="s">
        <v>51</v>
      </c>
      <c r="AB4" s="104" t="s">
        <v>52</v>
      </c>
      <c r="AC4" s="104" t="s">
        <v>76</v>
      </c>
      <c r="AD4" s="104" t="s">
        <v>77</v>
      </c>
      <c r="AE4" s="104" t="s">
        <v>78</v>
      </c>
      <c r="AF4" s="105" t="s">
        <v>54</v>
      </c>
    </row>
    <row r="5" spans="2:33" ht="17.399999999999999" thickTop="1" x14ac:dyDescent="0.4">
      <c r="B5" s="106" t="s">
        <v>79</v>
      </c>
      <c r="C5" s="106"/>
      <c r="E5" s="107">
        <v>1</v>
      </c>
      <c r="F5" s="107">
        <v>1</v>
      </c>
      <c r="G5" s="141">
        <v>100000000</v>
      </c>
      <c r="H5" s="141">
        <f>PMT($C$11/12,$C$8,-$C$7)</f>
        <v>1557087.464896587</v>
      </c>
      <c r="I5" s="141">
        <f>($C$11/12)*G5</f>
        <v>1172792.7531724789</v>
      </c>
      <c r="J5" s="141">
        <f>H5-I5</f>
        <v>384294.71172410809</v>
      </c>
      <c r="K5" s="108">
        <f>G5-J5</f>
        <v>99615705.288275898</v>
      </c>
      <c r="L5" s="108">
        <f>G5*(1+$C$11/12)^4</f>
        <v>104774344.71880551</v>
      </c>
      <c r="M5" s="108">
        <f>G5*($C$11-$C$10)/12</f>
        <v>193626.08650581221</v>
      </c>
      <c r="N5" s="108">
        <f>($C$13+$C$14)</f>
        <v>1262500</v>
      </c>
      <c r="O5" s="108">
        <f>SUM(M5:N5)</f>
        <v>1456126.0865058121</v>
      </c>
      <c r="P5" s="108">
        <f>0.4*O5</f>
        <v>582450.43460232485</v>
      </c>
      <c r="Q5" s="100">
        <f>2.68%/12</f>
        <v>2.2333333333333333E-3</v>
      </c>
      <c r="R5" s="100">
        <f>20%</f>
        <v>0.2</v>
      </c>
      <c r="S5" s="108">
        <f>Q5*R5*L5</f>
        <v>46799.207307733122</v>
      </c>
      <c r="T5" s="108">
        <f>L5*($C$22/12)*$C$28</f>
        <v>372472.79547535355</v>
      </c>
      <c r="U5" s="108">
        <f>O5*$C$23</f>
        <v>49474.830545110017</v>
      </c>
      <c r="V5" s="108">
        <f>O5*$C$24</f>
        <v>85526.235515621025</v>
      </c>
      <c r="W5" s="108">
        <f>SUM(T5:V5)</f>
        <v>507473.86153608456</v>
      </c>
      <c r="X5" s="108">
        <f>O5-P5-S5</f>
        <v>826876.44459575415</v>
      </c>
      <c r="Y5" s="108">
        <f>0.27*X5</f>
        <v>223256.64004085364</v>
      </c>
      <c r="Z5" s="108">
        <f>X5-Y5</f>
        <v>603619.8045549005</v>
      </c>
      <c r="AA5" s="108">
        <f>W5*($C$36/12)</f>
        <v>6074.1573440791071</v>
      </c>
      <c r="AB5" s="108">
        <f>Z5-AA5</f>
        <v>597545.64721082139</v>
      </c>
      <c r="AC5" s="109">
        <f>(1+($C$37/12))^-E5</f>
        <v>0.99042508289053799</v>
      </c>
      <c r="AD5" s="108">
        <f>Z5*AC5</f>
        <v>597840.19496065762</v>
      </c>
      <c r="AE5" s="108">
        <f>W5*AC5</f>
        <v>502614.84137665795</v>
      </c>
      <c r="AF5" s="48">
        <f>Z5/W5</f>
        <v>1.1894598920381625</v>
      </c>
      <c r="AG5" s="110"/>
    </row>
    <row r="6" spans="2:33" x14ac:dyDescent="0.4">
      <c r="E6" s="107">
        <v>2</v>
      </c>
      <c r="F6" s="107">
        <v>1</v>
      </c>
      <c r="G6" s="141">
        <f>K5</f>
        <v>99615705.288275898</v>
      </c>
      <c r="H6" s="141">
        <f t="shared" ref="H6:H69" si="0">PMT($C$11/12,$C$8,-$C$7)</f>
        <v>1557087.464896587</v>
      </c>
      <c r="I6" s="141">
        <f t="shared" ref="I6:I69" si="1">($C$11/12)*G6</f>
        <v>1168285.7726425536</v>
      </c>
      <c r="J6" s="141">
        <f t="shared" ref="J6:J69" si="2">H6-I6</f>
        <v>388801.69225403341</v>
      </c>
      <c r="K6" s="108">
        <f t="shared" ref="K6:K69" si="3">G6-J6</f>
        <v>99226903.596021861</v>
      </c>
      <c r="L6" s="108">
        <f t="shared" ref="L6:L69" si="4">G6*(1+$C$11/12)^4</f>
        <v>104371702.45280756</v>
      </c>
      <c r="M6" s="108">
        <f t="shared" ref="M6:M69" si="5">G6*($C$11-$C$10)/12</f>
        <v>192881.99169485204</v>
      </c>
      <c r="N6" s="108">
        <f t="shared" ref="N6:N69" si="6">$C$14</f>
        <v>12500</v>
      </c>
      <c r="O6" s="108">
        <f t="shared" ref="O6:O69" si="7">SUM(M6:N6)</f>
        <v>205381.99169485204</v>
      </c>
      <c r="P6" s="108">
        <f t="shared" ref="P6:P69" si="8">0.4*O6</f>
        <v>82152.796677940816</v>
      </c>
      <c r="Q6" s="100">
        <f t="shared" ref="Q6:Q69" si="9">2.68%/12</f>
        <v>2.2333333333333333E-3</v>
      </c>
      <c r="R6" s="100">
        <f>20%</f>
        <v>0.2</v>
      </c>
      <c r="S6" s="108">
        <f t="shared" ref="S6:S69" si="10">Q6*R6*L6</f>
        <v>46619.360428920707</v>
      </c>
      <c r="T6" s="108">
        <f t="shared" ref="T6:T69" si="11">L6*($C$22/12)*$C$28</f>
        <v>371041.4022197309</v>
      </c>
      <c r="U6" s="108">
        <f t="shared" ref="U6:U69" si="12">O6*$C$23</f>
        <v>6978.2687984825407</v>
      </c>
      <c r="V6" s="108">
        <f t="shared" ref="V6:V69" si="13">O6*$C$24</f>
        <v>12063.205758858661</v>
      </c>
      <c r="W6" s="108">
        <f t="shared" ref="W6:W69" si="14">SUM(T6:V6)</f>
        <v>390082.87677707209</v>
      </c>
      <c r="X6" s="108">
        <f t="shared" ref="X6:X69" si="15">O6-P6-S6</f>
        <v>76609.83458799051</v>
      </c>
      <c r="Y6" s="108">
        <f t="shared" ref="Y6:Y69" si="16">0.27*X6</f>
        <v>20684.655338757439</v>
      </c>
      <c r="Z6" s="108">
        <f t="shared" ref="Z6:Z69" si="17">X6-Y6</f>
        <v>55925.179249233071</v>
      </c>
      <c r="AA6" s="108">
        <f t="shared" ref="AA6:AA69" si="18">W6*($C$36/12)</f>
        <v>4669.0577591580586</v>
      </c>
      <c r="AB6" s="108">
        <f t="shared" ref="AB6:AB69" si="19">Z6-AA6</f>
        <v>51256.121490075013</v>
      </c>
      <c r="AC6" s="109">
        <f t="shared" ref="AC6:AC69" si="20">(1+($C$37/12))^-E6</f>
        <v>0.98094184481872915</v>
      </c>
      <c r="AD6" s="108">
        <f t="shared" ref="AD6:AD69" si="21">Z6*AC6</f>
        <v>54859.348504560796</v>
      </c>
      <c r="AE6" s="108">
        <f t="shared" ref="AE6:AE69" si="22">W6*AC6</f>
        <v>382648.6167778981</v>
      </c>
      <c r="AF6" s="48">
        <f t="shared" ref="AF6:AF69" si="23">Z6/W6</f>
        <v>0.14336742927886495</v>
      </c>
      <c r="AG6" s="110"/>
    </row>
    <row r="7" spans="2:33" x14ac:dyDescent="0.4">
      <c r="B7" s="111" t="s">
        <v>80</v>
      </c>
      <c r="C7" s="142">
        <v>100000000</v>
      </c>
      <c r="E7" s="107">
        <v>3</v>
      </c>
      <c r="F7" s="107">
        <v>1</v>
      </c>
      <c r="G7" s="141">
        <f t="shared" ref="G7:G70" si="24">K6</f>
        <v>99226903.596021861</v>
      </c>
      <c r="H7" s="141">
        <f t="shared" si="0"/>
        <v>1557087.464896587</v>
      </c>
      <c r="I7" s="141">
        <f t="shared" si="1"/>
        <v>1163725.9345715861</v>
      </c>
      <c r="J7" s="141">
        <f t="shared" si="2"/>
        <v>393361.53032500087</v>
      </c>
      <c r="K7" s="108">
        <f t="shared" si="3"/>
        <v>98833542.065696865</v>
      </c>
      <c r="L7" s="108">
        <f t="shared" si="4"/>
        <v>103964338.02749276</v>
      </c>
      <c r="M7" s="108">
        <f t="shared" si="5"/>
        <v>192129.17019387218</v>
      </c>
      <c r="N7" s="108">
        <f t="shared" si="6"/>
        <v>12500</v>
      </c>
      <c r="O7" s="108">
        <f t="shared" si="7"/>
        <v>204629.17019387218</v>
      </c>
      <c r="P7" s="108">
        <f t="shared" si="8"/>
        <v>81851.668077548879</v>
      </c>
      <c r="Q7" s="100">
        <f t="shared" si="9"/>
        <v>2.2333333333333333E-3</v>
      </c>
      <c r="R7" s="100">
        <f>20%</f>
        <v>0.2</v>
      </c>
      <c r="S7" s="108">
        <f t="shared" si="10"/>
        <v>46437.404318946763</v>
      </c>
      <c r="T7" s="108">
        <f t="shared" si="11"/>
        <v>369593.22168773675</v>
      </c>
      <c r="U7" s="108">
        <f t="shared" si="12"/>
        <v>6952.6901645051285</v>
      </c>
      <c r="V7" s="108">
        <f t="shared" si="13"/>
        <v>12018.988441697253</v>
      </c>
      <c r="W7" s="108">
        <f t="shared" si="14"/>
        <v>388564.90029393916</v>
      </c>
      <c r="X7" s="108">
        <f t="shared" si="15"/>
        <v>76340.09779737654</v>
      </c>
      <c r="Y7" s="108">
        <f t="shared" si="16"/>
        <v>20611.826405291667</v>
      </c>
      <c r="Z7" s="108">
        <f t="shared" si="17"/>
        <v>55728.271392084876</v>
      </c>
      <c r="AA7" s="108">
        <f t="shared" si="18"/>
        <v>4650.8884923208434</v>
      </c>
      <c r="AB7" s="108">
        <f t="shared" si="19"/>
        <v>51077.38289976403</v>
      </c>
      <c r="AC7" s="109">
        <f t="shared" si="20"/>
        <v>0.97154940796538714</v>
      </c>
      <c r="AD7" s="108">
        <f t="shared" si="21"/>
        <v>54142.769077914483</v>
      </c>
      <c r="AE7" s="108">
        <f t="shared" si="22"/>
        <v>377509.99883670628</v>
      </c>
      <c r="AF7" s="48">
        <f t="shared" si="23"/>
        <v>0.14342075506544183</v>
      </c>
      <c r="AG7" s="110"/>
    </row>
    <row r="8" spans="2:33" x14ac:dyDescent="0.4">
      <c r="B8" s="111" t="s">
        <v>81</v>
      </c>
      <c r="C8" s="112">
        <v>120</v>
      </c>
      <c r="E8" s="107">
        <v>4</v>
      </c>
      <c r="F8" s="107">
        <v>1</v>
      </c>
      <c r="G8" s="141">
        <f t="shared" si="24"/>
        <v>98833542.065696865</v>
      </c>
      <c r="H8" s="141">
        <f t="shared" si="0"/>
        <v>1557087.464896587</v>
      </c>
      <c r="I8" s="141">
        <f t="shared" si="1"/>
        <v>1159112.6190501663</v>
      </c>
      <c r="J8" s="141">
        <f t="shared" si="2"/>
        <v>397974.84584642062</v>
      </c>
      <c r="K8" s="108">
        <f t="shared" si="3"/>
        <v>98435567.219850451</v>
      </c>
      <c r="L8" s="108">
        <f t="shared" si="4"/>
        <v>103552196.06171888</v>
      </c>
      <c r="M8" s="108">
        <f t="shared" si="5"/>
        <v>191367.51965688451</v>
      </c>
      <c r="N8" s="108">
        <f t="shared" si="6"/>
        <v>12500</v>
      </c>
      <c r="O8" s="108">
        <f t="shared" si="7"/>
        <v>203867.51965688451</v>
      </c>
      <c r="P8" s="108">
        <f t="shared" si="8"/>
        <v>81547.007862753817</v>
      </c>
      <c r="Q8" s="100">
        <f t="shared" si="9"/>
        <v>2.2333333333333333E-3</v>
      </c>
      <c r="R8" s="100">
        <f>20%</f>
        <v>0.2</v>
      </c>
      <c r="S8" s="108">
        <f t="shared" si="10"/>
        <v>46253.314240901098</v>
      </c>
      <c r="T8" s="108">
        <f t="shared" si="11"/>
        <v>368128.05699941062</v>
      </c>
      <c r="U8" s="108">
        <f t="shared" si="12"/>
        <v>6926.8115461620691</v>
      </c>
      <c r="V8" s="108">
        <f t="shared" si="13"/>
        <v>11974.252547044529</v>
      </c>
      <c r="W8" s="108">
        <f t="shared" si="14"/>
        <v>387029.12109261722</v>
      </c>
      <c r="X8" s="108">
        <f t="shared" si="15"/>
        <v>76067.197553229606</v>
      </c>
      <c r="Y8" s="108">
        <f t="shared" si="16"/>
        <v>20538.143339371996</v>
      </c>
      <c r="Z8" s="108">
        <f t="shared" si="17"/>
        <v>55529.054213857613</v>
      </c>
      <c r="AA8" s="108">
        <f t="shared" si="18"/>
        <v>4632.5061376388567</v>
      </c>
      <c r="AB8" s="108">
        <f t="shared" si="19"/>
        <v>50896.548076218758</v>
      </c>
      <c r="AC8" s="109">
        <f t="shared" si="20"/>
        <v>0.9622469029163716</v>
      </c>
      <c r="AD8" s="108">
        <f t="shared" si="21"/>
        <v>53432.660439159779</v>
      </c>
      <c r="AE8" s="108">
        <f t="shared" si="22"/>
        <v>372417.57310981629</v>
      </c>
      <c r="AF8" s="48">
        <f t="shared" si="23"/>
        <v>0.14347513194121986</v>
      </c>
      <c r="AG8" s="110"/>
    </row>
    <row r="9" spans="2:33" x14ac:dyDescent="0.4">
      <c r="B9" s="111" t="s">
        <v>82</v>
      </c>
      <c r="C9" s="112"/>
      <c r="E9" s="107">
        <v>5</v>
      </c>
      <c r="F9" s="107">
        <v>1</v>
      </c>
      <c r="G9" s="141">
        <f t="shared" si="24"/>
        <v>98435567.219850451</v>
      </c>
      <c r="H9" s="141">
        <f t="shared" si="0"/>
        <v>1557087.464896587</v>
      </c>
      <c r="I9" s="141">
        <f t="shared" si="1"/>
        <v>1154445.1988986302</v>
      </c>
      <c r="J9" s="141">
        <f t="shared" si="2"/>
        <v>402642.26599795674</v>
      </c>
      <c r="K9" s="108">
        <f t="shared" si="3"/>
        <v>98032924.95385249</v>
      </c>
      <c r="L9" s="108">
        <f t="shared" si="4"/>
        <v>103135220.52483763</v>
      </c>
      <c r="M9" s="108">
        <f t="shared" si="5"/>
        <v>190596.93653759456</v>
      </c>
      <c r="N9" s="108">
        <f t="shared" si="6"/>
        <v>12500</v>
      </c>
      <c r="O9" s="108">
        <f t="shared" si="7"/>
        <v>203096.93653759456</v>
      </c>
      <c r="P9" s="108">
        <f t="shared" si="8"/>
        <v>81238.774615037837</v>
      </c>
      <c r="Q9" s="100">
        <f t="shared" si="9"/>
        <v>2.2333333333333333E-3</v>
      </c>
      <c r="R9" s="100">
        <f>20%</f>
        <v>0.2</v>
      </c>
      <c r="S9" s="108">
        <f t="shared" si="10"/>
        <v>46067.065167760804</v>
      </c>
      <c r="T9" s="108">
        <f t="shared" si="11"/>
        <v>366645.70896579773</v>
      </c>
      <c r="U9" s="108">
        <f t="shared" si="12"/>
        <v>6900.6294252584612</v>
      </c>
      <c r="V9" s="108">
        <f t="shared" si="13"/>
        <v>11928.991993061252</v>
      </c>
      <c r="W9" s="108">
        <f t="shared" si="14"/>
        <v>385475.33038411743</v>
      </c>
      <c r="X9" s="108">
        <f t="shared" si="15"/>
        <v>75791.09675479593</v>
      </c>
      <c r="Y9" s="108">
        <f t="shared" si="16"/>
        <v>20463.596123794901</v>
      </c>
      <c r="Z9" s="108">
        <f t="shared" si="17"/>
        <v>55327.500631001029</v>
      </c>
      <c r="AA9" s="108">
        <f t="shared" si="18"/>
        <v>4613.9081960332969</v>
      </c>
      <c r="AB9" s="108">
        <f t="shared" si="19"/>
        <v>50713.59243496773</v>
      </c>
      <c r="AC9" s="109">
        <f t="shared" si="20"/>
        <v>0.9530334685821108</v>
      </c>
      <c r="AD9" s="108">
        <f t="shared" si="21"/>
        <v>52728.959834341833</v>
      </c>
      <c r="AE9" s="108">
        <f t="shared" si="22"/>
        <v>367370.89116881054</v>
      </c>
      <c r="AF9" s="48">
        <f t="shared" si="23"/>
        <v>0.1435305874849849</v>
      </c>
      <c r="AG9" s="110"/>
    </row>
    <row r="10" spans="2:33" x14ac:dyDescent="0.4">
      <c r="B10" s="111" t="s">
        <v>83</v>
      </c>
      <c r="C10" s="140">
        <v>0.11749999999999999</v>
      </c>
      <c r="E10" s="107">
        <v>6</v>
      </c>
      <c r="F10" s="107">
        <v>1</v>
      </c>
      <c r="G10" s="141">
        <f t="shared" si="24"/>
        <v>98032924.95385249</v>
      </c>
      <c r="H10" s="141">
        <f t="shared" si="0"/>
        <v>1557087.464896587</v>
      </c>
      <c r="I10" s="141">
        <f t="shared" si="1"/>
        <v>1149723.0395817966</v>
      </c>
      <c r="J10" s="141">
        <f t="shared" si="2"/>
        <v>407364.42531479034</v>
      </c>
      <c r="K10" s="108">
        <f t="shared" si="3"/>
        <v>97625560.528537706</v>
      </c>
      <c r="L10" s="108">
        <f t="shared" si="4"/>
        <v>102713354.72907732</v>
      </c>
      <c r="M10" s="108">
        <f t="shared" si="5"/>
        <v>189817.3160753244</v>
      </c>
      <c r="N10" s="108">
        <f t="shared" si="6"/>
        <v>12500</v>
      </c>
      <c r="O10" s="108">
        <f t="shared" si="7"/>
        <v>202317.3160753244</v>
      </c>
      <c r="P10" s="108">
        <f t="shared" si="8"/>
        <v>80926.926430129766</v>
      </c>
      <c r="Q10" s="100">
        <f t="shared" si="9"/>
        <v>2.2333333333333333E-3</v>
      </c>
      <c r="R10" s="100">
        <f>20%</f>
        <v>0.2</v>
      </c>
      <c r="S10" s="108">
        <f t="shared" si="10"/>
        <v>45878.631778987874</v>
      </c>
      <c r="T10" s="108">
        <f t="shared" si="11"/>
        <v>365145.97606186982</v>
      </c>
      <c r="U10" s="108">
        <f t="shared" si="12"/>
        <v>6874.1402423382688</v>
      </c>
      <c r="V10" s="108">
        <f t="shared" si="13"/>
        <v>11883.200626580814</v>
      </c>
      <c r="W10" s="108">
        <f t="shared" si="14"/>
        <v>383903.31693078892</v>
      </c>
      <c r="X10" s="108">
        <f t="shared" si="15"/>
        <v>75511.757866206754</v>
      </c>
      <c r="Y10" s="108">
        <f t="shared" si="16"/>
        <v>20388.174623875824</v>
      </c>
      <c r="Z10" s="108">
        <f t="shared" si="17"/>
        <v>55123.583242330933</v>
      </c>
      <c r="AA10" s="108">
        <f t="shared" si="18"/>
        <v>4595.0921391163483</v>
      </c>
      <c r="AB10" s="108">
        <f t="shared" si="19"/>
        <v>50528.491103214583</v>
      </c>
      <c r="AC10" s="109">
        <f t="shared" si="20"/>
        <v>0.94390825211789409</v>
      </c>
      <c r="AD10" s="108">
        <f t="shared" si="21"/>
        <v>52031.605108743825</v>
      </c>
      <c r="AE10" s="108">
        <f t="shared" si="22"/>
        <v>362369.5088664029</v>
      </c>
      <c r="AF10" s="48">
        <f t="shared" si="23"/>
        <v>0.14358715023102744</v>
      </c>
      <c r="AG10" s="110"/>
    </row>
    <row r="11" spans="2:33" x14ac:dyDescent="0.4">
      <c r="B11" s="111" t="s">
        <v>84</v>
      </c>
      <c r="C11" s="140">
        <v>0.14073513038069746</v>
      </c>
      <c r="E11" s="107">
        <v>7</v>
      </c>
      <c r="F11" s="107">
        <v>1</v>
      </c>
      <c r="G11" s="141">
        <f t="shared" si="24"/>
        <v>97625560.528537706</v>
      </c>
      <c r="H11" s="141">
        <f t="shared" si="0"/>
        <v>1557087.464896587</v>
      </c>
      <c r="I11" s="141">
        <f t="shared" si="1"/>
        <v>1144945.4991227021</v>
      </c>
      <c r="J11" s="141">
        <f t="shared" si="2"/>
        <v>412141.96577388491</v>
      </c>
      <c r="K11" s="108">
        <f t="shared" si="3"/>
        <v>97213418.562763825</v>
      </c>
      <c r="L11" s="108">
        <f t="shared" si="4"/>
        <v>102286541.32183622</v>
      </c>
      <c r="M11" s="108">
        <f t="shared" si="5"/>
        <v>189028.5522807705</v>
      </c>
      <c r="N11" s="108">
        <f t="shared" si="6"/>
        <v>12500</v>
      </c>
      <c r="O11" s="108">
        <f t="shared" si="7"/>
        <v>201528.5522807705</v>
      </c>
      <c r="P11" s="108">
        <f t="shared" si="8"/>
        <v>80611.420912308211</v>
      </c>
      <c r="Q11" s="100">
        <f t="shared" si="9"/>
        <v>2.2333333333333333E-3</v>
      </c>
      <c r="R11" s="100">
        <f>20%</f>
        <v>0.2</v>
      </c>
      <c r="S11" s="108">
        <f t="shared" si="10"/>
        <v>45687.988457086845</v>
      </c>
      <c r="T11" s="108">
        <f t="shared" si="11"/>
        <v>363628.6543991277</v>
      </c>
      <c r="U11" s="108">
        <f t="shared" si="12"/>
        <v>6847.340396200414</v>
      </c>
      <c r="V11" s="108">
        <f t="shared" si="13"/>
        <v>11836.872222272714</v>
      </c>
      <c r="W11" s="108">
        <f t="shared" si="14"/>
        <v>382312.86701760086</v>
      </c>
      <c r="X11" s="108">
        <f t="shared" si="15"/>
        <v>75229.142911375442</v>
      </c>
      <c r="Y11" s="108">
        <f t="shared" si="16"/>
        <v>20311.86858607137</v>
      </c>
      <c r="Z11" s="108">
        <f t="shared" si="17"/>
        <v>54917.274325304068</v>
      </c>
      <c r="AA11" s="108">
        <f t="shared" si="18"/>
        <v>4576.0554088474455</v>
      </c>
      <c r="AB11" s="108">
        <f t="shared" si="19"/>
        <v>50341.218916456623</v>
      </c>
      <c r="AC11" s="109">
        <f t="shared" si="20"/>
        <v>0.93487040884492822</v>
      </c>
      <c r="AD11" s="108">
        <f t="shared" si="21"/>
        <v>51340.534701146091</v>
      </c>
      <c r="AE11" s="108">
        <f t="shared" si="22"/>
        <v>357412.9862954212</v>
      </c>
      <c r="AF11" s="48">
        <f t="shared" si="23"/>
        <v>0.14364484971094577</v>
      </c>
      <c r="AG11" s="110"/>
    </row>
    <row r="12" spans="2:33" x14ac:dyDescent="0.4">
      <c r="E12" s="107">
        <v>8</v>
      </c>
      <c r="F12" s="107">
        <v>1</v>
      </c>
      <c r="G12" s="141">
        <f t="shared" si="24"/>
        <v>97213418.562763825</v>
      </c>
      <c r="H12" s="141">
        <f t="shared" si="0"/>
        <v>1557087.464896587</v>
      </c>
      <c r="I12" s="141">
        <f t="shared" si="1"/>
        <v>1140111.9280153234</v>
      </c>
      <c r="J12" s="141">
        <f t="shared" si="2"/>
        <v>416975.5368812636</v>
      </c>
      <c r="K12" s="108">
        <f t="shared" si="3"/>
        <v>96796443.025882557</v>
      </c>
      <c r="L12" s="108">
        <f t="shared" si="4"/>
        <v>101854722.27788544</v>
      </c>
      <c r="M12" s="108">
        <f t="shared" si="5"/>
        <v>188230.53792159437</v>
      </c>
      <c r="N12" s="108">
        <f t="shared" si="6"/>
        <v>12500</v>
      </c>
      <c r="O12" s="108">
        <f t="shared" si="7"/>
        <v>200730.53792159437</v>
      </c>
      <c r="P12" s="108">
        <f t="shared" si="8"/>
        <v>80292.215168637747</v>
      </c>
      <c r="Q12" s="100">
        <f t="shared" si="9"/>
        <v>2.2333333333333333E-3</v>
      </c>
      <c r="R12" s="100">
        <f>20%</f>
        <v>0.2</v>
      </c>
      <c r="S12" s="108">
        <f t="shared" si="10"/>
        <v>45495.109284122162</v>
      </c>
      <c r="T12" s="108">
        <f t="shared" si="11"/>
        <v>362093.53769788268</v>
      </c>
      <c r="U12" s="108">
        <f t="shared" si="12"/>
        <v>6820.2262434091917</v>
      </c>
      <c r="V12" s="108">
        <f t="shared" si="13"/>
        <v>11790.000481796225</v>
      </c>
      <c r="W12" s="108">
        <f t="shared" si="14"/>
        <v>380703.76442308811</v>
      </c>
      <c r="X12" s="108">
        <f t="shared" si="15"/>
        <v>74943.213468834467</v>
      </c>
      <c r="Y12" s="108">
        <f t="shared" si="16"/>
        <v>20234.667636585309</v>
      </c>
      <c r="Z12" s="108">
        <f t="shared" si="17"/>
        <v>54708.545832249161</v>
      </c>
      <c r="AA12" s="108">
        <f t="shared" si="18"/>
        <v>4556.7954171855072</v>
      </c>
      <c r="AB12" s="108">
        <f t="shared" si="19"/>
        <v>50151.750415063652</v>
      </c>
      <c r="AC12" s="109">
        <f t="shared" si="20"/>
        <v>0.92591910217214912</v>
      </c>
      <c r="AD12" s="108">
        <f t="shared" si="21"/>
        <v>50655.687638140014</v>
      </c>
      <c r="AE12" s="108">
        <f t="shared" si="22"/>
        <v>352500.8877481831</v>
      </c>
      <c r="AF12" s="48">
        <f t="shared" si="23"/>
        <v>0.14370371649766464</v>
      </c>
      <c r="AG12" s="110"/>
    </row>
    <row r="13" spans="2:33" x14ac:dyDescent="0.4">
      <c r="B13" s="111" t="s">
        <v>85</v>
      </c>
      <c r="C13" s="142">
        <v>1250000</v>
      </c>
      <c r="E13" s="107">
        <v>9</v>
      </c>
      <c r="F13" s="107">
        <v>1</v>
      </c>
      <c r="G13" s="141">
        <f t="shared" si="24"/>
        <v>96796443.025882557</v>
      </c>
      <c r="H13" s="141">
        <f t="shared" si="0"/>
        <v>1557087.464896587</v>
      </c>
      <c r="I13" s="141">
        <f t="shared" si="1"/>
        <v>1135221.6691362779</v>
      </c>
      <c r="J13" s="141">
        <f t="shared" si="2"/>
        <v>421865.79576030909</v>
      </c>
      <c r="K13" s="108">
        <f t="shared" si="3"/>
        <v>96374577.230122253</v>
      </c>
      <c r="L13" s="108">
        <f t="shared" si="4"/>
        <v>101417838.89148037</v>
      </c>
      <c r="M13" s="108">
        <f t="shared" si="5"/>
        <v>187423.1645078446</v>
      </c>
      <c r="N13" s="108">
        <f t="shared" si="6"/>
        <v>12500</v>
      </c>
      <c r="O13" s="108">
        <f t="shared" si="7"/>
        <v>199923.1645078446</v>
      </c>
      <c r="P13" s="108">
        <f t="shared" si="8"/>
        <v>79969.265803137852</v>
      </c>
      <c r="Q13" s="100">
        <f t="shared" si="9"/>
        <v>2.2333333333333333E-3</v>
      </c>
      <c r="R13" s="100">
        <f>20%</f>
        <v>0.2</v>
      </c>
      <c r="S13" s="108">
        <f t="shared" si="10"/>
        <v>45299.968038194565</v>
      </c>
      <c r="T13" s="108">
        <f t="shared" si="11"/>
        <v>360540.4172592127</v>
      </c>
      <c r="U13" s="108">
        <f t="shared" si="12"/>
        <v>6792.794097798951</v>
      </c>
      <c r="V13" s="108">
        <f t="shared" si="13"/>
        <v>11742.579032944146</v>
      </c>
      <c r="W13" s="108">
        <f t="shared" si="14"/>
        <v>379075.7903899558</v>
      </c>
      <c r="X13" s="108">
        <f t="shared" si="15"/>
        <v>74653.930666512184</v>
      </c>
      <c r="Y13" s="108">
        <f t="shared" si="16"/>
        <v>20156.561279958292</v>
      </c>
      <c r="Z13" s="108">
        <f t="shared" si="17"/>
        <v>54497.369386553895</v>
      </c>
      <c r="AA13" s="108">
        <f t="shared" si="18"/>
        <v>4537.3095457370973</v>
      </c>
      <c r="AB13" s="108">
        <f t="shared" si="19"/>
        <v>49960.059840816801</v>
      </c>
      <c r="AC13" s="109">
        <f t="shared" si="20"/>
        <v>0.91705350351878334</v>
      </c>
      <c r="AD13" s="108">
        <f t="shared" si="21"/>
        <v>49977.003528496542</v>
      </c>
      <c r="AE13" s="108">
        <f t="shared" si="22"/>
        <v>347632.78167626093</v>
      </c>
      <c r="AF13" s="48">
        <f t="shared" si="23"/>
        <v>0.14376378225180875</v>
      </c>
      <c r="AG13" s="110"/>
    </row>
    <row r="14" spans="2:33" x14ac:dyDescent="0.4">
      <c r="B14" s="111" t="s">
        <v>86</v>
      </c>
      <c r="C14" s="142">
        <v>12500</v>
      </c>
      <c r="E14" s="107">
        <v>10</v>
      </c>
      <c r="F14" s="107">
        <v>1</v>
      </c>
      <c r="G14" s="141">
        <f t="shared" si="24"/>
        <v>96374577.230122253</v>
      </c>
      <c r="H14" s="141">
        <f t="shared" si="0"/>
        <v>1557087.464896587</v>
      </c>
      <c r="I14" s="141">
        <f t="shared" si="1"/>
        <v>1130274.0576554877</v>
      </c>
      <c r="J14" s="141">
        <f t="shared" si="2"/>
        <v>426813.40724109928</v>
      </c>
      <c r="K14" s="108">
        <f t="shared" si="3"/>
        <v>95947763.822881147</v>
      </c>
      <c r="L14" s="108">
        <f t="shared" si="4"/>
        <v>100975831.76837973</v>
      </c>
      <c r="M14" s="108">
        <f t="shared" si="5"/>
        <v>186606.32227720731</v>
      </c>
      <c r="N14" s="108">
        <f t="shared" si="6"/>
        <v>12500</v>
      </c>
      <c r="O14" s="108">
        <f t="shared" si="7"/>
        <v>199106.32227720731</v>
      </c>
      <c r="P14" s="108">
        <f t="shared" si="8"/>
        <v>79642.528910882931</v>
      </c>
      <c r="Q14" s="100">
        <f t="shared" si="9"/>
        <v>2.2333333333333333E-3</v>
      </c>
      <c r="R14" s="100">
        <f>20%</f>
        <v>0.2</v>
      </c>
      <c r="S14" s="108">
        <f t="shared" si="10"/>
        <v>45102.538189876279</v>
      </c>
      <c r="T14" s="108">
        <f t="shared" si="11"/>
        <v>358969.08193658991</v>
      </c>
      <c r="U14" s="108">
        <f t="shared" si="12"/>
        <v>6765.0402299729531</v>
      </c>
      <c r="V14" s="108">
        <f t="shared" si="13"/>
        <v>11694.601428776479</v>
      </c>
      <c r="W14" s="108">
        <f t="shared" si="14"/>
        <v>377428.72359533934</v>
      </c>
      <c r="X14" s="108">
        <f t="shared" si="15"/>
        <v>74361.255176448089</v>
      </c>
      <c r="Y14" s="108">
        <f t="shared" si="16"/>
        <v>20077.538897640985</v>
      </c>
      <c r="Z14" s="108">
        <f t="shared" si="17"/>
        <v>54283.7162788071</v>
      </c>
      <c r="AA14" s="108">
        <f t="shared" si="18"/>
        <v>4517.5951454004462</v>
      </c>
      <c r="AB14" s="108">
        <f t="shared" si="19"/>
        <v>49766.121133406654</v>
      </c>
      <c r="AC14" s="109">
        <f t="shared" si="20"/>
        <v>0.90827279223764934</v>
      </c>
      <c r="AD14" s="108">
        <f t="shared" si="21"/>
        <v>49304.422557588463</v>
      </c>
      <c r="AE14" s="108">
        <f t="shared" si="22"/>
        <v>342808.24065063085</v>
      </c>
      <c r="AF14" s="48">
        <f t="shared" si="23"/>
        <v>0.14382507977057796</v>
      </c>
      <c r="AG14" s="110"/>
    </row>
    <row r="15" spans="2:33" x14ac:dyDescent="0.4">
      <c r="E15" s="107">
        <v>11</v>
      </c>
      <c r="F15" s="107">
        <v>1</v>
      </c>
      <c r="G15" s="141">
        <f t="shared" si="24"/>
        <v>95947763.822881147</v>
      </c>
      <c r="H15" s="141">
        <f t="shared" si="0"/>
        <v>1557087.464896587</v>
      </c>
      <c r="I15" s="141">
        <f t="shared" si="1"/>
        <v>1125268.4209457955</v>
      </c>
      <c r="J15" s="141">
        <f t="shared" si="2"/>
        <v>431819.04395079147</v>
      </c>
      <c r="K15" s="108">
        <f t="shared" si="3"/>
        <v>95515944.778930351</v>
      </c>
      <c r="L15" s="108">
        <f t="shared" si="4"/>
        <v>100528640.81777085</v>
      </c>
      <c r="M15" s="108">
        <f t="shared" si="5"/>
        <v>185779.90018008425</v>
      </c>
      <c r="N15" s="108">
        <f t="shared" si="6"/>
        <v>12500</v>
      </c>
      <c r="O15" s="108">
        <f t="shared" si="7"/>
        <v>198279.90018008425</v>
      </c>
      <c r="P15" s="108">
        <f t="shared" si="8"/>
        <v>79311.960072033704</v>
      </c>
      <c r="Q15" s="100">
        <f t="shared" si="9"/>
        <v>2.2333333333333333E-3</v>
      </c>
      <c r="R15" s="100">
        <f>20%</f>
        <v>0.2</v>
      </c>
      <c r="S15" s="108">
        <f t="shared" si="10"/>
        <v>44902.792898604312</v>
      </c>
      <c r="T15" s="108">
        <f t="shared" si="11"/>
        <v>357379.31810717535</v>
      </c>
      <c r="U15" s="108">
        <f t="shared" si="12"/>
        <v>6736.9608667963676</v>
      </c>
      <c r="V15" s="108">
        <f t="shared" si="13"/>
        <v>11646.061146743989</v>
      </c>
      <c r="W15" s="108">
        <f t="shared" si="14"/>
        <v>375762.34012071573</v>
      </c>
      <c r="X15" s="108">
        <f t="shared" si="15"/>
        <v>74065.147209446237</v>
      </c>
      <c r="Y15" s="108">
        <f t="shared" si="16"/>
        <v>19997.589746550486</v>
      </c>
      <c r="Z15" s="108">
        <f t="shared" si="17"/>
        <v>54067.557462895755</v>
      </c>
      <c r="AA15" s="108">
        <f t="shared" si="18"/>
        <v>4497.6495360053159</v>
      </c>
      <c r="AB15" s="108">
        <f t="shared" si="19"/>
        <v>49569.907926890439</v>
      </c>
      <c r="AC15" s="109">
        <f t="shared" si="20"/>
        <v>0.89957615553919423</v>
      </c>
      <c r="AD15" s="108">
        <f t="shared" si="21"/>
        <v>48637.885481866237</v>
      </c>
      <c r="AE15" s="108">
        <f t="shared" si="22"/>
        <v>338026.84132220456</v>
      </c>
      <c r="AF15" s="48">
        <f t="shared" si="23"/>
        <v>0.1438876430392845</v>
      </c>
      <c r="AG15" s="110"/>
    </row>
    <row r="16" spans="2:33" x14ac:dyDescent="0.4">
      <c r="B16" s="106" t="s">
        <v>87</v>
      </c>
      <c r="C16" s="106"/>
      <c r="E16" s="107">
        <v>12</v>
      </c>
      <c r="F16" s="107">
        <v>1</v>
      </c>
      <c r="G16" s="141">
        <f t="shared" si="24"/>
        <v>95515944.778930351</v>
      </c>
      <c r="H16" s="141">
        <f t="shared" si="0"/>
        <v>1557087.464896587</v>
      </c>
      <c r="I16" s="141">
        <f t="shared" si="1"/>
        <v>1120204.0784915218</v>
      </c>
      <c r="J16" s="141">
        <f t="shared" si="2"/>
        <v>436883.38640506519</v>
      </c>
      <c r="K16" s="108">
        <f t="shared" si="3"/>
        <v>95079061.392525285</v>
      </c>
      <c r="L16" s="108">
        <f t="shared" si="4"/>
        <v>100076205.24410041</v>
      </c>
      <c r="M16" s="108">
        <f t="shared" si="5"/>
        <v>184943.78586449553</v>
      </c>
      <c r="N16" s="108">
        <f t="shared" si="6"/>
        <v>12500</v>
      </c>
      <c r="O16" s="108">
        <f t="shared" si="7"/>
        <v>197443.78586449553</v>
      </c>
      <c r="P16" s="108">
        <f t="shared" si="8"/>
        <v>78977.514345798219</v>
      </c>
      <c r="Q16" s="100">
        <f t="shared" si="9"/>
        <v>2.2333333333333333E-3</v>
      </c>
      <c r="R16" s="100">
        <f>20%</f>
        <v>0.2</v>
      </c>
      <c r="S16" s="108">
        <f t="shared" si="10"/>
        <v>44700.705009031517</v>
      </c>
      <c r="T16" s="108">
        <f t="shared" si="11"/>
        <v>355770.90964277694</v>
      </c>
      <c r="U16" s="108">
        <f t="shared" si="12"/>
        <v>6708.5521908833098</v>
      </c>
      <c r="V16" s="108">
        <f t="shared" si="13"/>
        <v>11596.95158780145</v>
      </c>
      <c r="W16" s="108">
        <f t="shared" si="14"/>
        <v>374076.41342146171</v>
      </c>
      <c r="X16" s="108">
        <f t="shared" si="15"/>
        <v>73765.56650966579</v>
      </c>
      <c r="Y16" s="108">
        <f t="shared" si="16"/>
        <v>19916.702957609763</v>
      </c>
      <c r="Z16" s="108">
        <f t="shared" si="17"/>
        <v>53848.863552056027</v>
      </c>
      <c r="AA16" s="108">
        <f t="shared" si="18"/>
        <v>4477.470005948624</v>
      </c>
      <c r="AB16" s="108">
        <f t="shared" si="19"/>
        <v>49371.3935461074</v>
      </c>
      <c r="AC16" s="109">
        <f t="shared" si="20"/>
        <v>0.89096278841625787</v>
      </c>
      <c r="AD16" s="108">
        <f t="shared" si="21"/>
        <v>47977.333623386432</v>
      </c>
      <c r="AE16" s="108">
        <f t="shared" si="22"/>
        <v>333288.16438273841</v>
      </c>
      <c r="AF16" s="48">
        <f t="shared" si="23"/>
        <v>0.14395150728572126</v>
      </c>
      <c r="AG16" s="110"/>
    </row>
    <row r="17" spans="2:33" x14ac:dyDescent="0.4">
      <c r="E17" s="107">
        <v>13</v>
      </c>
      <c r="F17" s="107">
        <v>2</v>
      </c>
      <c r="G17" s="141">
        <f t="shared" si="24"/>
        <v>95079061.392525285</v>
      </c>
      <c r="H17" s="141">
        <f t="shared" si="0"/>
        <v>1557087.464896587</v>
      </c>
      <c r="I17" s="141">
        <f t="shared" si="1"/>
        <v>1115080.3417959488</v>
      </c>
      <c r="J17" s="141">
        <f t="shared" si="2"/>
        <v>442007.12310063816</v>
      </c>
      <c r="K17" s="108">
        <f t="shared" si="3"/>
        <v>94637054.269424647</v>
      </c>
      <c r="L17" s="108">
        <f t="shared" si="4"/>
        <v>99618463.538809165</v>
      </c>
      <c r="M17" s="108">
        <f t="shared" si="5"/>
        <v>184097.86566080534</v>
      </c>
      <c r="N17" s="108">
        <f t="shared" si="6"/>
        <v>12500</v>
      </c>
      <c r="O17" s="108">
        <f t="shared" si="7"/>
        <v>196597.86566080534</v>
      </c>
      <c r="P17" s="108">
        <f t="shared" si="8"/>
        <v>78639.146264322146</v>
      </c>
      <c r="Q17" s="100">
        <f t="shared" si="9"/>
        <v>2.2333333333333333E-3</v>
      </c>
      <c r="R17" s="100">
        <f>20%</f>
        <v>0.2</v>
      </c>
      <c r="S17" s="108">
        <f t="shared" si="10"/>
        <v>44496.247047334757</v>
      </c>
      <c r="T17" s="108">
        <f t="shared" si="11"/>
        <v>354143.63788046659</v>
      </c>
      <c r="U17" s="108">
        <f t="shared" si="12"/>
        <v>6679.8103400778709</v>
      </c>
      <c r="V17" s="108">
        <f t="shared" si="13"/>
        <v>11547.266075510521</v>
      </c>
      <c r="W17" s="108">
        <f t="shared" si="14"/>
        <v>372370.71429605497</v>
      </c>
      <c r="X17" s="108">
        <f t="shared" si="15"/>
        <v>73462.472349148447</v>
      </c>
      <c r="Y17" s="108">
        <f t="shared" si="16"/>
        <v>19834.867534270081</v>
      </c>
      <c r="Z17" s="108">
        <f t="shared" si="17"/>
        <v>53627.604814878367</v>
      </c>
      <c r="AA17" s="108">
        <f t="shared" si="18"/>
        <v>4457.0538118258028</v>
      </c>
      <c r="AB17" s="108">
        <f t="shared" si="19"/>
        <v>49170.551003052562</v>
      </c>
      <c r="AC17" s="109">
        <f t="shared" si="20"/>
        <v>0.88243189356955709</v>
      </c>
      <c r="AD17" s="108">
        <f t="shared" si="21"/>
        <v>47322.708864393011</v>
      </c>
      <c r="AE17" s="108">
        <f t="shared" si="22"/>
        <v>328591.79452611634</v>
      </c>
      <c r="AF17" s="48">
        <f t="shared" si="23"/>
        <v>0.14401670903754665</v>
      </c>
      <c r="AG17" s="110"/>
    </row>
    <row r="18" spans="2:33" x14ac:dyDescent="0.4">
      <c r="B18" s="111" t="s">
        <v>88</v>
      </c>
      <c r="C18" s="112"/>
      <c r="E18" s="107">
        <v>14</v>
      </c>
      <c r="F18" s="107">
        <v>2</v>
      </c>
      <c r="G18" s="141">
        <f t="shared" si="24"/>
        <v>94637054.269424647</v>
      </c>
      <c r="H18" s="141">
        <f t="shared" si="0"/>
        <v>1557087.464896587</v>
      </c>
      <c r="I18" s="141">
        <f t="shared" si="1"/>
        <v>1109896.5142877183</v>
      </c>
      <c r="J18" s="141">
        <f t="shared" si="2"/>
        <v>447190.95060886862</v>
      </c>
      <c r="K18" s="108">
        <f t="shared" si="3"/>
        <v>94189863.318815783</v>
      </c>
      <c r="L18" s="108">
        <f t="shared" si="4"/>
        <v>99155353.471970037</v>
      </c>
      <c r="M18" s="108">
        <f t="shared" si="5"/>
        <v>183242.02456626864</v>
      </c>
      <c r="N18" s="108">
        <f t="shared" si="6"/>
        <v>12500</v>
      </c>
      <c r="O18" s="108">
        <f t="shared" si="7"/>
        <v>195742.02456626864</v>
      </c>
      <c r="P18" s="108">
        <f t="shared" si="8"/>
        <v>78296.809826507451</v>
      </c>
      <c r="Q18" s="100">
        <f t="shared" si="9"/>
        <v>2.2333333333333333E-3</v>
      </c>
      <c r="R18" s="100">
        <f>20%</f>
        <v>0.2</v>
      </c>
      <c r="S18" s="108">
        <f t="shared" si="10"/>
        <v>44289.391217479948</v>
      </c>
      <c r="T18" s="108">
        <f t="shared" si="11"/>
        <v>352497.28159285343</v>
      </c>
      <c r="U18" s="108">
        <f t="shared" si="12"/>
        <v>6650.7314069290587</v>
      </c>
      <c r="V18" s="108">
        <f t="shared" si="13"/>
        <v>11496.997855132064</v>
      </c>
      <c r="W18" s="108">
        <f t="shared" si="14"/>
        <v>370645.01085491449</v>
      </c>
      <c r="X18" s="108">
        <f t="shared" si="15"/>
        <v>73155.823522281236</v>
      </c>
      <c r="Y18" s="108">
        <f t="shared" si="16"/>
        <v>19752.072351015937</v>
      </c>
      <c r="Z18" s="108">
        <f t="shared" si="17"/>
        <v>53403.751171265299</v>
      </c>
      <c r="AA18" s="108">
        <f t="shared" si="18"/>
        <v>4436.3981780578342</v>
      </c>
      <c r="AB18" s="108">
        <f t="shared" si="19"/>
        <v>48967.352993207467</v>
      </c>
      <c r="AC18" s="109">
        <f t="shared" si="20"/>
        <v>0.87398268133388302</v>
      </c>
      <c r="AD18" s="108">
        <f t="shared" si="21"/>
        <v>46673.953641949942</v>
      </c>
      <c r="AE18" s="108">
        <f t="shared" si="22"/>
        <v>323937.32041000435</v>
      </c>
      <c r="AF18" s="48">
        <f t="shared" si="23"/>
        <v>0.14408328618287997</v>
      </c>
      <c r="AG18" s="110"/>
    </row>
    <row r="19" spans="2:33" x14ac:dyDescent="0.4">
      <c r="E19" s="107">
        <v>15</v>
      </c>
      <c r="F19" s="107">
        <v>2</v>
      </c>
      <c r="G19" s="141">
        <f t="shared" si="24"/>
        <v>94189863.318815783</v>
      </c>
      <c r="H19" s="141">
        <f t="shared" si="0"/>
        <v>1557087.464896587</v>
      </c>
      <c r="I19" s="141">
        <f t="shared" si="1"/>
        <v>1104651.8912261343</v>
      </c>
      <c r="J19" s="141">
        <f t="shared" si="2"/>
        <v>452435.57367045269</v>
      </c>
      <c r="K19" s="108">
        <f t="shared" si="3"/>
        <v>93737427.745145336</v>
      </c>
      <c r="L19" s="108">
        <f t="shared" si="4"/>
        <v>98686812.083827794</v>
      </c>
      <c r="M19" s="108">
        <f t="shared" si="5"/>
        <v>182376.14622939655</v>
      </c>
      <c r="N19" s="108">
        <f t="shared" si="6"/>
        <v>12500</v>
      </c>
      <c r="O19" s="108">
        <f t="shared" si="7"/>
        <v>194876.14622939655</v>
      </c>
      <c r="P19" s="108">
        <f t="shared" si="8"/>
        <v>77950.458491758618</v>
      </c>
      <c r="Q19" s="100">
        <f t="shared" si="9"/>
        <v>2.2333333333333333E-3</v>
      </c>
      <c r="R19" s="100">
        <f>20%</f>
        <v>0.2</v>
      </c>
      <c r="S19" s="108">
        <f t="shared" si="10"/>
        <v>44080.109397443084</v>
      </c>
      <c r="T19" s="108">
        <f t="shared" si="11"/>
        <v>350831.6169580078</v>
      </c>
      <c r="U19" s="108">
        <f t="shared" si="12"/>
        <v>6621.3114381595769</v>
      </c>
      <c r="V19" s="108">
        <f t="shared" si="13"/>
        <v>11446.140092707861</v>
      </c>
      <c r="W19" s="108">
        <f t="shared" si="14"/>
        <v>368899.06848887523</v>
      </c>
      <c r="X19" s="108">
        <f t="shared" si="15"/>
        <v>72845.578340194843</v>
      </c>
      <c r="Y19" s="108">
        <f t="shared" si="16"/>
        <v>19668.306151852608</v>
      </c>
      <c r="Z19" s="108">
        <f t="shared" si="17"/>
        <v>53177.272188342235</v>
      </c>
      <c r="AA19" s="108">
        <f t="shared" si="18"/>
        <v>4415.5002965139156</v>
      </c>
      <c r="AB19" s="108">
        <f t="shared" si="19"/>
        <v>48761.771891828321</v>
      </c>
      <c r="AC19" s="109">
        <f t="shared" si="20"/>
        <v>0.86561436960500604</v>
      </c>
      <c r="AD19" s="108">
        <f t="shared" si="21"/>
        <v>46031.010942625682</v>
      </c>
      <c r="AE19" s="108">
        <f t="shared" si="22"/>
        <v>319324.33461787167</v>
      </c>
      <c r="AF19" s="48">
        <f t="shared" si="23"/>
        <v>0.14415127803432196</v>
      </c>
      <c r="AG19" s="110"/>
    </row>
    <row r="20" spans="2:33" x14ac:dyDescent="0.4">
      <c r="B20" s="106" t="s">
        <v>89</v>
      </c>
      <c r="C20" s="106"/>
      <c r="E20" s="107">
        <v>16</v>
      </c>
      <c r="F20" s="107">
        <v>2</v>
      </c>
      <c r="G20" s="141">
        <f t="shared" si="24"/>
        <v>93737427.745145336</v>
      </c>
      <c r="H20" s="141">
        <f t="shared" si="0"/>
        <v>1557087.464896587</v>
      </c>
      <c r="I20" s="141">
        <f t="shared" si="1"/>
        <v>1099345.759605353</v>
      </c>
      <c r="J20" s="141">
        <f t="shared" si="2"/>
        <v>457741.70529123396</v>
      </c>
      <c r="K20" s="108">
        <f t="shared" si="3"/>
        <v>93279686.039854109</v>
      </c>
      <c r="L20" s="108">
        <f t="shared" si="4"/>
        <v>98212775.676239818</v>
      </c>
      <c r="M20" s="108">
        <f t="shared" si="5"/>
        <v>181500.11293413831</v>
      </c>
      <c r="N20" s="108">
        <f t="shared" si="6"/>
        <v>12500</v>
      </c>
      <c r="O20" s="108">
        <f t="shared" si="7"/>
        <v>194000.11293413831</v>
      </c>
      <c r="P20" s="108">
        <f t="shared" si="8"/>
        <v>77600.045173655322</v>
      </c>
      <c r="Q20" s="100">
        <f t="shared" si="9"/>
        <v>2.2333333333333333E-3</v>
      </c>
      <c r="R20" s="100">
        <f>20%</f>
        <v>0.2</v>
      </c>
      <c r="S20" s="108">
        <f t="shared" si="10"/>
        <v>43868.373135387119</v>
      </c>
      <c r="T20" s="108">
        <f t="shared" si="11"/>
        <v>349146.41752903251</v>
      </c>
      <c r="U20" s="108">
        <f t="shared" si="12"/>
        <v>6591.5464341283805</v>
      </c>
      <c r="V20" s="108">
        <f t="shared" si="13"/>
        <v>11394.685874131521</v>
      </c>
      <c r="W20" s="108">
        <f t="shared" si="14"/>
        <v>367132.64983729238</v>
      </c>
      <c r="X20" s="108">
        <f t="shared" si="15"/>
        <v>72531.694625095872</v>
      </c>
      <c r="Y20" s="108">
        <f t="shared" si="16"/>
        <v>19583.557548775887</v>
      </c>
      <c r="Z20" s="108">
        <f t="shared" si="17"/>
        <v>52948.137076319981</v>
      </c>
      <c r="AA20" s="108">
        <f t="shared" si="18"/>
        <v>4394.3573261296815</v>
      </c>
      <c r="AB20" s="108">
        <f t="shared" si="19"/>
        <v>48553.779750190297</v>
      </c>
      <c r="AC20" s="109">
        <f t="shared" si="20"/>
        <v>0.85732618376727865</v>
      </c>
      <c r="AD20" s="108">
        <f t="shared" si="21"/>
        <v>45393.824297228166</v>
      </c>
      <c r="AE20" s="108">
        <f t="shared" si="22"/>
        <v>314752.43362137448</v>
      </c>
      <c r="AF20" s="48">
        <f t="shared" si="23"/>
        <v>0.1442207253966265</v>
      </c>
      <c r="AG20" s="110"/>
    </row>
    <row r="21" spans="2:33" x14ac:dyDescent="0.4">
      <c r="E21" s="107">
        <v>17</v>
      </c>
      <c r="F21" s="107">
        <v>2</v>
      </c>
      <c r="G21" s="141">
        <f t="shared" si="24"/>
        <v>93279686.039854109</v>
      </c>
      <c r="H21" s="141">
        <f t="shared" si="0"/>
        <v>1557087.464896587</v>
      </c>
      <c r="I21" s="141">
        <f t="shared" si="1"/>
        <v>1093977.3980574494</v>
      </c>
      <c r="J21" s="141">
        <f t="shared" si="2"/>
        <v>463110.06683913758</v>
      </c>
      <c r="K21" s="108">
        <f t="shared" si="3"/>
        <v>92816575.973014966</v>
      </c>
      <c r="L21" s="108">
        <f t="shared" si="4"/>
        <v>97733179.804016247</v>
      </c>
      <c r="M21" s="108">
        <f t="shared" si="5"/>
        <v>180613.80558387795</v>
      </c>
      <c r="N21" s="108">
        <f t="shared" si="6"/>
        <v>12500</v>
      </c>
      <c r="O21" s="108">
        <f t="shared" si="7"/>
        <v>193113.80558387795</v>
      </c>
      <c r="P21" s="108">
        <f t="shared" si="8"/>
        <v>77245.522233551179</v>
      </c>
      <c r="Q21" s="100">
        <f t="shared" si="9"/>
        <v>2.2333333333333333E-3</v>
      </c>
      <c r="R21" s="100">
        <f>20%</f>
        <v>0.2</v>
      </c>
      <c r="S21" s="108">
        <f t="shared" si="10"/>
        <v>43654.153645793922</v>
      </c>
      <c r="T21" s="108">
        <f t="shared" si="11"/>
        <v>347441.45420327771</v>
      </c>
      <c r="U21" s="108">
        <f t="shared" si="12"/>
        <v>6561.4323482869268</v>
      </c>
      <c r="V21" s="108">
        <f t="shared" si="13"/>
        <v>11342.628204208519</v>
      </c>
      <c r="W21" s="108">
        <f t="shared" si="14"/>
        <v>365345.51475577313</v>
      </c>
      <c r="X21" s="108">
        <f t="shared" si="15"/>
        <v>72214.129704532854</v>
      </c>
      <c r="Y21" s="108">
        <f t="shared" si="16"/>
        <v>19497.815020223872</v>
      </c>
      <c r="Z21" s="108">
        <f t="shared" si="17"/>
        <v>52716.314684308978</v>
      </c>
      <c r="AA21" s="108">
        <f t="shared" si="18"/>
        <v>4372.9663925209761</v>
      </c>
      <c r="AB21" s="108">
        <f t="shared" si="19"/>
        <v>48343.348291788003</v>
      </c>
      <c r="AC21" s="109">
        <f t="shared" si="20"/>
        <v>0.84911735662193566</v>
      </c>
      <c r="AD21" s="108">
        <f t="shared" si="21"/>
        <v>44762.337775590568</v>
      </c>
      <c r="AE21" s="108">
        <f t="shared" si="22"/>
        <v>310221.21774310246</v>
      </c>
      <c r="AF21" s="48">
        <f t="shared" si="23"/>
        <v>0.14429167063826931</v>
      </c>
      <c r="AG21" s="110"/>
    </row>
    <row r="22" spans="2:33" x14ac:dyDescent="0.4">
      <c r="B22" s="113" t="s">
        <v>14</v>
      </c>
      <c r="C22" s="114">
        <v>4.4999999999999998E-2</v>
      </c>
      <c r="E22" s="107">
        <v>18</v>
      </c>
      <c r="F22" s="107">
        <v>2</v>
      </c>
      <c r="G22" s="141">
        <f t="shared" si="24"/>
        <v>92816575.973014966</v>
      </c>
      <c r="H22" s="141">
        <f t="shared" si="0"/>
        <v>1557087.464896587</v>
      </c>
      <c r="I22" s="141">
        <f t="shared" si="1"/>
        <v>1088546.0767543477</v>
      </c>
      <c r="J22" s="141">
        <f t="shared" si="2"/>
        <v>468541.3881422393</v>
      </c>
      <c r="K22" s="108">
        <f t="shared" si="3"/>
        <v>92348034.584872723</v>
      </c>
      <c r="L22" s="108">
        <f t="shared" si="4"/>
        <v>97247959.266158715</v>
      </c>
      <c r="M22" s="108">
        <f t="shared" si="5"/>
        <v>179717.10368524285</v>
      </c>
      <c r="N22" s="108">
        <f t="shared" si="6"/>
        <v>12500</v>
      </c>
      <c r="O22" s="108">
        <f t="shared" si="7"/>
        <v>192217.10368524285</v>
      </c>
      <c r="P22" s="108">
        <f t="shared" si="8"/>
        <v>76886.841474097149</v>
      </c>
      <c r="Q22" s="100">
        <f t="shared" si="9"/>
        <v>2.2333333333333333E-3</v>
      </c>
      <c r="R22" s="100">
        <f>20%</f>
        <v>0.2</v>
      </c>
      <c r="S22" s="108">
        <f t="shared" si="10"/>
        <v>43437.42180555089</v>
      </c>
      <c r="T22" s="108">
        <f t="shared" si="11"/>
        <v>345716.49519119418</v>
      </c>
      <c r="U22" s="108">
        <f t="shared" si="12"/>
        <v>6530.9650866290376</v>
      </c>
      <c r="V22" s="108">
        <f t="shared" si="13"/>
        <v>11289.960005705185</v>
      </c>
      <c r="W22" s="108">
        <f t="shared" si="14"/>
        <v>363537.42028352839</v>
      </c>
      <c r="X22" s="108">
        <f t="shared" si="15"/>
        <v>71892.840405594819</v>
      </c>
      <c r="Y22" s="108">
        <f t="shared" si="16"/>
        <v>19411.066909510602</v>
      </c>
      <c r="Z22" s="108">
        <f t="shared" si="17"/>
        <v>52481.773496084221</v>
      </c>
      <c r="AA22" s="108">
        <f t="shared" si="18"/>
        <v>4351.3245875930725</v>
      </c>
      <c r="AB22" s="108">
        <f t="shared" si="19"/>
        <v>48130.448908491147</v>
      </c>
      <c r="AC22" s="109">
        <f t="shared" si="20"/>
        <v>0.84098712831607514</v>
      </c>
      <c r="AD22" s="108">
        <f t="shared" si="21"/>
        <v>44136.495981406573</v>
      </c>
      <c r="AE22" s="108">
        <f t="shared" si="22"/>
        <v>305730.29111967864</v>
      </c>
      <c r="AF22" s="48">
        <f t="shared" si="23"/>
        <v>0.14436415776717809</v>
      </c>
      <c r="AG22" s="110"/>
    </row>
    <row r="23" spans="2:33" x14ac:dyDescent="0.4">
      <c r="B23" s="113" t="s">
        <v>17</v>
      </c>
      <c r="C23" s="48">
        <v>3.3977023695682923E-2</v>
      </c>
      <c r="E23" s="107">
        <v>19</v>
      </c>
      <c r="F23" s="107">
        <v>2</v>
      </c>
      <c r="G23" s="141">
        <f t="shared" si="24"/>
        <v>92348034.584872723</v>
      </c>
      <c r="H23" s="141">
        <f t="shared" si="0"/>
        <v>1557087.464896587</v>
      </c>
      <c r="I23" s="141">
        <f t="shared" si="1"/>
        <v>1083051.0573086017</v>
      </c>
      <c r="J23" s="141">
        <f t="shared" si="2"/>
        <v>474036.40758798528</v>
      </c>
      <c r="K23" s="108">
        <f t="shared" si="3"/>
        <v>91873998.177284732</v>
      </c>
      <c r="L23" s="108">
        <f t="shared" si="4"/>
        <v>96757048.096996278</v>
      </c>
      <c r="M23" s="108">
        <f t="shared" si="5"/>
        <v>178809.88533172305</v>
      </c>
      <c r="N23" s="108">
        <f t="shared" si="6"/>
        <v>12500</v>
      </c>
      <c r="O23" s="108">
        <f t="shared" si="7"/>
        <v>191309.88533172305</v>
      </c>
      <c r="P23" s="108">
        <f t="shared" si="8"/>
        <v>76523.954132689221</v>
      </c>
      <c r="Q23" s="100">
        <f t="shared" si="9"/>
        <v>2.2333333333333333E-3</v>
      </c>
      <c r="R23" s="100">
        <f>20%</f>
        <v>0.2</v>
      </c>
      <c r="S23" s="108">
        <f t="shared" si="10"/>
        <v>43218.14814999167</v>
      </c>
      <c r="T23" s="108">
        <f t="shared" si="11"/>
        <v>343971.30598482169</v>
      </c>
      <c r="U23" s="108">
        <f t="shared" si="12"/>
        <v>6500.140507134337</v>
      </c>
      <c r="V23" s="108">
        <f t="shared" si="13"/>
        <v>11236.674118386582</v>
      </c>
      <c r="W23" s="108">
        <f t="shared" si="14"/>
        <v>361708.12061034259</v>
      </c>
      <c r="X23" s="108">
        <f t="shared" si="15"/>
        <v>71567.783049042162</v>
      </c>
      <c r="Y23" s="108">
        <f t="shared" si="16"/>
        <v>19323.301423241384</v>
      </c>
      <c r="Z23" s="108">
        <f t="shared" si="17"/>
        <v>52244.481625800778</v>
      </c>
      <c r="AA23" s="108">
        <f t="shared" si="18"/>
        <v>4329.4289691453168</v>
      </c>
      <c r="AB23" s="108">
        <f t="shared" si="19"/>
        <v>47915.052656655462</v>
      </c>
      <c r="AC23" s="109">
        <f t="shared" si="20"/>
        <v>0.83293474627232422</v>
      </c>
      <c r="AD23" s="108">
        <f t="shared" si="21"/>
        <v>43516.244047115477</v>
      </c>
      <c r="AE23" s="108">
        <f t="shared" si="22"/>
        <v>301279.26166521496</v>
      </c>
      <c r="AF23" s="48">
        <f t="shared" si="23"/>
        <v>0.14443823251090954</v>
      </c>
      <c r="AG23" s="110"/>
    </row>
    <row r="24" spans="2:33" x14ac:dyDescent="0.4">
      <c r="B24" s="113" t="s">
        <v>20</v>
      </c>
      <c r="C24" s="48">
        <v>5.873546000460287E-2</v>
      </c>
      <c r="E24" s="107">
        <v>20</v>
      </c>
      <c r="F24" s="107">
        <v>2</v>
      </c>
      <c r="G24" s="141">
        <f t="shared" si="24"/>
        <v>91873998.177284732</v>
      </c>
      <c r="H24" s="141">
        <f t="shared" si="0"/>
        <v>1557087.464896587</v>
      </c>
      <c r="I24" s="141">
        <f t="shared" si="1"/>
        <v>1077491.5926730107</v>
      </c>
      <c r="J24" s="141">
        <f t="shared" si="2"/>
        <v>479595.8722235763</v>
      </c>
      <c r="K24" s="108">
        <f t="shared" si="3"/>
        <v>91394402.305061162</v>
      </c>
      <c r="L24" s="108">
        <f t="shared" si="4"/>
        <v>96260379.557217404</v>
      </c>
      <c r="M24" s="108">
        <f t="shared" si="5"/>
        <v>177892.02718709767</v>
      </c>
      <c r="N24" s="108">
        <f t="shared" si="6"/>
        <v>12500</v>
      </c>
      <c r="O24" s="108">
        <f t="shared" si="7"/>
        <v>190392.02718709767</v>
      </c>
      <c r="P24" s="108">
        <f t="shared" si="8"/>
        <v>76156.810874839066</v>
      </c>
      <c r="Q24" s="100">
        <f t="shared" si="9"/>
        <v>2.2333333333333333E-3</v>
      </c>
      <c r="R24" s="100">
        <f>20%</f>
        <v>0.2</v>
      </c>
      <c r="S24" s="108">
        <f t="shared" si="10"/>
        <v>42996.302868890438</v>
      </c>
      <c r="T24" s="108">
        <f t="shared" si="11"/>
        <v>342205.64932590781</v>
      </c>
      <c r="U24" s="108">
        <f t="shared" si="12"/>
        <v>6468.9544192051253</v>
      </c>
      <c r="V24" s="108">
        <f t="shared" si="13"/>
        <v>11182.763298043037</v>
      </c>
      <c r="W24" s="108">
        <f t="shared" si="14"/>
        <v>359857.367043156</v>
      </c>
      <c r="X24" s="108">
        <f t="shared" si="15"/>
        <v>71238.913443368161</v>
      </c>
      <c r="Y24" s="108">
        <f t="shared" si="16"/>
        <v>19234.506629709405</v>
      </c>
      <c r="Z24" s="108">
        <f t="shared" si="17"/>
        <v>52004.406813658759</v>
      </c>
      <c r="AA24" s="108">
        <f t="shared" si="18"/>
        <v>4307.2765604711458</v>
      </c>
      <c r="AB24" s="108">
        <f t="shared" si="19"/>
        <v>47697.130253187614</v>
      </c>
      <c r="AC24" s="109">
        <f t="shared" si="20"/>
        <v>0.82495946511917606</v>
      </c>
      <c r="AD24" s="108">
        <f t="shared" si="21"/>
        <v>42901.527628835967</v>
      </c>
      <c r="AE24" s="108">
        <f t="shared" si="22"/>
        <v>296867.74103511701</v>
      </c>
      <c r="AF24" s="48">
        <f t="shared" si="23"/>
        <v>0.14451394240157966</v>
      </c>
      <c r="AG24" s="110"/>
    </row>
    <row r="25" spans="2:33" x14ac:dyDescent="0.4">
      <c r="E25" s="107">
        <v>21</v>
      </c>
      <c r="F25" s="107">
        <v>2</v>
      </c>
      <c r="G25" s="141">
        <f t="shared" si="24"/>
        <v>91394402.305061162</v>
      </c>
      <c r="H25" s="141">
        <f t="shared" si="0"/>
        <v>1557087.464896587</v>
      </c>
      <c r="I25" s="141">
        <f t="shared" si="1"/>
        <v>1071866.9270390582</v>
      </c>
      <c r="J25" s="141">
        <f t="shared" si="2"/>
        <v>485220.53785752878</v>
      </c>
      <c r="K25" s="108">
        <f t="shared" si="3"/>
        <v>90909181.767203629</v>
      </c>
      <c r="L25" s="108">
        <f t="shared" si="4"/>
        <v>95757886.124796718</v>
      </c>
      <c r="M25" s="108">
        <f t="shared" si="5"/>
        <v>176963.40446866778</v>
      </c>
      <c r="N25" s="108">
        <f t="shared" si="6"/>
        <v>12500</v>
      </c>
      <c r="O25" s="108">
        <f t="shared" si="7"/>
        <v>189463.40446866778</v>
      </c>
      <c r="P25" s="108">
        <f t="shared" si="8"/>
        <v>75785.361787467118</v>
      </c>
      <c r="Q25" s="100">
        <f t="shared" si="9"/>
        <v>2.2333333333333333E-3</v>
      </c>
      <c r="R25" s="100">
        <f>20%</f>
        <v>0.2</v>
      </c>
      <c r="S25" s="108">
        <f t="shared" si="10"/>
        <v>42771.855802409198</v>
      </c>
      <c r="T25" s="108">
        <f t="shared" si="11"/>
        <v>340419.28517365229</v>
      </c>
      <c r="U25" s="108">
        <f t="shared" si="12"/>
        <v>6437.402583096683</v>
      </c>
      <c r="V25" s="108">
        <f t="shared" si="13"/>
        <v>11128.220215505333</v>
      </c>
      <c r="W25" s="108">
        <f t="shared" si="14"/>
        <v>357984.90797225432</v>
      </c>
      <c r="X25" s="108">
        <f t="shared" si="15"/>
        <v>70906.186878791457</v>
      </c>
      <c r="Y25" s="108">
        <f t="shared" si="16"/>
        <v>19144.670457273696</v>
      </c>
      <c r="Z25" s="108">
        <f t="shared" si="17"/>
        <v>51761.516421517765</v>
      </c>
      <c r="AA25" s="108">
        <f t="shared" si="18"/>
        <v>4284.864349953391</v>
      </c>
      <c r="AB25" s="108">
        <f t="shared" si="19"/>
        <v>47476.652071564371</v>
      </c>
      <c r="AC25" s="109">
        <f t="shared" si="20"/>
        <v>0.81706054662199368</v>
      </c>
      <c r="AD25" s="108">
        <f t="shared" si="21"/>
        <v>42292.292901348606</v>
      </c>
      <c r="AE25" s="108">
        <f t="shared" si="22"/>
        <v>292495.34459023422</v>
      </c>
      <c r="AF25" s="48">
        <f t="shared" si="23"/>
        <v>0.14459133686588135</v>
      </c>
      <c r="AG25" s="110"/>
    </row>
    <row r="26" spans="2:33" x14ac:dyDescent="0.4">
      <c r="B26" s="106" t="s">
        <v>12</v>
      </c>
      <c r="C26" s="106"/>
      <c r="E26" s="107">
        <v>22</v>
      </c>
      <c r="F26" s="107">
        <v>2</v>
      </c>
      <c r="G26" s="141">
        <f t="shared" si="24"/>
        <v>90909181.767203629</v>
      </c>
      <c r="H26" s="141">
        <f t="shared" si="0"/>
        <v>1557087.464896587</v>
      </c>
      <c r="I26" s="141">
        <f t="shared" si="1"/>
        <v>1066176.2957341606</v>
      </c>
      <c r="J26" s="141">
        <f t="shared" si="2"/>
        <v>490911.16916242638</v>
      </c>
      <c r="K26" s="108">
        <f t="shared" si="3"/>
        <v>90418270.598041207</v>
      </c>
      <c r="L26" s="108">
        <f t="shared" si="4"/>
        <v>95249499.485815421</v>
      </c>
      <c r="M26" s="108">
        <f t="shared" si="5"/>
        <v>176023.89093029176</v>
      </c>
      <c r="N26" s="108">
        <f t="shared" si="6"/>
        <v>12500</v>
      </c>
      <c r="O26" s="108">
        <f t="shared" si="7"/>
        <v>188523.89093029176</v>
      </c>
      <c r="P26" s="108">
        <f t="shared" si="8"/>
        <v>75409.556372116713</v>
      </c>
      <c r="Q26" s="100">
        <f t="shared" si="9"/>
        <v>2.2333333333333333E-3</v>
      </c>
      <c r="R26" s="100">
        <f>20%</f>
        <v>0.2</v>
      </c>
      <c r="S26" s="108">
        <f t="shared" si="10"/>
        <v>42544.776436997556</v>
      </c>
      <c r="T26" s="108">
        <f t="shared" si="11"/>
        <v>338611.97067207377</v>
      </c>
      <c r="U26" s="108">
        <f t="shared" si="12"/>
        <v>6405.4807093408663</v>
      </c>
      <c r="V26" s="108">
        <f t="shared" si="13"/>
        <v>11073.037455648266</v>
      </c>
      <c r="W26" s="108">
        <f t="shared" si="14"/>
        <v>356090.48883706291</v>
      </c>
      <c r="X26" s="108">
        <f t="shared" si="15"/>
        <v>70569.558121177484</v>
      </c>
      <c r="Y26" s="108">
        <f t="shared" si="16"/>
        <v>19053.780692717923</v>
      </c>
      <c r="Z26" s="108">
        <f t="shared" si="17"/>
        <v>51515.777428459565</v>
      </c>
      <c r="AA26" s="108">
        <f t="shared" si="18"/>
        <v>4262.1892906548564</v>
      </c>
      <c r="AB26" s="108">
        <f t="shared" si="19"/>
        <v>47253.588137804705</v>
      </c>
      <c r="AC26" s="109">
        <f t="shared" si="20"/>
        <v>0.80923725961467652</v>
      </c>
      <c r="AD26" s="108">
        <f t="shared" si="21"/>
        <v>41688.486553126226</v>
      </c>
      <c r="AE26" s="108">
        <f t="shared" si="22"/>
        <v>288161.69136135536</v>
      </c>
      <c r="AF26" s="48">
        <f t="shared" si="23"/>
        <v>0.144670467320546</v>
      </c>
      <c r="AG26" s="110"/>
    </row>
    <row r="27" spans="2:33" x14ac:dyDescent="0.4">
      <c r="D27" s="115">
        <v>1.3920062094741E-2</v>
      </c>
      <c r="E27" s="107">
        <v>23</v>
      </c>
      <c r="F27" s="107">
        <v>2</v>
      </c>
      <c r="G27" s="141">
        <f t="shared" si="24"/>
        <v>90418270.598041207</v>
      </c>
      <c r="H27" s="141">
        <f t="shared" si="0"/>
        <v>1557087.464896587</v>
      </c>
      <c r="I27" s="141">
        <f t="shared" si="1"/>
        <v>1060418.9251177094</v>
      </c>
      <c r="J27" s="141">
        <f t="shared" si="2"/>
        <v>496668.53977887752</v>
      </c>
      <c r="K27" s="108">
        <f t="shared" si="3"/>
        <v>89921602.058262333</v>
      </c>
      <c r="L27" s="108">
        <f t="shared" si="4"/>
        <v>94735150.525174066</v>
      </c>
      <c r="M27" s="108">
        <f t="shared" si="5"/>
        <v>175073.35884522262</v>
      </c>
      <c r="N27" s="108">
        <f t="shared" si="6"/>
        <v>12500</v>
      </c>
      <c r="O27" s="108">
        <f t="shared" si="7"/>
        <v>187573.35884522262</v>
      </c>
      <c r="P27" s="108">
        <f t="shared" si="8"/>
        <v>75029.343538089059</v>
      </c>
      <c r="Q27" s="100">
        <f t="shared" si="9"/>
        <v>2.2333333333333333E-3</v>
      </c>
      <c r="R27" s="100">
        <f>20%</f>
        <v>0.2</v>
      </c>
      <c r="S27" s="108">
        <f t="shared" si="10"/>
        <v>42315.033901244416</v>
      </c>
      <c r="T27" s="108">
        <f t="shared" si="11"/>
        <v>336783.46011699375</v>
      </c>
      <c r="U27" s="108">
        <f t="shared" si="12"/>
        <v>6373.1844581629648</v>
      </c>
      <c r="V27" s="108">
        <f t="shared" si="13"/>
        <v>11017.207516382596</v>
      </c>
      <c r="W27" s="108">
        <f t="shared" si="14"/>
        <v>354173.85209153936</v>
      </c>
      <c r="X27" s="108">
        <f t="shared" si="15"/>
        <v>70228.98140588915</v>
      </c>
      <c r="Y27" s="108">
        <f t="shared" si="16"/>
        <v>18961.82497959007</v>
      </c>
      <c r="Z27" s="108">
        <f t="shared" si="17"/>
        <v>51267.15642629908</v>
      </c>
      <c r="AA27" s="108">
        <f t="shared" si="18"/>
        <v>4239.2482999040922</v>
      </c>
      <c r="AB27" s="108">
        <f t="shared" si="19"/>
        <v>47027.908126394985</v>
      </c>
      <c r="AC27" s="109">
        <f t="shared" si="20"/>
        <v>0.80148887993197793</v>
      </c>
      <c r="AD27" s="108">
        <f t="shared" si="21"/>
        <v>41090.055781411953</v>
      </c>
      <c r="AE27" s="108">
        <f t="shared" si="22"/>
        <v>283866.40401404188</v>
      </c>
      <c r="AF27" s="48">
        <f t="shared" si="23"/>
        <v>0.14475138727363937</v>
      </c>
      <c r="AG27" s="110"/>
    </row>
    <row r="28" spans="2:33" x14ac:dyDescent="0.4">
      <c r="B28" s="113" t="s">
        <v>15</v>
      </c>
      <c r="C28" s="114">
        <v>0.94799999999999995</v>
      </c>
      <c r="D28" s="115"/>
      <c r="E28" s="107">
        <v>24</v>
      </c>
      <c r="F28" s="107">
        <v>2</v>
      </c>
      <c r="G28" s="141">
        <f t="shared" si="24"/>
        <v>89921602.058262333</v>
      </c>
      <c r="H28" s="141">
        <f t="shared" si="0"/>
        <v>1557087.464896587</v>
      </c>
      <c r="I28" s="141">
        <f t="shared" si="1"/>
        <v>1054594.0324758952</v>
      </c>
      <c r="J28" s="141">
        <f t="shared" si="2"/>
        <v>502493.43242069171</v>
      </c>
      <c r="K28" s="108">
        <f t="shared" si="3"/>
        <v>89419108.625841647</v>
      </c>
      <c r="L28" s="108">
        <f t="shared" si="4"/>
        <v>94214769.317196295</v>
      </c>
      <c r="M28" s="108">
        <f t="shared" si="5"/>
        <v>174111.67898874325</v>
      </c>
      <c r="N28" s="108">
        <f t="shared" si="6"/>
        <v>12500</v>
      </c>
      <c r="O28" s="108">
        <f t="shared" si="7"/>
        <v>186611.67898874325</v>
      </c>
      <c r="P28" s="108">
        <f t="shared" si="8"/>
        <v>74644.671595497304</v>
      </c>
      <c r="Q28" s="100">
        <f t="shared" si="9"/>
        <v>2.2333333333333333E-3</v>
      </c>
      <c r="R28" s="100">
        <f>20%</f>
        <v>0.2</v>
      </c>
      <c r="S28" s="108">
        <f t="shared" si="10"/>
        <v>42082.596961681011</v>
      </c>
      <c r="T28" s="108">
        <f t="shared" si="11"/>
        <v>334933.50492263283</v>
      </c>
      <c r="U28" s="108">
        <f t="shared" si="12"/>
        <v>6340.5094388917041</v>
      </c>
      <c r="V28" s="108">
        <f t="shared" si="13"/>
        <v>10960.722807635118</v>
      </c>
      <c r="W28" s="108">
        <f t="shared" si="14"/>
        <v>352234.73716915969</v>
      </c>
      <c r="X28" s="108">
        <f t="shared" si="15"/>
        <v>69884.410431564931</v>
      </c>
      <c r="Y28" s="108">
        <f t="shared" si="16"/>
        <v>18868.790816522534</v>
      </c>
      <c r="Z28" s="108">
        <f t="shared" si="17"/>
        <v>51015.619615042393</v>
      </c>
      <c r="AA28" s="108">
        <f t="shared" si="18"/>
        <v>4216.0382588762977</v>
      </c>
      <c r="AB28" s="108">
        <f t="shared" si="19"/>
        <v>46799.581356166098</v>
      </c>
      <c r="AC28" s="109">
        <f t="shared" si="20"/>
        <v>0.79381469034247365</v>
      </c>
      <c r="AD28" s="108">
        <f t="shared" si="21"/>
        <v>40496.948287344305</v>
      </c>
      <c r="AE28" s="108">
        <f t="shared" si="22"/>
        <v>279609.1088137991</v>
      </c>
      <c r="AF28" s="48">
        <f t="shared" si="23"/>
        <v>0.14483415243211034</v>
      </c>
      <c r="AG28" s="110"/>
    </row>
    <row r="29" spans="2:33" x14ac:dyDescent="0.4">
      <c r="B29" s="113" t="s">
        <v>18</v>
      </c>
      <c r="C29" s="48">
        <v>0.56399999999999995</v>
      </c>
      <c r="E29" s="107">
        <v>25</v>
      </c>
      <c r="F29" s="107">
        <v>3</v>
      </c>
      <c r="G29" s="141">
        <f t="shared" si="24"/>
        <v>89419108.625841647</v>
      </c>
      <c r="H29" s="141">
        <f t="shared" si="0"/>
        <v>1557087.464896587</v>
      </c>
      <c r="I29" s="141">
        <f t="shared" si="1"/>
        <v>1048700.8259152977</v>
      </c>
      <c r="J29" s="141">
        <f t="shared" si="2"/>
        <v>508386.63898128923</v>
      </c>
      <c r="K29" s="108">
        <f t="shared" si="3"/>
        <v>88910721.986860365</v>
      </c>
      <c r="L29" s="108">
        <f t="shared" si="4"/>
        <v>93688285.116122484</v>
      </c>
      <c r="M29" s="108">
        <f t="shared" si="5"/>
        <v>173138.72062059835</v>
      </c>
      <c r="N29" s="108">
        <f t="shared" si="6"/>
        <v>12500</v>
      </c>
      <c r="O29" s="108">
        <f t="shared" si="7"/>
        <v>185638.72062059835</v>
      </c>
      <c r="P29" s="108">
        <f t="shared" si="8"/>
        <v>74255.488248239344</v>
      </c>
      <c r="Q29" s="100">
        <f t="shared" si="9"/>
        <v>2.2333333333333333E-3</v>
      </c>
      <c r="R29" s="100">
        <f>20%</f>
        <v>0.2</v>
      </c>
      <c r="S29" s="108">
        <f t="shared" si="10"/>
        <v>41847.43401853471</v>
      </c>
      <c r="T29" s="108">
        <f t="shared" si="11"/>
        <v>333061.85358781536</v>
      </c>
      <c r="U29" s="108">
        <f t="shared" si="12"/>
        <v>6307.4512093623325</v>
      </c>
      <c r="V29" s="108">
        <f t="shared" si="13"/>
        <v>10903.575650316801</v>
      </c>
      <c r="W29" s="108">
        <f t="shared" si="14"/>
        <v>350272.88044749445</v>
      </c>
      <c r="X29" s="108">
        <f t="shared" si="15"/>
        <v>69535.798353824299</v>
      </c>
      <c r="Y29" s="108">
        <f t="shared" si="16"/>
        <v>18774.665555532563</v>
      </c>
      <c r="Z29" s="108">
        <f t="shared" si="17"/>
        <v>50761.132798291736</v>
      </c>
      <c r="AA29" s="108">
        <f t="shared" si="18"/>
        <v>4192.5560121693179</v>
      </c>
      <c r="AB29" s="108">
        <f t="shared" si="19"/>
        <v>46568.576786122416</v>
      </c>
      <c r="AC29" s="109">
        <f t="shared" si="20"/>
        <v>0.78621398048217117</v>
      </c>
      <c r="AD29" s="108">
        <f t="shared" si="21"/>
        <v>39909.112271129037</v>
      </c>
      <c r="AE29" s="108">
        <f t="shared" si="22"/>
        <v>275389.43559158029</v>
      </c>
      <c r="AF29" s="48">
        <f t="shared" si="23"/>
        <v>0.14491882081604882</v>
      </c>
      <c r="AG29" s="110"/>
    </row>
    <row r="30" spans="2:33" x14ac:dyDescent="0.4">
      <c r="B30" s="113" t="s">
        <v>21</v>
      </c>
      <c r="C30" s="48">
        <v>0.65200000000000002</v>
      </c>
      <c r="E30" s="107">
        <v>26</v>
      </c>
      <c r="F30" s="107">
        <v>3</v>
      </c>
      <c r="G30" s="141">
        <f t="shared" si="24"/>
        <v>88910721.986860365</v>
      </c>
      <c r="H30" s="141">
        <f t="shared" si="0"/>
        <v>1557087.464896587</v>
      </c>
      <c r="I30" s="141">
        <f t="shared" si="1"/>
        <v>1042738.5042552281</v>
      </c>
      <c r="J30" s="141">
        <f t="shared" si="2"/>
        <v>514348.96064135886</v>
      </c>
      <c r="K30" s="108">
        <f t="shared" si="3"/>
        <v>88396373.02621901</v>
      </c>
      <c r="L30" s="108">
        <f t="shared" si="4"/>
        <v>93155626.346491888</v>
      </c>
      <c r="M30" s="108">
        <f t="shared" si="5"/>
        <v>172154.35146722046</v>
      </c>
      <c r="N30" s="108">
        <f t="shared" si="6"/>
        <v>12500</v>
      </c>
      <c r="O30" s="108">
        <f t="shared" si="7"/>
        <v>184654.35146722046</v>
      </c>
      <c r="P30" s="108">
        <f t="shared" si="8"/>
        <v>73861.740586888191</v>
      </c>
      <c r="Q30" s="100">
        <f t="shared" si="9"/>
        <v>2.2333333333333333E-3</v>
      </c>
      <c r="R30" s="100">
        <f>20%</f>
        <v>0.2</v>
      </c>
      <c r="S30" s="108">
        <f t="shared" si="10"/>
        <v>41609.51310143304</v>
      </c>
      <c r="T30" s="108">
        <f t="shared" si="11"/>
        <v>331168.2516617786</v>
      </c>
      <c r="U30" s="108">
        <f t="shared" si="12"/>
        <v>6274.005275312712</v>
      </c>
      <c r="V30" s="108">
        <f t="shared" si="13"/>
        <v>10845.758275278809</v>
      </c>
      <c r="W30" s="108">
        <f t="shared" si="14"/>
        <v>348288.01521237008</v>
      </c>
      <c r="X30" s="108">
        <f t="shared" si="15"/>
        <v>69183.097778899231</v>
      </c>
      <c r="Y30" s="108">
        <f t="shared" si="16"/>
        <v>18679.436400302795</v>
      </c>
      <c r="Z30" s="108">
        <f t="shared" si="17"/>
        <v>50503.661378596436</v>
      </c>
      <c r="AA30" s="108">
        <f t="shared" si="18"/>
        <v>4168.7983673746794</v>
      </c>
      <c r="AB30" s="108">
        <f t="shared" si="19"/>
        <v>46334.863011221758</v>
      </c>
      <c r="AC30" s="109">
        <f t="shared" si="20"/>
        <v>0.77868604678875442</v>
      </c>
      <c r="AD30" s="108">
        <f t="shared" si="21"/>
        <v>39326.496427257152</v>
      </c>
      <c r="AE30" s="108">
        <f t="shared" si="22"/>
        <v>271207.01770962204</v>
      </c>
      <c r="AF30" s="48">
        <f t="shared" si="23"/>
        <v>0.14500545288014466</v>
      </c>
      <c r="AG30" s="110"/>
    </row>
    <row r="31" spans="2:33" x14ac:dyDescent="0.4">
      <c r="B31" s="116"/>
      <c r="C31" s="117"/>
      <c r="E31" s="107">
        <v>27</v>
      </c>
      <c r="F31" s="107">
        <v>3</v>
      </c>
      <c r="G31" s="141">
        <f t="shared" si="24"/>
        <v>88396373.02621901</v>
      </c>
      <c r="H31" s="141">
        <f t="shared" si="0"/>
        <v>1557087.464896587</v>
      </c>
      <c r="I31" s="141">
        <f t="shared" si="1"/>
        <v>1036706.2569188083</v>
      </c>
      <c r="J31" s="141">
        <f t="shared" si="2"/>
        <v>520381.20797777863</v>
      </c>
      <c r="K31" s="108">
        <f t="shared" si="3"/>
        <v>87875991.818241239</v>
      </c>
      <c r="L31" s="108">
        <f t="shared" si="4"/>
        <v>92616720.593411922</v>
      </c>
      <c r="M31" s="108">
        <f t="shared" si="5"/>
        <v>171158.43770374727</v>
      </c>
      <c r="N31" s="108">
        <f t="shared" si="6"/>
        <v>12500</v>
      </c>
      <c r="O31" s="108">
        <f t="shared" si="7"/>
        <v>183658.43770374727</v>
      </c>
      <c r="P31" s="108">
        <f t="shared" si="8"/>
        <v>73463.375081498918</v>
      </c>
      <c r="Q31" s="100">
        <f t="shared" si="9"/>
        <v>2.2333333333333333E-3</v>
      </c>
      <c r="R31" s="100">
        <f>20%</f>
        <v>0.2</v>
      </c>
      <c r="S31" s="108">
        <f t="shared" si="10"/>
        <v>41368.801865057329</v>
      </c>
      <c r="T31" s="108">
        <f t="shared" si="11"/>
        <v>329252.44170957938</v>
      </c>
      <c r="U31" s="108">
        <f t="shared" si="12"/>
        <v>6240.167089772327</v>
      </c>
      <c r="V31" s="108">
        <f t="shared" si="13"/>
        <v>10787.262822256296</v>
      </c>
      <c r="W31" s="108">
        <f t="shared" si="14"/>
        <v>346279.87162160804</v>
      </c>
      <c r="X31" s="108">
        <f t="shared" si="15"/>
        <v>68826.260757191019</v>
      </c>
      <c r="Y31" s="108">
        <f t="shared" si="16"/>
        <v>18583.090404441577</v>
      </c>
      <c r="Z31" s="108">
        <f t="shared" si="17"/>
        <v>50243.170352749439</v>
      </c>
      <c r="AA31" s="108">
        <f t="shared" si="18"/>
        <v>4144.7620946435663</v>
      </c>
      <c r="AB31" s="108">
        <f t="shared" si="19"/>
        <v>46098.408258105876</v>
      </c>
      <c r="AC31" s="109">
        <f t="shared" si="20"/>
        <v>0.7712301924364573</v>
      </c>
      <c r="AD31" s="108">
        <f t="shared" si="21"/>
        <v>38749.049939768658</v>
      </c>
      <c r="AE31" s="108">
        <f t="shared" si="22"/>
        <v>267061.49202760449</v>
      </c>
      <c r="AF31" s="48">
        <f t="shared" si="23"/>
        <v>0.14509411164288488</v>
      </c>
      <c r="AG31" s="110"/>
    </row>
    <row r="32" spans="2:33" x14ac:dyDescent="0.4">
      <c r="B32" s="106" t="s">
        <v>90</v>
      </c>
      <c r="C32" s="106"/>
      <c r="E32" s="107">
        <v>28</v>
      </c>
      <c r="F32" s="107">
        <v>3</v>
      </c>
      <c r="G32" s="141">
        <f t="shared" si="24"/>
        <v>87875991.818241239</v>
      </c>
      <c r="H32" s="141">
        <f t="shared" si="0"/>
        <v>1557087.464896587</v>
      </c>
      <c r="I32" s="141">
        <f t="shared" si="1"/>
        <v>1030603.2638227737</v>
      </c>
      <c r="J32" s="141">
        <f t="shared" si="2"/>
        <v>526484.20107381325</v>
      </c>
      <c r="K32" s="108">
        <f t="shared" si="3"/>
        <v>87349507.617167428</v>
      </c>
      <c r="L32" s="108">
        <f t="shared" si="4"/>
        <v>92071494.592713401</v>
      </c>
      <c r="M32" s="108">
        <f t="shared" si="5"/>
        <v>170150.84393582825</v>
      </c>
      <c r="N32" s="108">
        <f t="shared" si="6"/>
        <v>12500</v>
      </c>
      <c r="O32" s="108">
        <f t="shared" si="7"/>
        <v>182650.84393582825</v>
      </c>
      <c r="P32" s="108">
        <f t="shared" si="8"/>
        <v>73060.337574331308</v>
      </c>
      <c r="Q32" s="100">
        <f t="shared" si="9"/>
        <v>2.2333333333333333E-3</v>
      </c>
      <c r="R32" s="100">
        <f>20%</f>
        <v>0.2</v>
      </c>
      <c r="S32" s="108">
        <f t="shared" si="10"/>
        <v>41125.267584745321</v>
      </c>
      <c r="T32" s="108">
        <f t="shared" si="11"/>
        <v>327314.16327709612</v>
      </c>
      <c r="U32" s="108">
        <f t="shared" si="12"/>
        <v>6205.93205244412</v>
      </c>
      <c r="V32" s="108">
        <f t="shared" si="13"/>
        <v>10728.081338799801</v>
      </c>
      <c r="W32" s="108">
        <f t="shared" si="14"/>
        <v>344248.17666834005</v>
      </c>
      <c r="X32" s="108">
        <f t="shared" si="15"/>
        <v>68465.238776751619</v>
      </c>
      <c r="Y32" s="108">
        <f t="shared" si="16"/>
        <v>18485.614469722939</v>
      </c>
      <c r="Z32" s="108">
        <f t="shared" si="17"/>
        <v>49979.62430702868</v>
      </c>
      <c r="AA32" s="108">
        <f t="shared" si="18"/>
        <v>4120.4439262477272</v>
      </c>
      <c r="AB32" s="108">
        <f t="shared" si="19"/>
        <v>45859.180380780956</v>
      </c>
      <c r="AC32" s="109">
        <f t="shared" si="20"/>
        <v>0.76384572727156386</v>
      </c>
      <c r="AD32" s="108">
        <f t="shared" si="21"/>
        <v>38176.722477561852</v>
      </c>
      <c r="AE32" s="108">
        <f t="shared" si="22"/>
        <v>262952.49886913801</v>
      </c>
      <c r="AF32" s="48">
        <f t="shared" si="23"/>
        <v>0.14518486282406859</v>
      </c>
      <c r="AG32" s="110"/>
    </row>
    <row r="33" spans="2:33" x14ac:dyDescent="0.4">
      <c r="E33" s="107">
        <v>29</v>
      </c>
      <c r="F33" s="107">
        <v>3</v>
      </c>
      <c r="G33" s="141">
        <f t="shared" si="24"/>
        <v>87349507.617167428</v>
      </c>
      <c r="H33" s="141">
        <f t="shared" si="0"/>
        <v>1557087.464896587</v>
      </c>
      <c r="I33" s="141">
        <f t="shared" si="1"/>
        <v>1024428.695265982</v>
      </c>
      <c r="J33" s="141">
        <f t="shared" si="2"/>
        <v>532658.76963060501</v>
      </c>
      <c r="K33" s="108">
        <f t="shared" si="3"/>
        <v>86816848.847536817</v>
      </c>
      <c r="L33" s="108">
        <f t="shared" si="4"/>
        <v>91519874.220990285</v>
      </c>
      <c r="M33" s="108">
        <f t="shared" si="5"/>
        <v>169131.43318121764</v>
      </c>
      <c r="N33" s="108">
        <f t="shared" si="6"/>
        <v>12500</v>
      </c>
      <c r="O33" s="108">
        <f t="shared" si="7"/>
        <v>181631.43318121764</v>
      </c>
      <c r="P33" s="108">
        <f t="shared" si="8"/>
        <v>72652.573272487061</v>
      </c>
      <c r="Q33" s="100">
        <f t="shared" si="9"/>
        <v>2.2333333333333333E-3</v>
      </c>
      <c r="R33" s="100">
        <f>20%</f>
        <v>0.2</v>
      </c>
      <c r="S33" s="108">
        <f t="shared" si="10"/>
        <v>40878.877152042325</v>
      </c>
      <c r="T33" s="108">
        <f t="shared" si="11"/>
        <v>325353.15285562043</v>
      </c>
      <c r="U33" s="108">
        <f t="shared" si="12"/>
        <v>6171.2955090790811</v>
      </c>
      <c r="V33" s="108">
        <f t="shared" si="13"/>
        <v>10668.205779194108</v>
      </c>
      <c r="W33" s="108">
        <f t="shared" si="14"/>
        <v>342192.65414389363</v>
      </c>
      <c r="X33" s="108">
        <f t="shared" si="15"/>
        <v>68099.98275668826</v>
      </c>
      <c r="Y33" s="108">
        <f t="shared" si="16"/>
        <v>18386.995344305833</v>
      </c>
      <c r="Z33" s="108">
        <f t="shared" si="17"/>
        <v>49712.987412382427</v>
      </c>
      <c r="AA33" s="108">
        <f t="shared" si="18"/>
        <v>4095.8405561352379</v>
      </c>
      <c r="AB33" s="108">
        <f t="shared" si="19"/>
        <v>45617.146856247185</v>
      </c>
      <c r="AC33" s="109">
        <f t="shared" si="20"/>
        <v>0.75653196774852183</v>
      </c>
      <c r="AD33" s="108">
        <f t="shared" si="21"/>
        <v>37609.464189747174</v>
      </c>
      <c r="AE33" s="108">
        <f t="shared" si="22"/>
        <v>258879.68198856921</v>
      </c>
      <c r="AF33" s="48">
        <f t="shared" si="23"/>
        <v>0.14527777499127109</v>
      </c>
      <c r="AG33" s="110"/>
    </row>
    <row r="34" spans="2:33" x14ac:dyDescent="0.4">
      <c r="B34" s="111" t="s">
        <v>16</v>
      </c>
      <c r="C34" s="118">
        <v>0.27</v>
      </c>
      <c r="E34" s="107">
        <v>30</v>
      </c>
      <c r="F34" s="107">
        <v>3</v>
      </c>
      <c r="G34" s="141">
        <f t="shared" si="24"/>
        <v>86816848.847536817</v>
      </c>
      <c r="H34" s="141">
        <f t="shared" si="0"/>
        <v>1557087.464896587</v>
      </c>
      <c r="I34" s="141">
        <f t="shared" si="1"/>
        <v>1018181.7118166165</v>
      </c>
      <c r="J34" s="141">
        <f t="shared" si="2"/>
        <v>538905.75307997048</v>
      </c>
      <c r="K34" s="108">
        <f t="shared" si="3"/>
        <v>86277943.094456851</v>
      </c>
      <c r="L34" s="108">
        <f t="shared" si="4"/>
        <v>90961784.485522553</v>
      </c>
      <c r="M34" s="108">
        <f t="shared" si="5"/>
        <v>168100.06685115187</v>
      </c>
      <c r="N34" s="108">
        <f t="shared" si="6"/>
        <v>12500</v>
      </c>
      <c r="O34" s="108">
        <f t="shared" si="7"/>
        <v>180600.06685115187</v>
      </c>
      <c r="P34" s="108">
        <f t="shared" si="8"/>
        <v>72240.026740460758</v>
      </c>
      <c r="Q34" s="100">
        <f t="shared" si="9"/>
        <v>2.2333333333333333E-3</v>
      </c>
      <c r="R34" s="100">
        <f>20%</f>
        <v>0.2</v>
      </c>
      <c r="S34" s="108">
        <f t="shared" si="10"/>
        <v>40629.59707020007</v>
      </c>
      <c r="T34" s="108">
        <f t="shared" si="11"/>
        <v>323369.14384603262</v>
      </c>
      <c r="U34" s="108">
        <f t="shared" si="12"/>
        <v>6136.2527508435069</v>
      </c>
      <c r="V34" s="108">
        <f t="shared" si="13"/>
        <v>10607.628003364436</v>
      </c>
      <c r="W34" s="108">
        <f t="shared" si="14"/>
        <v>340113.02460024058</v>
      </c>
      <c r="X34" s="108">
        <f t="shared" si="15"/>
        <v>67730.443040491053</v>
      </c>
      <c r="Y34" s="108">
        <f t="shared" si="16"/>
        <v>18287.219620932585</v>
      </c>
      <c r="Z34" s="108">
        <f t="shared" si="17"/>
        <v>49443.223419558468</v>
      </c>
      <c r="AA34" s="108">
        <f t="shared" si="18"/>
        <v>4070.9486394810324</v>
      </c>
      <c r="AB34" s="108">
        <f t="shared" si="19"/>
        <v>45372.274780077438</v>
      </c>
      <c r="AC34" s="109">
        <f t="shared" si="20"/>
        <v>0.74928823686667168</v>
      </c>
      <c r="AD34" s="108">
        <f t="shared" si="21"/>
        <v>37047.225701045892</v>
      </c>
      <c r="AE34" s="108">
        <f t="shared" si="22"/>
        <v>254842.6885381052</v>
      </c>
      <c r="AF34" s="48">
        <f t="shared" si="23"/>
        <v>0.14537291971594637</v>
      </c>
      <c r="AG34" s="110"/>
    </row>
    <row r="35" spans="2:33" x14ac:dyDescent="0.4">
      <c r="B35" s="111" t="s">
        <v>19</v>
      </c>
      <c r="C35" s="119">
        <v>0.14799999999999999</v>
      </c>
      <c r="E35" s="107">
        <v>31</v>
      </c>
      <c r="F35" s="107">
        <v>3</v>
      </c>
      <c r="G35" s="141">
        <f t="shared" si="24"/>
        <v>86277943.094456851</v>
      </c>
      <c r="H35" s="141">
        <f t="shared" si="0"/>
        <v>1557087.464896587</v>
      </c>
      <c r="I35" s="141">
        <f t="shared" si="1"/>
        <v>1011861.4641980651</v>
      </c>
      <c r="J35" s="141">
        <f t="shared" si="2"/>
        <v>545226.00069852185</v>
      </c>
      <c r="K35" s="108">
        <f t="shared" si="3"/>
        <v>85732717.09375833</v>
      </c>
      <c r="L35" s="108">
        <f t="shared" si="4"/>
        <v>90397149.514081076</v>
      </c>
      <c r="M35" s="108">
        <f t="shared" si="5"/>
        <v>167056.60473150847</v>
      </c>
      <c r="N35" s="108">
        <f t="shared" si="6"/>
        <v>12500</v>
      </c>
      <c r="O35" s="108">
        <f t="shared" si="7"/>
        <v>179556.60473150847</v>
      </c>
      <c r="P35" s="108">
        <f t="shared" si="8"/>
        <v>71822.641892603395</v>
      </c>
      <c r="Q35" s="100">
        <f t="shared" si="9"/>
        <v>2.2333333333333333E-3</v>
      </c>
      <c r="R35" s="100">
        <f>20%</f>
        <v>0.2</v>
      </c>
      <c r="S35" s="108">
        <f t="shared" si="10"/>
        <v>40377.393449622883</v>
      </c>
      <c r="T35" s="108">
        <f t="shared" si="11"/>
        <v>321361.86652255815</v>
      </c>
      <c r="U35" s="108">
        <f t="shared" si="12"/>
        <v>6100.7990136788358</v>
      </c>
      <c r="V35" s="108">
        <f t="shared" si="13"/>
        <v>10546.339775769802</v>
      </c>
      <c r="W35" s="108">
        <f t="shared" si="14"/>
        <v>338009.0053120068</v>
      </c>
      <c r="X35" s="108">
        <f t="shared" si="15"/>
        <v>67356.569389282202</v>
      </c>
      <c r="Y35" s="108">
        <f t="shared" si="16"/>
        <v>18186.273735106195</v>
      </c>
      <c r="Z35" s="108">
        <f t="shared" si="17"/>
        <v>49170.295654176007</v>
      </c>
      <c r="AA35" s="108">
        <f t="shared" si="18"/>
        <v>4045.7647922321817</v>
      </c>
      <c r="AB35" s="108">
        <f t="shared" si="19"/>
        <v>45124.530861943822</v>
      </c>
      <c r="AC35" s="109">
        <f t="shared" si="20"/>
        <v>0.74211386410757851</v>
      </c>
      <c r="AD35" s="108">
        <f t="shared" si="21"/>
        <v>36489.958107232633</v>
      </c>
      <c r="AE35" s="108">
        <f t="shared" si="22"/>
        <v>250841.16903525239</v>
      </c>
      <c r="AF35" s="48">
        <f t="shared" si="23"/>
        <v>0.14547037173991345</v>
      </c>
      <c r="AG35" s="110"/>
    </row>
    <row r="36" spans="2:33" x14ac:dyDescent="0.4">
      <c r="B36" s="111" t="s">
        <v>22</v>
      </c>
      <c r="C36" s="119">
        <f>12*((1+C35/2)^(2/12)-1)</f>
        <v>0.14363279304340359</v>
      </c>
      <c r="E36" s="107">
        <v>32</v>
      </c>
      <c r="F36" s="107">
        <v>3</v>
      </c>
      <c r="G36" s="141">
        <f t="shared" si="24"/>
        <v>85732717.09375833</v>
      </c>
      <c r="H36" s="141">
        <f t="shared" si="0"/>
        <v>1557087.464896587</v>
      </c>
      <c r="I36" s="141">
        <f t="shared" si="1"/>
        <v>1005467.0931734607</v>
      </c>
      <c r="J36" s="141">
        <f t="shared" si="2"/>
        <v>551620.37172312627</v>
      </c>
      <c r="K36" s="108">
        <f t="shared" si="3"/>
        <v>85181096.722035199</v>
      </c>
      <c r="L36" s="108">
        <f t="shared" si="4"/>
        <v>89825892.544612646</v>
      </c>
      <c r="M36" s="108">
        <f t="shared" si="5"/>
        <v>166000.90496374376</v>
      </c>
      <c r="N36" s="108">
        <f t="shared" si="6"/>
        <v>12500</v>
      </c>
      <c r="O36" s="108">
        <f t="shared" si="7"/>
        <v>178500.90496374376</v>
      </c>
      <c r="P36" s="108">
        <f t="shared" si="8"/>
        <v>71400.361985497511</v>
      </c>
      <c r="Q36" s="100">
        <f t="shared" si="9"/>
        <v>2.2333333333333333E-3</v>
      </c>
      <c r="R36" s="100">
        <f>20%</f>
        <v>0.2</v>
      </c>
      <c r="S36" s="108">
        <f t="shared" si="10"/>
        <v>40122.232003260317</v>
      </c>
      <c r="T36" s="108">
        <f t="shared" si="11"/>
        <v>319331.04799609794</v>
      </c>
      <c r="U36" s="108">
        <f t="shared" si="12"/>
        <v>6064.9294776539673</v>
      </c>
      <c r="V36" s="108">
        <f t="shared" si="13"/>
        <v>10484.33276428339</v>
      </c>
      <c r="W36" s="108">
        <f t="shared" si="14"/>
        <v>335880.31023803534</v>
      </c>
      <c r="X36" s="108">
        <f t="shared" si="15"/>
        <v>66978.310974985929</v>
      </c>
      <c r="Y36" s="108">
        <f t="shared" si="16"/>
        <v>18084.143963246202</v>
      </c>
      <c r="Z36" s="108">
        <f t="shared" si="17"/>
        <v>48894.16701173973</v>
      </c>
      <c r="AA36" s="108">
        <f t="shared" si="18"/>
        <v>4020.2855906478271</v>
      </c>
      <c r="AB36" s="108">
        <f t="shared" si="19"/>
        <v>44873.881421091901</v>
      </c>
      <c r="AC36" s="109">
        <f t="shared" si="20"/>
        <v>0.73500818537296575</v>
      </c>
      <c r="AD36" s="108">
        <f t="shared" si="21"/>
        <v>35937.612970621543</v>
      </c>
      <c r="AE36" s="108">
        <f t="shared" si="22"/>
        <v>246874.77733056713</v>
      </c>
      <c r="AF36" s="48">
        <f t="shared" si="23"/>
        <v>0.14557020915304286</v>
      </c>
      <c r="AG36" s="110"/>
    </row>
    <row r="37" spans="2:33" x14ac:dyDescent="0.4">
      <c r="B37" s="111" t="s">
        <v>23</v>
      </c>
      <c r="C37" s="120">
        <v>0.11600978943123419</v>
      </c>
      <c r="E37" s="107">
        <v>33</v>
      </c>
      <c r="F37" s="107">
        <v>3</v>
      </c>
      <c r="G37" s="141">
        <f t="shared" si="24"/>
        <v>85181096.722035199</v>
      </c>
      <c r="H37" s="141">
        <f t="shared" si="0"/>
        <v>1557087.464896587</v>
      </c>
      <c r="I37" s="141">
        <f t="shared" si="1"/>
        <v>998997.72942886874</v>
      </c>
      <c r="J37" s="141">
        <f t="shared" si="2"/>
        <v>558089.73546771822</v>
      </c>
      <c r="K37" s="108">
        <f t="shared" si="3"/>
        <v>84623006.986567482</v>
      </c>
      <c r="L37" s="108">
        <f t="shared" si="4"/>
        <v>89247935.91480431</v>
      </c>
      <c r="M37" s="108">
        <f t="shared" si="5"/>
        <v>164932.82402560746</v>
      </c>
      <c r="N37" s="108">
        <f t="shared" si="6"/>
        <v>12500</v>
      </c>
      <c r="O37" s="108">
        <f t="shared" si="7"/>
        <v>177432.82402560746</v>
      </c>
      <c r="P37" s="108">
        <f t="shared" si="8"/>
        <v>70973.129610242991</v>
      </c>
      <c r="Q37" s="100">
        <f t="shared" si="9"/>
        <v>2.2333333333333333E-3</v>
      </c>
      <c r="R37" s="100">
        <f>20%</f>
        <v>0.2</v>
      </c>
      <c r="S37" s="108">
        <f t="shared" si="10"/>
        <v>39864.078041945926</v>
      </c>
      <c r="T37" s="108">
        <f t="shared" si="11"/>
        <v>317276.4121771293</v>
      </c>
      <c r="U37" s="108">
        <f t="shared" si="12"/>
        <v>6028.6392663100032</v>
      </c>
      <c r="V37" s="108">
        <f t="shared" si="13"/>
        <v>10421.598539059807</v>
      </c>
      <c r="W37" s="108">
        <f t="shared" si="14"/>
        <v>333726.64998249913</v>
      </c>
      <c r="X37" s="108">
        <f t="shared" si="15"/>
        <v>66595.616373418539</v>
      </c>
      <c r="Y37" s="108">
        <f t="shared" si="16"/>
        <v>17980.816420823008</v>
      </c>
      <c r="Z37" s="108">
        <f t="shared" si="17"/>
        <v>48614.799952595531</v>
      </c>
      <c r="AA37" s="108">
        <f t="shared" si="18"/>
        <v>3994.507570833724</v>
      </c>
      <c r="AB37" s="108">
        <f t="shared" si="19"/>
        <v>44620.292381761807</v>
      </c>
      <c r="AC37" s="109">
        <f t="shared" si="20"/>
        <v>0.72797054292324348</v>
      </c>
      <c r="AD37" s="108">
        <f t="shared" si="21"/>
        <v>35390.14231559584</v>
      </c>
      <c r="AE37" s="108">
        <f t="shared" si="22"/>
        <v>242943.17057571514</v>
      </c>
      <c r="AF37" s="48">
        <f t="shared" si="23"/>
        <v>0.14567251358303249</v>
      </c>
      <c r="AG37" s="110"/>
    </row>
    <row r="38" spans="2:33" x14ac:dyDescent="0.4">
      <c r="B38" s="121"/>
      <c r="C38" s="117"/>
      <c r="E38" s="107">
        <v>34</v>
      </c>
      <c r="F38" s="107">
        <v>3</v>
      </c>
      <c r="G38" s="141">
        <f t="shared" si="24"/>
        <v>84623006.986567482</v>
      </c>
      <c r="H38" s="141">
        <f t="shared" si="0"/>
        <v>1557087.464896587</v>
      </c>
      <c r="I38" s="141">
        <f t="shared" si="1"/>
        <v>992452.49345510383</v>
      </c>
      <c r="J38" s="141">
        <f t="shared" si="2"/>
        <v>564634.97144148313</v>
      </c>
      <c r="K38" s="108">
        <f t="shared" si="3"/>
        <v>84058372.015126005</v>
      </c>
      <c r="L38" s="108">
        <f t="shared" si="4"/>
        <v>88663201.051525086</v>
      </c>
      <c r="M38" s="108">
        <f t="shared" si="5"/>
        <v>163852.21671163067</v>
      </c>
      <c r="N38" s="108">
        <f t="shared" si="6"/>
        <v>12500</v>
      </c>
      <c r="O38" s="108">
        <f t="shared" si="7"/>
        <v>176352.21671163067</v>
      </c>
      <c r="P38" s="108">
        <f t="shared" si="8"/>
        <v>70540.886684652272</v>
      </c>
      <c r="Q38" s="100">
        <f t="shared" si="9"/>
        <v>2.2333333333333333E-3</v>
      </c>
      <c r="R38" s="100">
        <f>20%</f>
        <v>0.2</v>
      </c>
      <c r="S38" s="108">
        <f t="shared" si="10"/>
        <v>39602.896469681204</v>
      </c>
      <c r="T38" s="108">
        <f t="shared" si="11"/>
        <v>315197.67973817169</v>
      </c>
      <c r="U38" s="108">
        <f t="shared" si="12"/>
        <v>5991.9234459972849</v>
      </c>
      <c r="V38" s="108">
        <f t="shared" si="13"/>
        <v>10358.128571389041</v>
      </c>
      <c r="W38" s="108">
        <f t="shared" si="14"/>
        <v>331547.73175555805</v>
      </c>
      <c r="X38" s="108">
        <f t="shared" si="15"/>
        <v>66208.43355729719</v>
      </c>
      <c r="Y38" s="108">
        <f t="shared" si="16"/>
        <v>17876.277060470242</v>
      </c>
      <c r="Z38" s="108">
        <f t="shared" si="17"/>
        <v>48332.156496826952</v>
      </c>
      <c r="AA38" s="108">
        <f t="shared" si="18"/>
        <v>3968.42722827133</v>
      </c>
      <c r="AB38" s="108">
        <f t="shared" si="19"/>
        <v>44363.729268555624</v>
      </c>
      <c r="AC38" s="109">
        <f t="shared" si="20"/>
        <v>0.72100028531662341</v>
      </c>
      <c r="AD38" s="108">
        <f t="shared" si="21"/>
        <v>34847.498624179927</v>
      </c>
      <c r="AE38" s="108">
        <f t="shared" si="22"/>
        <v>239046.00919183667</v>
      </c>
      <c r="AF38" s="48">
        <f t="shared" si="23"/>
        <v>0.14577737039824196</v>
      </c>
      <c r="AG38" s="110"/>
    </row>
    <row r="39" spans="2:33" x14ac:dyDescent="0.4">
      <c r="B39" s="106" t="s">
        <v>91</v>
      </c>
      <c r="C39" s="106"/>
      <c r="E39" s="107">
        <v>35</v>
      </c>
      <c r="F39" s="107">
        <v>3</v>
      </c>
      <c r="G39" s="141">
        <f t="shared" si="24"/>
        <v>84058372.015126005</v>
      </c>
      <c r="H39" s="141">
        <f t="shared" si="0"/>
        <v>1557087.464896587</v>
      </c>
      <c r="I39" s="141">
        <f t="shared" si="1"/>
        <v>985830.49542816076</v>
      </c>
      <c r="J39" s="141">
        <f t="shared" si="2"/>
        <v>571256.96946842619</v>
      </c>
      <c r="K39" s="108">
        <f t="shared" si="3"/>
        <v>83487115.045657575</v>
      </c>
      <c r="L39" s="108">
        <f t="shared" si="4"/>
        <v>88071608.460144058</v>
      </c>
      <c r="M39" s="108">
        <f t="shared" si="5"/>
        <v>162758.93611338534</v>
      </c>
      <c r="N39" s="108">
        <f t="shared" si="6"/>
        <v>12500</v>
      </c>
      <c r="O39" s="108">
        <f t="shared" si="7"/>
        <v>175258.93611338534</v>
      </c>
      <c r="P39" s="108">
        <f t="shared" si="8"/>
        <v>70103.574445354141</v>
      </c>
      <c r="Q39" s="100">
        <f t="shared" si="9"/>
        <v>2.2333333333333333E-3</v>
      </c>
      <c r="R39" s="100">
        <f>20%</f>
        <v>0.2</v>
      </c>
      <c r="S39" s="108">
        <f t="shared" si="10"/>
        <v>39338.651778864347</v>
      </c>
      <c r="T39" s="108">
        <f t="shared" si="11"/>
        <v>313094.56807581213</v>
      </c>
      <c r="U39" s="108">
        <f t="shared" si="12"/>
        <v>5954.777025204673</v>
      </c>
      <c r="V39" s="108">
        <f t="shared" si="13"/>
        <v>10293.914232536994</v>
      </c>
      <c r="W39" s="108">
        <f t="shared" si="14"/>
        <v>329343.25933355378</v>
      </c>
      <c r="X39" s="108">
        <f t="shared" si="15"/>
        <v>65816.709889166843</v>
      </c>
      <c r="Y39" s="108">
        <f t="shared" si="16"/>
        <v>17770.511670075048</v>
      </c>
      <c r="Z39" s="108">
        <f t="shared" si="17"/>
        <v>48046.198219091792</v>
      </c>
      <c r="AA39" s="108">
        <f t="shared" si="18"/>
        <v>3942.0410173413607</v>
      </c>
      <c r="AB39" s="108">
        <f t="shared" si="19"/>
        <v>44104.15720175043</v>
      </c>
      <c r="AC39" s="109">
        <f t="shared" si="20"/>
        <v>0.71409676734881833</v>
      </c>
      <c r="AD39" s="108">
        <f t="shared" si="21"/>
        <v>34309.634831654002</v>
      </c>
      <c r="AE39" s="108">
        <f t="shared" si="22"/>
        <v>235182.9568382143</v>
      </c>
      <c r="AF39" s="48">
        <f t="shared" si="23"/>
        <v>0.14588486892464783</v>
      </c>
      <c r="AG39" s="110"/>
    </row>
    <row r="40" spans="2:33" x14ac:dyDescent="0.4">
      <c r="E40" s="107">
        <v>36</v>
      </c>
      <c r="F40" s="107">
        <v>3</v>
      </c>
      <c r="G40" s="141">
        <f t="shared" si="24"/>
        <v>83487115.045657575</v>
      </c>
      <c r="H40" s="141">
        <f t="shared" si="0"/>
        <v>1557087.464896587</v>
      </c>
      <c r="I40" s="141">
        <f t="shared" si="1"/>
        <v>979130.83508824231</v>
      </c>
      <c r="J40" s="141">
        <f t="shared" si="2"/>
        <v>577956.62980834465</v>
      </c>
      <c r="K40" s="108">
        <f t="shared" si="3"/>
        <v>82909158.415849224</v>
      </c>
      <c r="L40" s="108">
        <f t="shared" si="4"/>
        <v>87473077.713723004</v>
      </c>
      <c r="M40" s="108">
        <f t="shared" si="5"/>
        <v>161652.83359951191</v>
      </c>
      <c r="N40" s="108">
        <f t="shared" si="6"/>
        <v>12500</v>
      </c>
      <c r="O40" s="108">
        <f t="shared" si="7"/>
        <v>174152.83359951191</v>
      </c>
      <c r="P40" s="108">
        <f t="shared" si="8"/>
        <v>69661.133439804762</v>
      </c>
      <c r="Q40" s="100">
        <f t="shared" si="9"/>
        <v>2.2333333333333333E-3</v>
      </c>
      <c r="R40" s="100">
        <f>20%</f>
        <v>0.2</v>
      </c>
      <c r="S40" s="108">
        <f t="shared" si="10"/>
        <v>39071.308045462938</v>
      </c>
      <c r="T40" s="108">
        <f t="shared" si="11"/>
        <v>310966.79127228522</v>
      </c>
      <c r="U40" s="108">
        <f t="shared" si="12"/>
        <v>5917.1949538809413</v>
      </c>
      <c r="V40" s="108">
        <f t="shared" si="13"/>
        <v>10228.946792572391</v>
      </c>
      <c r="W40" s="108">
        <f t="shared" si="14"/>
        <v>327112.93301873852</v>
      </c>
      <c r="X40" s="108">
        <f t="shared" si="15"/>
        <v>65420.392114244212</v>
      </c>
      <c r="Y40" s="108">
        <f t="shared" si="16"/>
        <v>17663.50587084594</v>
      </c>
      <c r="Z40" s="108">
        <f t="shared" si="17"/>
        <v>47756.886243398272</v>
      </c>
      <c r="AA40" s="108">
        <f t="shared" si="18"/>
        <v>3915.3453508417679</v>
      </c>
      <c r="AB40" s="108">
        <f t="shared" si="19"/>
        <v>43841.540892556506</v>
      </c>
      <c r="AC40" s="109">
        <f t="shared" si="20"/>
        <v>0.70725934999331863</v>
      </c>
      <c r="AD40" s="108">
        <f t="shared" si="21"/>
        <v>33776.50432221072</v>
      </c>
      <c r="AE40" s="108">
        <f t="shared" si="22"/>
        <v>231353.68038124099</v>
      </c>
      <c r="AF40" s="48">
        <f t="shared" si="23"/>
        <v>0.14599510267807889</v>
      </c>
      <c r="AG40" s="110"/>
    </row>
    <row r="41" spans="2:33" x14ac:dyDescent="0.4">
      <c r="E41" s="107">
        <v>37</v>
      </c>
      <c r="F41" s="107">
        <v>4</v>
      </c>
      <c r="G41" s="141">
        <f t="shared" si="24"/>
        <v>82909158.415849224</v>
      </c>
      <c r="H41" s="141">
        <f t="shared" si="0"/>
        <v>1557087.464896587</v>
      </c>
      <c r="I41" s="141">
        <f t="shared" si="1"/>
        <v>972352.60161737003</v>
      </c>
      <c r="J41" s="141">
        <f t="shared" si="2"/>
        <v>584734.86327921692</v>
      </c>
      <c r="K41" s="108">
        <f t="shared" si="3"/>
        <v>82324423.55257</v>
      </c>
      <c r="L41" s="108">
        <f t="shared" si="4"/>
        <v>86867527.44208242</v>
      </c>
      <c r="M41" s="108">
        <f t="shared" si="5"/>
        <v>160533.7587955131</v>
      </c>
      <c r="N41" s="108">
        <f t="shared" si="6"/>
        <v>12500</v>
      </c>
      <c r="O41" s="108">
        <f t="shared" si="7"/>
        <v>173033.7587955131</v>
      </c>
      <c r="P41" s="108">
        <f t="shared" si="8"/>
        <v>69213.503518205238</v>
      </c>
      <c r="Q41" s="100">
        <f t="shared" si="9"/>
        <v>2.2333333333333333E-3</v>
      </c>
      <c r="R41" s="100">
        <f>20%</f>
        <v>0.2</v>
      </c>
      <c r="S41" s="108">
        <f t="shared" si="10"/>
        <v>38800.828924130146</v>
      </c>
      <c r="T41" s="108">
        <f t="shared" si="11"/>
        <v>308814.06005660299</v>
      </c>
      <c r="U41" s="108">
        <f t="shared" si="12"/>
        <v>5879.1721227482321</v>
      </c>
      <c r="V41" s="108">
        <f t="shared" si="13"/>
        <v>10163.21741917996</v>
      </c>
      <c r="W41" s="108">
        <f t="shared" si="14"/>
        <v>324856.44959853118</v>
      </c>
      <c r="X41" s="108">
        <f t="shared" si="15"/>
        <v>65019.426353177718</v>
      </c>
      <c r="Y41" s="108">
        <f t="shared" si="16"/>
        <v>17555.245115357986</v>
      </c>
      <c r="Z41" s="108">
        <f t="shared" si="17"/>
        <v>47464.181237819736</v>
      </c>
      <c r="AA41" s="108">
        <f t="shared" si="18"/>
        <v>3888.3365995000581</v>
      </c>
      <c r="AB41" s="108">
        <f t="shared" si="19"/>
        <v>43575.844638319679</v>
      </c>
      <c r="AC41" s="109">
        <f t="shared" si="20"/>
        <v>0.70048740034224055</v>
      </c>
      <c r="AD41" s="108">
        <f t="shared" si="21"/>
        <v>33248.060924653299</v>
      </c>
      <c r="AE41" s="108">
        <f t="shared" si="22"/>
        <v>227557.8498636852</v>
      </c>
      <c r="AF41" s="48">
        <f t="shared" si="23"/>
        <v>0.14610816961300171</v>
      </c>
      <c r="AG41" s="110"/>
    </row>
    <row r="42" spans="2:33" x14ac:dyDescent="0.4">
      <c r="B42" s="111" t="s">
        <v>92</v>
      </c>
      <c r="C42" s="114">
        <v>0.17</v>
      </c>
      <c r="E42" s="107">
        <v>38</v>
      </c>
      <c r="F42" s="107">
        <v>4</v>
      </c>
      <c r="G42" s="141">
        <f t="shared" si="24"/>
        <v>82324423.55257</v>
      </c>
      <c r="H42" s="141">
        <f t="shared" si="0"/>
        <v>1557087.464896587</v>
      </c>
      <c r="I42" s="141">
        <f t="shared" si="1"/>
        <v>965494.87351555831</v>
      </c>
      <c r="J42" s="141">
        <f t="shared" si="2"/>
        <v>591592.59138102864</v>
      </c>
      <c r="K42" s="108">
        <f t="shared" si="3"/>
        <v>81732830.961188972</v>
      </c>
      <c r="L42" s="108">
        <f t="shared" si="4"/>
        <v>86254875.32073921</v>
      </c>
      <c r="M42" s="108">
        <f t="shared" si="5"/>
        <v>159401.55956331044</v>
      </c>
      <c r="N42" s="108">
        <f t="shared" si="6"/>
        <v>12500</v>
      </c>
      <c r="O42" s="108">
        <f t="shared" si="7"/>
        <v>171901.55956331044</v>
      </c>
      <c r="P42" s="108">
        <f t="shared" si="8"/>
        <v>68760.623825324175</v>
      </c>
      <c r="Q42" s="100">
        <f t="shared" si="9"/>
        <v>2.2333333333333333E-3</v>
      </c>
      <c r="R42" s="100">
        <f>20%</f>
        <v>0.2</v>
      </c>
      <c r="S42" s="108">
        <f t="shared" si="10"/>
        <v>38527.177643263516</v>
      </c>
      <c r="T42" s="108">
        <f t="shared" si="11"/>
        <v>306636.08176522783</v>
      </c>
      <c r="U42" s="108">
        <f t="shared" si="12"/>
        <v>5840.7033626074481</v>
      </c>
      <c r="V42" s="108">
        <f t="shared" si="13"/>
        <v>10096.717176459679</v>
      </c>
      <c r="W42" s="108">
        <f t="shared" si="14"/>
        <v>322573.50230429496</v>
      </c>
      <c r="X42" s="108">
        <f t="shared" si="15"/>
        <v>64613.758094722747</v>
      </c>
      <c r="Y42" s="108">
        <f t="shared" si="16"/>
        <v>17445.714685575142</v>
      </c>
      <c r="Z42" s="108">
        <f t="shared" si="17"/>
        <v>47168.043409147605</v>
      </c>
      <c r="AA42" s="108">
        <f t="shared" si="18"/>
        <v>3861.0110914798893</v>
      </c>
      <c r="AB42" s="108">
        <f t="shared" si="19"/>
        <v>43307.032317667719</v>
      </c>
      <c r="AC42" s="109">
        <f t="shared" si="20"/>
        <v>0.69378029154774112</v>
      </c>
      <c r="AD42" s="108">
        <f t="shared" si="21"/>
        <v>32724.258908134936</v>
      </c>
      <c r="AE42" s="108">
        <f t="shared" si="22"/>
        <v>223795.13847424969</v>
      </c>
      <c r="AF42" s="48">
        <f t="shared" si="23"/>
        <v>0.14622417238925076</v>
      </c>
      <c r="AG42" s="110"/>
    </row>
    <row r="43" spans="2:33" x14ac:dyDescent="0.4">
      <c r="B43" s="111" t="s">
        <v>93</v>
      </c>
      <c r="C43" s="122">
        <f>SUM(AD5:AD124)/SUM(AE5:AE124)</f>
        <v>0.17561923812068198</v>
      </c>
      <c r="E43" s="107">
        <v>39</v>
      </c>
      <c r="F43" s="107">
        <v>4</v>
      </c>
      <c r="G43" s="141">
        <f t="shared" si="24"/>
        <v>81732830.961188972</v>
      </c>
      <c r="H43" s="141">
        <f t="shared" si="0"/>
        <v>1557087.464896587</v>
      </c>
      <c r="I43" s="141">
        <f t="shared" si="1"/>
        <v>958556.71847553633</v>
      </c>
      <c r="J43" s="141">
        <f t="shared" si="2"/>
        <v>598530.74642105063</v>
      </c>
      <c r="K43" s="108">
        <f t="shared" si="3"/>
        <v>81134300.214767918</v>
      </c>
      <c r="L43" s="108">
        <f t="shared" si="4"/>
        <v>85635038.059714735</v>
      </c>
      <c r="M43" s="108">
        <f t="shared" si="5"/>
        <v>158256.08198056102</v>
      </c>
      <c r="N43" s="108">
        <f t="shared" si="6"/>
        <v>12500</v>
      </c>
      <c r="O43" s="108">
        <f t="shared" si="7"/>
        <v>170756.08198056102</v>
      </c>
      <c r="P43" s="108">
        <f t="shared" si="8"/>
        <v>68302.432792224412</v>
      </c>
      <c r="Q43" s="100">
        <f t="shared" si="9"/>
        <v>2.2333333333333333E-3</v>
      </c>
      <c r="R43" s="100">
        <f>20%</f>
        <v>0.2</v>
      </c>
      <c r="S43" s="108">
        <f t="shared" si="10"/>
        <v>38250.317000005918</v>
      </c>
      <c r="T43" s="108">
        <f t="shared" si="11"/>
        <v>304432.56030228583</v>
      </c>
      <c r="U43" s="108">
        <f t="shared" si="12"/>
        <v>5801.7834436354979</v>
      </c>
      <c r="V43" s="108">
        <f t="shared" si="13"/>
        <v>10029.437023711931</v>
      </c>
      <c r="W43" s="108">
        <f t="shared" si="14"/>
        <v>320263.78076963325</v>
      </c>
      <c r="X43" s="108">
        <f t="shared" si="15"/>
        <v>64203.332188330693</v>
      </c>
      <c r="Y43" s="108">
        <f t="shared" si="16"/>
        <v>17334.899690849288</v>
      </c>
      <c r="Z43" s="108">
        <f t="shared" si="17"/>
        <v>46868.432497481408</v>
      </c>
      <c r="AA43" s="108">
        <f t="shared" si="18"/>
        <v>3833.3651118818925</v>
      </c>
      <c r="AB43" s="108">
        <f t="shared" si="19"/>
        <v>43035.067385599512</v>
      </c>
      <c r="AC43" s="109">
        <f t="shared" si="20"/>
        <v>0.68713740276399327</v>
      </c>
      <c r="AD43" s="108">
        <f t="shared" si="21"/>
        <v>32205.052977938914</v>
      </c>
      <c r="AE43" s="108">
        <f t="shared" si="22"/>
        <v>220065.22251742272</v>
      </c>
      <c r="AF43" s="48">
        <f t="shared" si="23"/>
        <v>0.14634321865822855</v>
      </c>
      <c r="AG43" s="110"/>
    </row>
    <row r="44" spans="2:33" x14ac:dyDescent="0.4">
      <c r="B44" s="111" t="s">
        <v>94</v>
      </c>
      <c r="C44" s="123">
        <f>SUM(AD5:AD124)-$C$36*SUM(AE5:AE124)</f>
        <v>630322.80067170504</v>
      </c>
      <c r="E44" s="107">
        <v>40</v>
      </c>
      <c r="F44" s="107">
        <v>4</v>
      </c>
      <c r="G44" s="141">
        <f t="shared" si="24"/>
        <v>81134300.214767918</v>
      </c>
      <c r="H44" s="141">
        <f t="shared" si="0"/>
        <v>1557087.464896587</v>
      </c>
      <c r="I44" s="141">
        <f t="shared" si="1"/>
        <v>951537.1932560011</v>
      </c>
      <c r="J44" s="141">
        <f t="shared" si="2"/>
        <v>605550.27164058585</v>
      </c>
      <c r="K44" s="108">
        <f t="shared" si="3"/>
        <v>80528749.943127334</v>
      </c>
      <c r="L44" s="108">
        <f t="shared" si="4"/>
        <v>85007931.392211497</v>
      </c>
      <c r="M44" s="108">
        <f t="shared" si="5"/>
        <v>157097.1703197319</v>
      </c>
      <c r="N44" s="108">
        <f t="shared" si="6"/>
        <v>12500</v>
      </c>
      <c r="O44" s="108">
        <f t="shared" si="7"/>
        <v>169597.1703197319</v>
      </c>
      <c r="P44" s="108">
        <f t="shared" si="8"/>
        <v>67838.868127892769</v>
      </c>
      <c r="Q44" s="100">
        <f t="shared" si="9"/>
        <v>2.2333333333333333E-3</v>
      </c>
      <c r="R44" s="100">
        <f>20%</f>
        <v>0.2</v>
      </c>
      <c r="S44" s="108">
        <f t="shared" si="10"/>
        <v>37970.209355187799</v>
      </c>
      <c r="T44" s="108">
        <f t="shared" si="11"/>
        <v>302203.19609931187</v>
      </c>
      <c r="U44" s="108">
        <f t="shared" si="12"/>
        <v>5762.4070746743037</v>
      </c>
      <c r="V44" s="108">
        <f t="shared" si="13"/>
        <v>9961.3678142084336</v>
      </c>
      <c r="W44" s="108">
        <f t="shared" si="14"/>
        <v>317926.97098819463</v>
      </c>
      <c r="X44" s="108">
        <f t="shared" si="15"/>
        <v>63788.092836651333</v>
      </c>
      <c r="Y44" s="108">
        <f t="shared" si="16"/>
        <v>17222.78506589586</v>
      </c>
      <c r="Z44" s="108">
        <f t="shared" si="17"/>
        <v>46565.307770755477</v>
      </c>
      <c r="AA44" s="108">
        <f t="shared" si="18"/>
        <v>3805.3949022386282</v>
      </c>
      <c r="AB44" s="108">
        <f t="shared" si="19"/>
        <v>42759.912868516847</v>
      </c>
      <c r="AC44" s="109">
        <f t="shared" si="20"/>
        <v>0.68055811908971697</v>
      </c>
      <c r="AD44" s="108">
        <f t="shared" si="21"/>
        <v>31690.398271299127</v>
      </c>
      <c r="AE44" s="108">
        <f t="shared" si="22"/>
        <v>216367.78138361676</v>
      </c>
      <c r="AF44" s="48">
        <f t="shared" si="23"/>
        <v>0.14646542137025725</v>
      </c>
      <c r="AG44" s="110"/>
    </row>
    <row r="45" spans="2:33" x14ac:dyDescent="0.4">
      <c r="E45" s="107">
        <v>41</v>
      </c>
      <c r="F45" s="107">
        <v>4</v>
      </c>
      <c r="G45" s="141">
        <f t="shared" si="24"/>
        <v>80528749.943127334</v>
      </c>
      <c r="H45" s="141">
        <f t="shared" si="0"/>
        <v>1557087.464896587</v>
      </c>
      <c r="I45" s="141">
        <f t="shared" si="1"/>
        <v>944435.34355338407</v>
      </c>
      <c r="J45" s="141">
        <f t="shared" si="2"/>
        <v>612652.12134320289</v>
      </c>
      <c r="K45" s="108">
        <f t="shared" si="3"/>
        <v>79916097.821784139</v>
      </c>
      <c r="L45" s="108">
        <f t="shared" si="4"/>
        <v>84373470.063157126</v>
      </c>
      <c r="M45" s="108">
        <f t="shared" si="5"/>
        <v>155924.66702692895</v>
      </c>
      <c r="N45" s="108">
        <f t="shared" si="6"/>
        <v>12500</v>
      </c>
      <c r="O45" s="108">
        <f t="shared" si="7"/>
        <v>168424.66702692895</v>
      </c>
      <c r="P45" s="108">
        <f t="shared" si="8"/>
        <v>67369.866810771578</v>
      </c>
      <c r="Q45" s="100">
        <f t="shared" si="9"/>
        <v>2.2333333333333333E-3</v>
      </c>
      <c r="R45" s="100">
        <f>20%</f>
        <v>0.2</v>
      </c>
      <c r="S45" s="108">
        <f t="shared" si="10"/>
        <v>37686.816628210181</v>
      </c>
      <c r="T45" s="108">
        <f t="shared" si="11"/>
        <v>299947.68607452355</v>
      </c>
      <c r="U45" s="108">
        <f t="shared" si="12"/>
        <v>5722.5689025114707</v>
      </c>
      <c r="V45" s="108">
        <f t="shared" si="13"/>
        <v>9892.5002939487404</v>
      </c>
      <c r="W45" s="108">
        <f t="shared" si="14"/>
        <v>315562.75527098379</v>
      </c>
      <c r="X45" s="108">
        <f t="shared" si="15"/>
        <v>63367.983587947187</v>
      </c>
      <c r="Y45" s="108">
        <f t="shared" si="16"/>
        <v>17109.355568745741</v>
      </c>
      <c r="Z45" s="108">
        <f t="shared" si="17"/>
        <v>46258.628019201446</v>
      </c>
      <c r="AA45" s="108">
        <f t="shared" si="18"/>
        <v>3777.0966600036195</v>
      </c>
      <c r="AB45" s="108">
        <f t="shared" si="19"/>
        <v>42481.531359197827</v>
      </c>
      <c r="AC45" s="109">
        <f t="shared" si="20"/>
        <v>0.67404183151126151</v>
      </c>
      <c r="AD45" s="108">
        <f t="shared" si="21"/>
        <v>31180.250353260701</v>
      </c>
      <c r="AE45" s="108">
        <f t="shared" si="22"/>
        <v>212702.49751959392</v>
      </c>
      <c r="AF45" s="48">
        <f t="shared" si="23"/>
        <v>0.14659089910492665</v>
      </c>
      <c r="AG45" s="110"/>
    </row>
    <row r="46" spans="2:33" x14ac:dyDescent="0.4">
      <c r="E46" s="107">
        <v>42</v>
      </c>
      <c r="F46" s="107">
        <v>4</v>
      </c>
      <c r="G46" s="141">
        <f t="shared" si="24"/>
        <v>79916097.821784139</v>
      </c>
      <c r="H46" s="141">
        <f t="shared" si="0"/>
        <v>1557087.464896587</v>
      </c>
      <c r="I46" s="141">
        <f t="shared" si="1"/>
        <v>937250.20387211361</v>
      </c>
      <c r="J46" s="141">
        <f t="shared" si="2"/>
        <v>619837.26102447335</v>
      </c>
      <c r="K46" s="108">
        <f t="shared" si="3"/>
        <v>79296260.560759664</v>
      </c>
      <c r="L46" s="108">
        <f t="shared" si="4"/>
        <v>83731567.81761393</v>
      </c>
      <c r="M46" s="108">
        <f t="shared" si="5"/>
        <v>154738.41270047726</v>
      </c>
      <c r="N46" s="108">
        <f t="shared" si="6"/>
        <v>12500</v>
      </c>
      <c r="O46" s="108">
        <f t="shared" si="7"/>
        <v>167238.41270047726</v>
      </c>
      <c r="P46" s="108">
        <f t="shared" si="8"/>
        <v>66895.36508019091</v>
      </c>
      <c r="Q46" s="100">
        <f t="shared" si="9"/>
        <v>2.2333333333333333E-3</v>
      </c>
      <c r="R46" s="100">
        <f>20%</f>
        <v>0.2</v>
      </c>
      <c r="S46" s="108">
        <f t="shared" si="10"/>
        <v>37400.100291867559</v>
      </c>
      <c r="T46" s="108">
        <f t="shared" si="11"/>
        <v>297665.72359161754</v>
      </c>
      <c r="U46" s="108">
        <f t="shared" si="12"/>
        <v>5682.263511152516</v>
      </c>
      <c r="V46" s="108">
        <f t="shared" si="13"/>
        <v>9822.8251004021513</v>
      </c>
      <c r="W46" s="108">
        <f t="shared" si="14"/>
        <v>313170.81220317225</v>
      </c>
      <c r="X46" s="108">
        <f t="shared" si="15"/>
        <v>62942.947328418792</v>
      </c>
      <c r="Y46" s="108">
        <f t="shared" si="16"/>
        <v>16994.595778673076</v>
      </c>
      <c r="Z46" s="108">
        <f t="shared" si="17"/>
        <v>45948.351549745712</v>
      </c>
      <c r="AA46" s="108">
        <f t="shared" si="18"/>
        <v>3748.4665380344045</v>
      </c>
      <c r="AB46" s="108">
        <f t="shared" si="19"/>
        <v>42199.885011711311</v>
      </c>
      <c r="AC46" s="109">
        <f t="shared" si="20"/>
        <v>0.66758793684623141</v>
      </c>
      <c r="AD46" s="108">
        <f t="shared" si="21"/>
        <v>30674.565212580081</v>
      </c>
      <c r="AE46" s="108">
        <f t="shared" si="22"/>
        <v>209069.05639917435</v>
      </c>
      <c r="AF46" s="48">
        <f t="shared" si="23"/>
        <v>0.14671977642647083</v>
      </c>
      <c r="AG46" s="110"/>
    </row>
    <row r="47" spans="2:33" x14ac:dyDescent="0.4">
      <c r="C47" s="124"/>
      <c r="E47" s="107">
        <v>43</v>
      </c>
      <c r="F47" s="107">
        <v>4</v>
      </c>
      <c r="G47" s="141">
        <f t="shared" si="24"/>
        <v>79296260.560759664</v>
      </c>
      <c r="H47" s="141">
        <f t="shared" si="0"/>
        <v>1557087.464896587</v>
      </c>
      <c r="I47" s="141">
        <f t="shared" si="1"/>
        <v>929980.79739335575</v>
      </c>
      <c r="J47" s="141">
        <f t="shared" si="2"/>
        <v>627106.66750323121</v>
      </c>
      <c r="K47" s="108">
        <f t="shared" si="3"/>
        <v>78669153.893256426</v>
      </c>
      <c r="L47" s="108">
        <f t="shared" si="4"/>
        <v>83082137.389052555</v>
      </c>
      <c r="M47" s="108">
        <f t="shared" si="5"/>
        <v>153538.24606925077</v>
      </c>
      <c r="N47" s="108">
        <f t="shared" si="6"/>
        <v>12500</v>
      </c>
      <c r="O47" s="108">
        <f t="shared" si="7"/>
        <v>166038.24606925077</v>
      </c>
      <c r="P47" s="108">
        <f t="shared" si="8"/>
        <v>66415.298427700312</v>
      </c>
      <c r="Q47" s="100">
        <f t="shared" si="9"/>
        <v>2.2333333333333333E-3</v>
      </c>
      <c r="R47" s="100">
        <f>20%</f>
        <v>0.2</v>
      </c>
      <c r="S47" s="108">
        <f t="shared" si="10"/>
        <v>37110.021367110137</v>
      </c>
      <c r="T47" s="108">
        <f t="shared" si="11"/>
        <v>295356.99841808178</v>
      </c>
      <c r="U47" s="108">
        <f t="shared" si="12"/>
        <v>5641.4854210845651</v>
      </c>
      <c r="V47" s="108">
        <f t="shared" si="13"/>
        <v>9752.3327612348894</v>
      </c>
      <c r="W47" s="108">
        <f t="shared" si="14"/>
        <v>310750.81660040125</v>
      </c>
      <c r="X47" s="108">
        <f t="shared" si="15"/>
        <v>62512.926274440324</v>
      </c>
      <c r="Y47" s="108">
        <f t="shared" si="16"/>
        <v>16878.490094098888</v>
      </c>
      <c r="Z47" s="108">
        <f t="shared" si="17"/>
        <v>45634.436180341436</v>
      </c>
      <c r="AA47" s="108">
        <f t="shared" si="18"/>
        <v>3719.5006440695083</v>
      </c>
      <c r="AB47" s="108">
        <f t="shared" si="19"/>
        <v>41914.935536271929</v>
      </c>
      <c r="AC47" s="109">
        <f t="shared" si="20"/>
        <v>0.66119583768765189</v>
      </c>
      <c r="AD47" s="108">
        <f t="shared" si="21"/>
        <v>30173.299257664545</v>
      </c>
      <c r="AE47" s="108">
        <f t="shared" si="22"/>
        <v>205467.14649422417</v>
      </c>
      <c r="AF47" s="48">
        <f t="shared" si="23"/>
        <v>0.14685218426641622</v>
      </c>
      <c r="AG47" s="110"/>
    </row>
    <row r="48" spans="2:33" x14ac:dyDescent="0.4">
      <c r="C48" s="125"/>
      <c r="E48" s="107">
        <v>44</v>
      </c>
      <c r="F48" s="107">
        <v>4</v>
      </c>
      <c r="G48" s="141">
        <f t="shared" si="24"/>
        <v>78669153.893256426</v>
      </c>
      <c r="H48" s="141">
        <f t="shared" si="0"/>
        <v>1557087.464896587</v>
      </c>
      <c r="I48" s="141">
        <f t="shared" si="1"/>
        <v>922626.13584221632</v>
      </c>
      <c r="J48" s="141">
        <f t="shared" si="2"/>
        <v>634461.32905437064</v>
      </c>
      <c r="K48" s="108">
        <f t="shared" si="3"/>
        <v>78034692.564202055</v>
      </c>
      <c r="L48" s="108">
        <f t="shared" si="4"/>
        <v>82425090.487488091</v>
      </c>
      <c r="M48" s="108">
        <f t="shared" si="5"/>
        <v>152324.00397074723</v>
      </c>
      <c r="N48" s="108">
        <f t="shared" si="6"/>
        <v>12500</v>
      </c>
      <c r="O48" s="108">
        <f t="shared" si="7"/>
        <v>164824.00397074723</v>
      </c>
      <c r="P48" s="108">
        <f t="shared" si="8"/>
        <v>65929.601588298901</v>
      </c>
      <c r="Q48" s="100">
        <f t="shared" si="9"/>
        <v>2.2333333333333333E-3</v>
      </c>
      <c r="R48" s="100">
        <f>20%</f>
        <v>0.2</v>
      </c>
      <c r="S48" s="108">
        <f t="shared" si="10"/>
        <v>36816.540417744684</v>
      </c>
      <c r="T48" s="108">
        <f t="shared" si="11"/>
        <v>293021.19668302016</v>
      </c>
      <c r="U48" s="108">
        <f t="shared" si="12"/>
        <v>5600.2290885314151</v>
      </c>
      <c r="V48" s="108">
        <f t="shared" si="13"/>
        <v>9681.0136930223289</v>
      </c>
      <c r="W48" s="108">
        <f t="shared" si="14"/>
        <v>308302.43946457386</v>
      </c>
      <c r="X48" s="108">
        <f t="shared" si="15"/>
        <v>62077.861964703647</v>
      </c>
      <c r="Y48" s="108">
        <f t="shared" si="16"/>
        <v>16761.022730469987</v>
      </c>
      <c r="Z48" s="108">
        <f t="shared" si="17"/>
        <v>45316.839234233659</v>
      </c>
      <c r="AA48" s="108">
        <f t="shared" si="18"/>
        <v>3690.1950401993004</v>
      </c>
      <c r="AB48" s="108">
        <f t="shared" si="19"/>
        <v>41626.644194034357</v>
      </c>
      <c r="AC48" s="109">
        <f t="shared" si="20"/>
        <v>0.65486494234867132</v>
      </c>
      <c r="AD48" s="108">
        <f t="shared" si="21"/>
        <v>29676.409312550433</v>
      </c>
      <c r="AE48" s="108">
        <f t="shared" si="22"/>
        <v>201896.45924592289</v>
      </c>
      <c r="AF48" s="48">
        <f t="shared" si="23"/>
        <v>0.14698826033597079</v>
      </c>
      <c r="AG48" s="110"/>
    </row>
    <row r="49" spans="5:33" x14ac:dyDescent="0.4">
      <c r="E49" s="107">
        <v>45</v>
      </c>
      <c r="F49" s="107">
        <v>4</v>
      </c>
      <c r="G49" s="141">
        <f t="shared" si="24"/>
        <v>78034692.564202055</v>
      </c>
      <c r="H49" s="141">
        <f t="shared" si="0"/>
        <v>1557087.464896587</v>
      </c>
      <c r="I49" s="141">
        <f t="shared" si="1"/>
        <v>915185.21935338492</v>
      </c>
      <c r="J49" s="141">
        <f t="shared" si="2"/>
        <v>641902.24554320204</v>
      </c>
      <c r="K49" s="108">
        <f t="shared" si="3"/>
        <v>77392790.318658859</v>
      </c>
      <c r="L49" s="108">
        <f t="shared" si="4"/>
        <v>81760337.787477151</v>
      </c>
      <c r="M49" s="108">
        <f t="shared" si="5"/>
        <v>151095.5213289065</v>
      </c>
      <c r="N49" s="108">
        <f t="shared" si="6"/>
        <v>12500</v>
      </c>
      <c r="O49" s="108">
        <f t="shared" si="7"/>
        <v>163595.5213289065</v>
      </c>
      <c r="P49" s="108">
        <f t="shared" si="8"/>
        <v>65438.208531562603</v>
      </c>
      <c r="Q49" s="100">
        <f t="shared" si="9"/>
        <v>2.2333333333333333E-3</v>
      </c>
      <c r="R49" s="100">
        <f>20%</f>
        <v>0.2</v>
      </c>
      <c r="S49" s="108">
        <f t="shared" si="10"/>
        <v>36519.617545073124</v>
      </c>
      <c r="T49" s="108">
        <f t="shared" si="11"/>
        <v>290658.00083448121</v>
      </c>
      <c r="U49" s="108">
        <f t="shared" si="12"/>
        <v>5558.4889046998569</v>
      </c>
      <c r="V49" s="108">
        <f t="shared" si="13"/>
        <v>9608.8581999461439</v>
      </c>
      <c r="W49" s="108">
        <f t="shared" si="14"/>
        <v>305825.34793912718</v>
      </c>
      <c r="X49" s="108">
        <f t="shared" si="15"/>
        <v>61637.695252270772</v>
      </c>
      <c r="Y49" s="108">
        <f t="shared" si="16"/>
        <v>16642.177718113111</v>
      </c>
      <c r="Z49" s="108">
        <f t="shared" si="17"/>
        <v>44995.517534157661</v>
      </c>
      <c r="AA49" s="108">
        <f t="shared" si="18"/>
        <v>3660.5457423306293</v>
      </c>
      <c r="AB49" s="108">
        <f t="shared" si="19"/>
        <v>41334.971791827033</v>
      </c>
      <c r="AC49" s="109">
        <f t="shared" si="20"/>
        <v>0.64859466480779016</v>
      </c>
      <c r="AD49" s="108">
        <f t="shared" si="21"/>
        <v>29183.852612920033</v>
      </c>
      <c r="AE49" s="108">
        <f t="shared" si="22"/>
        <v>198356.68903630399</v>
      </c>
      <c r="AF49" s="48">
        <f t="shared" si="23"/>
        <v>0.14712814957089093</v>
      </c>
      <c r="AG49" s="110"/>
    </row>
    <row r="50" spans="5:33" x14ac:dyDescent="0.4">
      <c r="E50" s="107">
        <v>46</v>
      </c>
      <c r="F50" s="107">
        <v>4</v>
      </c>
      <c r="G50" s="141">
        <f t="shared" si="24"/>
        <v>77392790.318658859</v>
      </c>
      <c r="H50" s="141">
        <f t="shared" si="0"/>
        <v>1557087.464896587</v>
      </c>
      <c r="I50" s="141">
        <f t="shared" si="1"/>
        <v>907657.03633520287</v>
      </c>
      <c r="J50" s="141">
        <f t="shared" si="2"/>
        <v>649430.42856138409</v>
      </c>
      <c r="K50" s="108">
        <f t="shared" si="3"/>
        <v>76743359.890097469</v>
      </c>
      <c r="L50" s="108">
        <f t="shared" si="4"/>
        <v>81087788.915973976</v>
      </c>
      <c r="M50" s="108">
        <f t="shared" si="5"/>
        <v>149852.63113166825</v>
      </c>
      <c r="N50" s="108">
        <f t="shared" si="6"/>
        <v>12500</v>
      </c>
      <c r="O50" s="108">
        <f t="shared" si="7"/>
        <v>162352.63113166825</v>
      </c>
      <c r="P50" s="108">
        <f t="shared" si="8"/>
        <v>64941.052452667303</v>
      </c>
      <c r="Q50" s="100">
        <f t="shared" si="9"/>
        <v>2.2333333333333333E-3</v>
      </c>
      <c r="R50" s="100">
        <f>20%</f>
        <v>0.2</v>
      </c>
      <c r="S50" s="108">
        <f t="shared" si="10"/>
        <v>36219.212382468373</v>
      </c>
      <c r="T50" s="108">
        <f t="shared" si="11"/>
        <v>288267.08959628746</v>
      </c>
      <c r="U50" s="108">
        <f t="shared" si="12"/>
        <v>5516.2591950171609</v>
      </c>
      <c r="V50" s="108">
        <f t="shared" si="13"/>
        <v>9535.8564724761436</v>
      </c>
      <c r="W50" s="108">
        <f t="shared" si="14"/>
        <v>303319.20526378078</v>
      </c>
      <c r="X50" s="108">
        <f t="shared" si="15"/>
        <v>61192.366296532586</v>
      </c>
      <c r="Y50" s="108">
        <f t="shared" si="16"/>
        <v>16521.9389000638</v>
      </c>
      <c r="Z50" s="108">
        <f t="shared" si="17"/>
        <v>44670.427396468789</v>
      </c>
      <c r="AA50" s="108">
        <f t="shared" si="18"/>
        <v>3630.54871964519</v>
      </c>
      <c r="AB50" s="108">
        <f t="shared" si="19"/>
        <v>41039.878676823602</v>
      </c>
      <c r="AC50" s="109">
        <f t="shared" si="20"/>
        <v>0.64238442465461632</v>
      </c>
      <c r="AD50" s="108">
        <f t="shared" si="21"/>
        <v>28695.586802156413</v>
      </c>
      <c r="AE50" s="108">
        <f t="shared" si="22"/>
        <v>194847.53316006929</v>
      </c>
      <c r="AF50" s="48">
        <f t="shared" si="23"/>
        <v>0.14727200461184534</v>
      </c>
      <c r="AG50" s="110"/>
    </row>
    <row r="51" spans="5:33" x14ac:dyDescent="0.4">
      <c r="E51" s="107">
        <v>47</v>
      </c>
      <c r="F51" s="107">
        <v>4</v>
      </c>
      <c r="G51" s="141">
        <f t="shared" si="24"/>
        <v>76743359.890097469</v>
      </c>
      <c r="H51" s="141">
        <f t="shared" si="0"/>
        <v>1557087.464896587</v>
      </c>
      <c r="I51" s="141">
        <f t="shared" si="1"/>
        <v>900040.56333213788</v>
      </c>
      <c r="J51" s="141">
        <f t="shared" si="2"/>
        <v>657046.90156444907</v>
      </c>
      <c r="K51" s="108">
        <f t="shared" si="3"/>
        <v>76086312.98853302</v>
      </c>
      <c r="L51" s="108">
        <f t="shared" si="4"/>
        <v>80407352.440044239</v>
      </c>
      <c r="M51" s="108">
        <f t="shared" si="5"/>
        <v>148595.16440826692</v>
      </c>
      <c r="N51" s="108">
        <f t="shared" si="6"/>
        <v>12500</v>
      </c>
      <c r="O51" s="108">
        <f t="shared" si="7"/>
        <v>161095.16440826692</v>
      </c>
      <c r="P51" s="108">
        <f t="shared" si="8"/>
        <v>64438.065763306775</v>
      </c>
      <c r="Q51" s="100">
        <f t="shared" si="9"/>
        <v>2.2333333333333333E-3</v>
      </c>
      <c r="R51" s="100">
        <f>20%</f>
        <v>0.2</v>
      </c>
      <c r="S51" s="108">
        <f t="shared" si="10"/>
        <v>35915.284089886423</v>
      </c>
      <c r="T51" s="108">
        <f t="shared" si="11"/>
        <v>285848.13792435726</v>
      </c>
      <c r="U51" s="108">
        <f t="shared" si="12"/>
        <v>5473.5342183596213</v>
      </c>
      <c r="V51" s="108">
        <f t="shared" si="13"/>
        <v>9461.9985860366851</v>
      </c>
      <c r="W51" s="108">
        <f t="shared" si="14"/>
        <v>300783.67072875355</v>
      </c>
      <c r="X51" s="108">
        <f t="shared" si="15"/>
        <v>60741.814555073724</v>
      </c>
      <c r="Y51" s="108">
        <f t="shared" si="16"/>
        <v>16400.289929869905</v>
      </c>
      <c r="Z51" s="108">
        <f t="shared" si="17"/>
        <v>44341.52462520382</v>
      </c>
      <c r="AA51" s="108">
        <f t="shared" si="18"/>
        <v>3600.1998940515259</v>
      </c>
      <c r="AB51" s="108">
        <f t="shared" si="19"/>
        <v>40741.324731152294</v>
      </c>
      <c r="AC51" s="109">
        <f t="shared" si="20"/>
        <v>0.63623364703613916</v>
      </c>
      <c r="AD51" s="108">
        <f t="shared" si="21"/>
        <v>28211.569927436201</v>
      </c>
      <c r="AE51" s="108">
        <f t="shared" si="22"/>
        <v>191368.69179667209</v>
      </c>
      <c r="AF51" s="48">
        <f t="shared" si="23"/>
        <v>0.14741998632362915</v>
      </c>
      <c r="AG51" s="110"/>
    </row>
    <row r="52" spans="5:33" x14ac:dyDescent="0.4">
      <c r="E52" s="107">
        <v>48</v>
      </c>
      <c r="F52" s="107">
        <v>4</v>
      </c>
      <c r="G52" s="141">
        <f t="shared" si="24"/>
        <v>76086312.98853302</v>
      </c>
      <c r="H52" s="141">
        <f t="shared" si="0"/>
        <v>1557087.464896587</v>
      </c>
      <c r="I52" s="141">
        <f t="shared" si="1"/>
        <v>892334.76488564571</v>
      </c>
      <c r="J52" s="141">
        <f t="shared" si="2"/>
        <v>664752.70001094125</v>
      </c>
      <c r="K52" s="108">
        <f t="shared" si="3"/>
        <v>75421560.28852208</v>
      </c>
      <c r="L52" s="108">
        <f t="shared" si="4"/>
        <v>79718935.854434878</v>
      </c>
      <c r="M52" s="108">
        <f t="shared" si="5"/>
        <v>147322.95020625999</v>
      </c>
      <c r="N52" s="108">
        <f t="shared" si="6"/>
        <v>12500</v>
      </c>
      <c r="O52" s="108">
        <f t="shared" si="7"/>
        <v>159822.95020625999</v>
      </c>
      <c r="P52" s="108">
        <f t="shared" si="8"/>
        <v>63929.180082503997</v>
      </c>
      <c r="Q52" s="100">
        <f t="shared" si="9"/>
        <v>2.2333333333333333E-3</v>
      </c>
      <c r="R52" s="100">
        <f>20%</f>
        <v>0.2</v>
      </c>
      <c r="S52" s="108">
        <f t="shared" si="10"/>
        <v>35607.791348314247</v>
      </c>
      <c r="T52" s="108">
        <f t="shared" si="11"/>
        <v>283400.81696251594</v>
      </c>
      <c r="U52" s="108">
        <f t="shared" si="12"/>
        <v>5430.3081662720479</v>
      </c>
      <c r="V52" s="108">
        <f t="shared" si="13"/>
        <v>9387.2744996574202</v>
      </c>
      <c r="W52" s="108">
        <f t="shared" si="14"/>
        <v>298218.39962844545</v>
      </c>
      <c r="X52" s="108">
        <f t="shared" si="15"/>
        <v>60285.978775441748</v>
      </c>
      <c r="Y52" s="108">
        <f t="shared" si="16"/>
        <v>16277.214269369273</v>
      </c>
      <c r="Z52" s="108">
        <f t="shared" si="17"/>
        <v>44008.764506072475</v>
      </c>
      <c r="AA52" s="108">
        <f t="shared" si="18"/>
        <v>3569.4951396306278</v>
      </c>
      <c r="AB52" s="108">
        <f t="shared" si="19"/>
        <v>40439.269366441848</v>
      </c>
      <c r="AC52" s="109">
        <f t="shared" si="20"/>
        <v>0.63014176260351717</v>
      </c>
      <c r="AD52" s="108">
        <f t="shared" si="21"/>
        <v>27731.760435859615</v>
      </c>
      <c r="AE52" s="108">
        <f t="shared" si="22"/>
        <v>187919.86798266869</v>
      </c>
      <c r="AF52" s="48">
        <f t="shared" si="23"/>
        <v>0.14757226435693982</v>
      </c>
      <c r="AG52" s="110"/>
    </row>
    <row r="53" spans="5:33" x14ac:dyDescent="0.4">
      <c r="E53" s="107">
        <v>49</v>
      </c>
      <c r="F53" s="107">
        <v>5</v>
      </c>
      <c r="G53" s="141">
        <f t="shared" si="24"/>
        <v>75421560.28852208</v>
      </c>
      <c r="H53" s="141">
        <f t="shared" si="0"/>
        <v>1557087.464896587</v>
      </c>
      <c r="I53" s="141">
        <f t="shared" si="1"/>
        <v>884538.59339339903</v>
      </c>
      <c r="J53" s="141">
        <f t="shared" si="2"/>
        <v>672548.87150318793</v>
      </c>
      <c r="K53" s="108">
        <f t="shared" si="3"/>
        <v>74749011.41701889</v>
      </c>
      <c r="L53" s="108">
        <f t="shared" si="4"/>
        <v>79022445.568997845</v>
      </c>
      <c r="M53" s="108">
        <f t="shared" si="5"/>
        <v>146035.81556828707</v>
      </c>
      <c r="N53" s="108">
        <f t="shared" si="6"/>
        <v>12500</v>
      </c>
      <c r="O53" s="108">
        <f t="shared" si="7"/>
        <v>158535.81556828707</v>
      </c>
      <c r="P53" s="108">
        <f t="shared" si="8"/>
        <v>63414.326227314828</v>
      </c>
      <c r="Q53" s="100">
        <f t="shared" si="9"/>
        <v>2.2333333333333333E-3</v>
      </c>
      <c r="R53" s="100">
        <f>20%</f>
        <v>0.2</v>
      </c>
      <c r="S53" s="108">
        <f t="shared" si="10"/>
        <v>35296.692354152372</v>
      </c>
      <c r="T53" s="108">
        <f t="shared" si="11"/>
        <v>280924.79399778735</v>
      </c>
      <c r="U53" s="108">
        <f t="shared" si="12"/>
        <v>5386.5751621781073</v>
      </c>
      <c r="V53" s="108">
        <f t="shared" si="13"/>
        <v>9311.6740546082219</v>
      </c>
      <c r="W53" s="108">
        <f t="shared" si="14"/>
        <v>295623.04321457364</v>
      </c>
      <c r="X53" s="108">
        <f t="shared" si="15"/>
        <v>59824.796986819871</v>
      </c>
      <c r="Y53" s="108">
        <f t="shared" si="16"/>
        <v>16152.695186441366</v>
      </c>
      <c r="Z53" s="108">
        <f t="shared" si="17"/>
        <v>43672.101800378507</v>
      </c>
      <c r="AA53" s="108">
        <f t="shared" si="18"/>
        <v>3538.4302820750013</v>
      </c>
      <c r="AB53" s="108">
        <f t="shared" si="19"/>
        <v>40133.671518303505</v>
      </c>
      <c r="AC53" s="109">
        <f t="shared" si="20"/>
        <v>0.62410820745937834</v>
      </c>
      <c r="AD53" s="108">
        <f t="shared" si="21"/>
        <v>27256.117170617719</v>
      </c>
      <c r="AE53" s="108">
        <f t="shared" si="22"/>
        <v>184500.76758433389</v>
      </c>
      <c r="AF53" s="48">
        <f t="shared" si="23"/>
        <v>0.14772901775684569</v>
      </c>
      <c r="AG53" s="110"/>
    </row>
    <row r="54" spans="5:33" x14ac:dyDescent="0.4">
      <c r="E54" s="107">
        <v>50</v>
      </c>
      <c r="F54" s="107">
        <v>5</v>
      </c>
      <c r="G54" s="141">
        <f t="shared" si="24"/>
        <v>74749011.41701889</v>
      </c>
      <c r="H54" s="141">
        <f t="shared" si="0"/>
        <v>1557087.464896587</v>
      </c>
      <c r="I54" s="141">
        <f t="shared" si="1"/>
        <v>876650.9889668664</v>
      </c>
      <c r="J54" s="141">
        <f t="shared" si="2"/>
        <v>680436.47592972056</v>
      </c>
      <c r="K54" s="108">
        <f t="shared" si="3"/>
        <v>74068574.941089168</v>
      </c>
      <c r="L54" s="108">
        <f t="shared" si="4"/>
        <v>78317786.895966664</v>
      </c>
      <c r="M54" s="108">
        <f t="shared" si="5"/>
        <v>144733.58550855645</v>
      </c>
      <c r="N54" s="108">
        <f t="shared" si="6"/>
        <v>12500</v>
      </c>
      <c r="O54" s="108">
        <f t="shared" si="7"/>
        <v>157233.58550855645</v>
      </c>
      <c r="P54" s="108">
        <f t="shared" si="8"/>
        <v>62893.434203422585</v>
      </c>
      <c r="Q54" s="100">
        <f t="shared" si="9"/>
        <v>2.2333333333333333E-3</v>
      </c>
      <c r="R54" s="100">
        <f>20%</f>
        <v>0.2</v>
      </c>
      <c r="S54" s="108">
        <f t="shared" si="10"/>
        <v>34981.94481353178</v>
      </c>
      <c r="T54" s="108">
        <f t="shared" si="11"/>
        <v>278419.73241516144</v>
      </c>
      <c r="U54" s="108">
        <f t="shared" si="12"/>
        <v>5342.3292605814095</v>
      </c>
      <c r="V54" s="108">
        <f t="shared" si="13"/>
        <v>9235.1869730181224</v>
      </c>
      <c r="W54" s="108">
        <f t="shared" si="14"/>
        <v>292997.24864876096</v>
      </c>
      <c r="X54" s="108">
        <f t="shared" si="15"/>
        <v>59358.20649160209</v>
      </c>
      <c r="Y54" s="108">
        <f t="shared" si="16"/>
        <v>16026.715752732565</v>
      </c>
      <c r="Z54" s="108">
        <f t="shared" si="17"/>
        <v>43331.490738869528</v>
      </c>
      <c r="AA54" s="108">
        <f t="shared" si="18"/>
        <v>3507.001098121179</v>
      </c>
      <c r="AB54" s="108">
        <f t="shared" si="19"/>
        <v>39824.489640748347</v>
      </c>
      <c r="AC54" s="109">
        <f t="shared" si="20"/>
        <v>0.61813242310561989</v>
      </c>
      <c r="AD54" s="108">
        <f t="shared" si="21"/>
        <v>26784.599367196148</v>
      </c>
      <c r="AE54" s="108">
        <f t="shared" si="22"/>
        <v>181111.09927053843</v>
      </c>
      <c r="AF54" s="48">
        <f t="shared" si="23"/>
        <v>0.14789043562253523</v>
      </c>
      <c r="AG54" s="110"/>
    </row>
    <row r="55" spans="5:33" x14ac:dyDescent="0.4">
      <c r="E55" s="107">
        <v>51</v>
      </c>
      <c r="F55" s="107">
        <v>5</v>
      </c>
      <c r="G55" s="141">
        <f t="shared" si="24"/>
        <v>74068574.941089168</v>
      </c>
      <c r="H55" s="141">
        <f t="shared" si="0"/>
        <v>1557087.464896587</v>
      </c>
      <c r="I55" s="141">
        <f t="shared" si="1"/>
        <v>868670.87928722042</v>
      </c>
      <c r="J55" s="141">
        <f t="shared" si="2"/>
        <v>688416.58560936654</v>
      </c>
      <c r="K55" s="108">
        <f t="shared" si="3"/>
        <v>73380158.355479807</v>
      </c>
      <c r="L55" s="108">
        <f t="shared" si="4"/>
        <v>77604864.037083566</v>
      </c>
      <c r="M55" s="108">
        <f t="shared" si="5"/>
        <v>143416.08298905566</v>
      </c>
      <c r="N55" s="108">
        <f t="shared" si="6"/>
        <v>12500</v>
      </c>
      <c r="O55" s="108">
        <f t="shared" si="7"/>
        <v>155916.08298905566</v>
      </c>
      <c r="P55" s="108">
        <f t="shared" si="8"/>
        <v>62366.433195622267</v>
      </c>
      <c r="Q55" s="100">
        <f t="shared" si="9"/>
        <v>2.2333333333333333E-3</v>
      </c>
      <c r="R55" s="100">
        <f>20%</f>
        <v>0.2</v>
      </c>
      <c r="S55" s="108">
        <f t="shared" si="10"/>
        <v>34663.50593656399</v>
      </c>
      <c r="T55" s="108">
        <f t="shared" si="11"/>
        <v>275885.29165183206</v>
      </c>
      <c r="U55" s="108">
        <f t="shared" si="12"/>
        <v>5297.5644462572091</v>
      </c>
      <c r="V55" s="108">
        <f t="shared" si="13"/>
        <v>9157.8028564780216</v>
      </c>
      <c r="W55" s="108">
        <f t="shared" si="14"/>
        <v>290340.65895456728</v>
      </c>
      <c r="X55" s="108">
        <f t="shared" si="15"/>
        <v>58886.143856869414</v>
      </c>
      <c r="Y55" s="108">
        <f t="shared" si="16"/>
        <v>15899.258841354742</v>
      </c>
      <c r="Z55" s="108">
        <f t="shared" si="17"/>
        <v>42986.885015514672</v>
      </c>
      <c r="AA55" s="108">
        <f t="shared" si="18"/>
        <v>3475.2033149755657</v>
      </c>
      <c r="AB55" s="108">
        <f t="shared" si="19"/>
        <v>39511.681700539106</v>
      </c>
      <c r="AC55" s="109">
        <f t="shared" si="20"/>
        <v>0.61221385639171266</v>
      </c>
      <c r="AD55" s="108">
        <f t="shared" si="21"/>
        <v>26317.166649615363</v>
      </c>
      <c r="AE55" s="108">
        <f t="shared" si="22"/>
        <v>177750.57448588667</v>
      </c>
      <c r="AF55" s="48">
        <f t="shared" si="23"/>
        <v>0.148056717823463</v>
      </c>
      <c r="AG55" s="110"/>
    </row>
    <row r="56" spans="5:33" x14ac:dyDescent="0.4">
      <c r="E56" s="107">
        <v>52</v>
      </c>
      <c r="F56" s="107">
        <v>5</v>
      </c>
      <c r="G56" s="141">
        <f t="shared" si="24"/>
        <v>73380158.355479807</v>
      </c>
      <c r="H56" s="141">
        <f t="shared" si="0"/>
        <v>1557087.464896587</v>
      </c>
      <c r="I56" s="141">
        <f t="shared" si="1"/>
        <v>860597.17945955636</v>
      </c>
      <c r="J56" s="141">
        <f t="shared" si="2"/>
        <v>696490.2854370306</v>
      </c>
      <c r="K56" s="108">
        <f t="shared" si="3"/>
        <v>72683668.070042774</v>
      </c>
      <c r="L56" s="108">
        <f t="shared" si="4"/>
        <v>76883580.070575774</v>
      </c>
      <c r="M56" s="108">
        <f t="shared" si="5"/>
        <v>142083.12889548333</v>
      </c>
      <c r="N56" s="108">
        <f t="shared" si="6"/>
        <v>12500</v>
      </c>
      <c r="O56" s="108">
        <f t="shared" si="7"/>
        <v>154583.12889548333</v>
      </c>
      <c r="P56" s="108">
        <f t="shared" si="8"/>
        <v>61833.251558193333</v>
      </c>
      <c r="Q56" s="100">
        <f t="shared" si="9"/>
        <v>2.2333333333333333E-3</v>
      </c>
      <c r="R56" s="100">
        <f>20%</f>
        <v>0.2</v>
      </c>
      <c r="S56" s="108">
        <f t="shared" si="10"/>
        <v>34341.332431523842</v>
      </c>
      <c r="T56" s="108">
        <f t="shared" si="11"/>
        <v>273321.12715089688</v>
      </c>
      <c r="U56" s="108">
        <f t="shared" si="12"/>
        <v>5252.2746334346448</v>
      </c>
      <c r="V56" s="108">
        <f t="shared" si="13"/>
        <v>9079.511184627032</v>
      </c>
      <c r="W56" s="108">
        <f t="shared" si="14"/>
        <v>287652.91296895855</v>
      </c>
      <c r="X56" s="108">
        <f t="shared" si="15"/>
        <v>58408.544905766161</v>
      </c>
      <c r="Y56" s="108">
        <f t="shared" si="16"/>
        <v>15770.307124556864</v>
      </c>
      <c r="Z56" s="108">
        <f t="shared" si="17"/>
        <v>42638.237781209296</v>
      </c>
      <c r="AA56" s="108">
        <f t="shared" si="18"/>
        <v>3443.032609733551</v>
      </c>
      <c r="AB56" s="108">
        <f t="shared" si="19"/>
        <v>39195.205171475747</v>
      </c>
      <c r="AC56" s="109">
        <f t="shared" si="20"/>
        <v>0.60635195946349796</v>
      </c>
      <c r="AD56" s="108">
        <f t="shared" si="21"/>
        <v>25853.779026706805</v>
      </c>
      <c r="AE56" s="108">
        <f t="shared" si="22"/>
        <v>174418.90742411106</v>
      </c>
      <c r="AF56" s="48">
        <f t="shared" si="23"/>
        <v>0.14822807577759697</v>
      </c>
      <c r="AG56" s="110"/>
    </row>
    <row r="57" spans="5:33" x14ac:dyDescent="0.4">
      <c r="E57" s="107">
        <v>53</v>
      </c>
      <c r="F57" s="107">
        <v>5</v>
      </c>
      <c r="G57" s="141">
        <f t="shared" si="24"/>
        <v>72683668.070042774</v>
      </c>
      <c r="H57" s="141">
        <f t="shared" si="0"/>
        <v>1557087.464896587</v>
      </c>
      <c r="I57" s="141">
        <f t="shared" si="1"/>
        <v>852428.7918654005</v>
      </c>
      <c r="J57" s="141">
        <f t="shared" si="2"/>
        <v>704658.67303118645</v>
      </c>
      <c r="K57" s="108">
        <f t="shared" si="3"/>
        <v>71979009.397011593</v>
      </c>
      <c r="L57" s="108">
        <f t="shared" si="4"/>
        <v>76153836.937978983</v>
      </c>
      <c r="M57" s="108">
        <f t="shared" si="5"/>
        <v>140734.54201289846</v>
      </c>
      <c r="N57" s="108">
        <f t="shared" si="6"/>
        <v>12500</v>
      </c>
      <c r="O57" s="108">
        <f t="shared" si="7"/>
        <v>153234.54201289846</v>
      </c>
      <c r="P57" s="108">
        <f t="shared" si="8"/>
        <v>61293.816805159382</v>
      </c>
      <c r="Q57" s="100">
        <f t="shared" si="9"/>
        <v>2.2333333333333333E-3</v>
      </c>
      <c r="R57" s="100">
        <f>20%</f>
        <v>0.2</v>
      </c>
      <c r="S57" s="108">
        <f t="shared" si="10"/>
        <v>34015.380498963947</v>
      </c>
      <c r="T57" s="108">
        <f t="shared" si="11"/>
        <v>270726.89031451521</v>
      </c>
      <c r="U57" s="108">
        <f t="shared" si="12"/>
        <v>5206.4536649693709</v>
      </c>
      <c r="V57" s="108">
        <f t="shared" si="13"/>
        <v>9000.3013137222351</v>
      </c>
      <c r="W57" s="108">
        <f t="shared" si="14"/>
        <v>284933.64529320679</v>
      </c>
      <c r="X57" s="108">
        <f t="shared" si="15"/>
        <v>57925.344708775126</v>
      </c>
      <c r="Y57" s="108">
        <f t="shared" si="16"/>
        <v>15639.843071369285</v>
      </c>
      <c r="Z57" s="108">
        <f t="shared" si="17"/>
        <v>42285.50163740584</v>
      </c>
      <c r="AA57" s="108">
        <f t="shared" si="18"/>
        <v>3410.4846087918118</v>
      </c>
      <c r="AB57" s="108">
        <f t="shared" si="19"/>
        <v>38875.017028614027</v>
      </c>
      <c r="AC57" s="109">
        <f t="shared" si="20"/>
        <v>0.60054618971247498</v>
      </c>
      <c r="AD57" s="108">
        <f t="shared" si="21"/>
        <v>25394.396888424697</v>
      </c>
      <c r="AE57" s="108">
        <f t="shared" si="22"/>
        <v>171115.81500172123</v>
      </c>
      <c r="AF57" s="48">
        <f t="shared" si="23"/>
        <v>0.14840473329814233</v>
      </c>
      <c r="AG57" s="110"/>
    </row>
    <row r="58" spans="5:33" x14ac:dyDescent="0.4">
      <c r="E58" s="107">
        <v>54</v>
      </c>
      <c r="F58" s="107">
        <v>5</v>
      </c>
      <c r="G58" s="141">
        <f t="shared" si="24"/>
        <v>71979009.397011593</v>
      </c>
      <c r="H58" s="141">
        <f t="shared" si="0"/>
        <v>1557087.464896587</v>
      </c>
      <c r="I58" s="141">
        <f t="shared" si="1"/>
        <v>844164.60601348954</v>
      </c>
      <c r="J58" s="141">
        <f t="shared" si="2"/>
        <v>712922.85888309742</v>
      </c>
      <c r="K58" s="108">
        <f t="shared" si="3"/>
        <v>71266086.538128495</v>
      </c>
      <c r="L58" s="108">
        <f t="shared" si="4"/>
        <v>75415535.430806339</v>
      </c>
      <c r="M58" s="108">
        <f t="shared" si="5"/>
        <v>139370.13900108438</v>
      </c>
      <c r="N58" s="108">
        <f t="shared" si="6"/>
        <v>12500</v>
      </c>
      <c r="O58" s="108">
        <f t="shared" si="7"/>
        <v>151870.13900108438</v>
      </c>
      <c r="P58" s="108">
        <f t="shared" si="8"/>
        <v>60748.055600433756</v>
      </c>
      <c r="Q58" s="100">
        <f t="shared" si="9"/>
        <v>2.2333333333333333E-3</v>
      </c>
      <c r="R58" s="100">
        <f>20%</f>
        <v>0.2</v>
      </c>
      <c r="S58" s="108">
        <f t="shared" si="10"/>
        <v>33685.605825760162</v>
      </c>
      <c r="T58" s="108">
        <f t="shared" si="11"/>
        <v>268102.22845651652</v>
      </c>
      <c r="U58" s="108">
        <f t="shared" si="12"/>
        <v>5160.0953115065031</v>
      </c>
      <c r="V58" s="108">
        <f t="shared" si="13"/>
        <v>8920.1624751916697</v>
      </c>
      <c r="W58" s="108">
        <f t="shared" si="14"/>
        <v>282182.48624321469</v>
      </c>
      <c r="X58" s="108">
        <f t="shared" si="15"/>
        <v>57436.477574890458</v>
      </c>
      <c r="Y58" s="108">
        <f t="shared" si="16"/>
        <v>15507.848945220425</v>
      </c>
      <c r="Z58" s="108">
        <f t="shared" si="17"/>
        <v>41928.628629670035</v>
      </c>
      <c r="AA58" s="108">
        <f t="shared" si="18"/>
        <v>3377.5548872537283</v>
      </c>
      <c r="AB58" s="108">
        <f t="shared" si="19"/>
        <v>38551.073742416309</v>
      </c>
      <c r="AC58" s="109">
        <f t="shared" si="20"/>
        <v>0.594796009725575</v>
      </c>
      <c r="AD58" s="108">
        <f t="shared" si="21"/>
        <v>24938.981002193239</v>
      </c>
      <c r="AE58" s="108">
        <f t="shared" si="22"/>
        <v>167841.01683190605</v>
      </c>
      <c r="AF58" s="48">
        <f t="shared" si="23"/>
        <v>0.14858692751587535</v>
      </c>
      <c r="AG58" s="110"/>
    </row>
    <row r="59" spans="5:33" x14ac:dyDescent="0.4">
      <c r="E59" s="107">
        <v>55</v>
      </c>
      <c r="F59" s="107">
        <v>5</v>
      </c>
      <c r="G59" s="141">
        <f t="shared" si="24"/>
        <v>71266086.538128495</v>
      </c>
      <c r="H59" s="141">
        <f t="shared" si="0"/>
        <v>1557087.464896587</v>
      </c>
      <c r="I59" s="141">
        <f t="shared" si="1"/>
        <v>835803.49838879844</v>
      </c>
      <c r="J59" s="141">
        <f t="shared" si="2"/>
        <v>721283.96650778851</v>
      </c>
      <c r="K59" s="108">
        <f t="shared" si="3"/>
        <v>70544802.571620703</v>
      </c>
      <c r="L59" s="108">
        <f t="shared" si="4"/>
        <v>74668575.177061006</v>
      </c>
      <c r="M59" s="108">
        <f t="shared" si="5"/>
        <v>137989.73436962368</v>
      </c>
      <c r="N59" s="108">
        <f t="shared" si="6"/>
        <v>12500</v>
      </c>
      <c r="O59" s="108">
        <f t="shared" si="7"/>
        <v>150489.73436962368</v>
      </c>
      <c r="P59" s="108">
        <f t="shared" si="8"/>
        <v>60195.893747849477</v>
      </c>
      <c r="Q59" s="100">
        <f t="shared" si="9"/>
        <v>2.2333333333333333E-3</v>
      </c>
      <c r="R59" s="100">
        <f>20%</f>
        <v>0.2</v>
      </c>
      <c r="S59" s="108">
        <f t="shared" si="10"/>
        <v>33351.963579087249</v>
      </c>
      <c r="T59" s="108">
        <f t="shared" si="11"/>
        <v>265446.78475445183</v>
      </c>
      <c r="U59" s="108">
        <f t="shared" si="12"/>
        <v>5113.1932706337329</v>
      </c>
      <c r="V59" s="108">
        <f t="shared" si="13"/>
        <v>8839.0837741703417</v>
      </c>
      <c r="W59" s="108">
        <f t="shared" si="14"/>
        <v>279399.0617992559</v>
      </c>
      <c r="X59" s="108">
        <f t="shared" si="15"/>
        <v>56941.877042686952</v>
      </c>
      <c r="Y59" s="108">
        <f t="shared" si="16"/>
        <v>15374.306801525478</v>
      </c>
      <c r="Z59" s="108">
        <f t="shared" si="17"/>
        <v>41567.570241161477</v>
      </c>
      <c r="AA59" s="108">
        <f t="shared" si="18"/>
        <v>3344.2389683278043</v>
      </c>
      <c r="AB59" s="108">
        <f t="shared" si="19"/>
        <v>38223.331272833675</v>
      </c>
      <c r="AC59" s="109">
        <f t="shared" si="20"/>
        <v>0.58910088723541387</v>
      </c>
      <c r="AD59" s="108">
        <f t="shared" si="21"/>
        <v>24487.492509288611</v>
      </c>
      <c r="AE59" s="108">
        <f t="shared" si="22"/>
        <v>164594.23519868389</v>
      </c>
      <c r="AF59" s="48">
        <f t="shared" si="23"/>
        <v>0.1487749098850846</v>
      </c>
      <c r="AG59" s="110"/>
    </row>
    <row r="60" spans="5:33" x14ac:dyDescent="0.4">
      <c r="E60" s="107">
        <v>56</v>
      </c>
      <c r="F60" s="107">
        <v>5</v>
      </c>
      <c r="G60" s="141">
        <f t="shared" si="24"/>
        <v>70544802.571620703</v>
      </c>
      <c r="H60" s="141">
        <f t="shared" si="0"/>
        <v>1557087.464896587</v>
      </c>
      <c r="I60" s="141">
        <f t="shared" si="1"/>
        <v>827344.33229980012</v>
      </c>
      <c r="J60" s="141">
        <f t="shared" si="2"/>
        <v>729743.13259678683</v>
      </c>
      <c r="K60" s="108">
        <f t="shared" si="3"/>
        <v>69815059.439023912</v>
      </c>
      <c r="L60" s="108">
        <f t="shared" si="4"/>
        <v>73912854.627590656</v>
      </c>
      <c r="M60" s="108">
        <f t="shared" si="5"/>
        <v>136593.14045268073</v>
      </c>
      <c r="N60" s="108">
        <f t="shared" si="6"/>
        <v>12500</v>
      </c>
      <c r="O60" s="108">
        <f t="shared" si="7"/>
        <v>149093.14045268073</v>
      </c>
      <c r="P60" s="108">
        <f t="shared" si="8"/>
        <v>59637.256181072298</v>
      </c>
      <c r="Q60" s="100">
        <f t="shared" si="9"/>
        <v>2.2333333333333333E-3</v>
      </c>
      <c r="R60" s="100">
        <f>20%</f>
        <v>0.2</v>
      </c>
      <c r="S60" s="108">
        <f t="shared" si="10"/>
        <v>33014.408400323824</v>
      </c>
      <c r="T60" s="108">
        <f t="shared" si="11"/>
        <v>262760.1982010848</v>
      </c>
      <c r="U60" s="108">
        <f t="shared" si="12"/>
        <v>5065.7411660245152</v>
      </c>
      <c r="V60" s="108">
        <f t="shared" si="13"/>
        <v>8757.0541880190667</v>
      </c>
      <c r="W60" s="108">
        <f t="shared" si="14"/>
        <v>276582.9935551284</v>
      </c>
      <c r="X60" s="108">
        <f t="shared" si="15"/>
        <v>56441.475871284609</v>
      </c>
      <c r="Y60" s="108">
        <f t="shared" si="16"/>
        <v>15239.198485246845</v>
      </c>
      <c r="Z60" s="108">
        <f t="shared" si="17"/>
        <v>41202.277386037764</v>
      </c>
      <c r="AA60" s="108">
        <f t="shared" si="18"/>
        <v>3310.5323227190656</v>
      </c>
      <c r="AB60" s="108">
        <f t="shared" si="19"/>
        <v>37891.745063318696</v>
      </c>
      <c r="AC60" s="109">
        <f t="shared" si="20"/>
        <v>0.58346029507102426</v>
      </c>
      <c r="AD60" s="108">
        <f t="shared" si="21"/>
        <v>24039.892921255785</v>
      </c>
      <c r="AE60" s="108">
        <f t="shared" si="22"/>
        <v>161375.19503130243</v>
      </c>
      <c r="AF60" s="48">
        <f t="shared" si="23"/>
        <v>0.14896894728209434</v>
      </c>
      <c r="AG60" s="110"/>
    </row>
    <row r="61" spans="5:33" x14ac:dyDescent="0.4">
      <c r="E61" s="107">
        <v>57</v>
      </c>
      <c r="F61" s="107">
        <v>5</v>
      </c>
      <c r="G61" s="141">
        <f t="shared" si="24"/>
        <v>69815059.439023912</v>
      </c>
      <c r="H61" s="141">
        <f t="shared" si="0"/>
        <v>1557087.464896587</v>
      </c>
      <c r="I61" s="141">
        <f t="shared" si="1"/>
        <v>818785.95772393106</v>
      </c>
      <c r="J61" s="141">
        <f t="shared" si="2"/>
        <v>738301.5071726559</v>
      </c>
      <c r="K61" s="108">
        <f t="shared" si="3"/>
        <v>69076757.931851253</v>
      </c>
      <c r="L61" s="108">
        <f t="shared" si="4"/>
        <v>73148271.042281881</v>
      </c>
      <c r="M61" s="108">
        <f t="shared" si="5"/>
        <v>135180.16738348865</v>
      </c>
      <c r="N61" s="108">
        <f t="shared" si="6"/>
        <v>12500</v>
      </c>
      <c r="O61" s="108">
        <f t="shared" si="7"/>
        <v>147680.16738348865</v>
      </c>
      <c r="P61" s="108">
        <f t="shared" si="8"/>
        <v>59072.066953395464</v>
      </c>
      <c r="Q61" s="100">
        <f t="shared" si="9"/>
        <v>2.2333333333333333E-3</v>
      </c>
      <c r="R61" s="100">
        <f>20%</f>
        <v>0.2</v>
      </c>
      <c r="S61" s="108">
        <f t="shared" si="10"/>
        <v>32672.894398885906</v>
      </c>
      <c r="T61" s="108">
        <f t="shared" si="11"/>
        <v>260042.10355531209</v>
      </c>
      <c r="U61" s="108">
        <f t="shared" si="12"/>
        <v>5017.7325465712138</v>
      </c>
      <c r="V61" s="108">
        <f t="shared" si="13"/>
        <v>8674.0625648259538</v>
      </c>
      <c r="W61" s="108">
        <f t="shared" si="14"/>
        <v>273733.89866670925</v>
      </c>
      <c r="X61" s="108">
        <f t="shared" si="15"/>
        <v>55935.206031207272</v>
      </c>
      <c r="Y61" s="108">
        <f t="shared" si="16"/>
        <v>15102.505628425964</v>
      </c>
      <c r="Z61" s="108">
        <f t="shared" si="17"/>
        <v>40832.700402781309</v>
      </c>
      <c r="AA61" s="108">
        <f t="shared" si="18"/>
        <v>3276.4303680132884</v>
      </c>
      <c r="AB61" s="108">
        <f t="shared" si="19"/>
        <v>37556.270034768022</v>
      </c>
      <c r="AC61" s="109">
        <f t="shared" si="20"/>
        <v>0.57787371110905694</v>
      </c>
      <c r="AD61" s="108">
        <f t="shared" si="21"/>
        <v>23596.144116359519</v>
      </c>
      <c r="AE61" s="108">
        <f t="shared" si="22"/>
        <v>158183.6238788818</v>
      </c>
      <c r="AF61" s="48">
        <f t="shared" si="23"/>
        <v>0.14916932320646945</v>
      </c>
      <c r="AG61" s="110"/>
    </row>
    <row r="62" spans="5:33" x14ac:dyDescent="0.4">
      <c r="E62" s="107">
        <v>58</v>
      </c>
      <c r="F62" s="107">
        <v>5</v>
      </c>
      <c r="G62" s="141">
        <f t="shared" si="24"/>
        <v>69076757.931851253</v>
      </c>
      <c r="H62" s="141">
        <f t="shared" si="0"/>
        <v>1557087.464896587</v>
      </c>
      <c r="I62" s="141">
        <f t="shared" si="1"/>
        <v>810127.21115124691</v>
      </c>
      <c r="J62" s="141">
        <f t="shared" si="2"/>
        <v>746960.25374534004</v>
      </c>
      <c r="K62" s="108">
        <f t="shared" si="3"/>
        <v>68329797.678105906</v>
      </c>
      <c r="L62" s="108">
        <f t="shared" si="4"/>
        <v>72374720.476092666</v>
      </c>
      <c r="M62" s="108">
        <f t="shared" si="5"/>
        <v>133750.62306853681</v>
      </c>
      <c r="N62" s="108">
        <f t="shared" si="6"/>
        <v>12500</v>
      </c>
      <c r="O62" s="108">
        <f t="shared" si="7"/>
        <v>146250.62306853681</v>
      </c>
      <c r="P62" s="108">
        <f t="shared" si="8"/>
        <v>58500.249227414723</v>
      </c>
      <c r="Q62" s="100">
        <f t="shared" si="9"/>
        <v>2.2333333333333333E-3</v>
      </c>
      <c r="R62" s="100">
        <f>20%</f>
        <v>0.2</v>
      </c>
      <c r="S62" s="108">
        <f t="shared" si="10"/>
        <v>32327.375145988059</v>
      </c>
      <c r="T62" s="108">
        <f t="shared" si="11"/>
        <v>257292.13129250941</v>
      </c>
      <c r="U62" s="108">
        <f t="shared" si="12"/>
        <v>4969.1608855080667</v>
      </c>
      <c r="V62" s="108">
        <f t="shared" si="13"/>
        <v>8590.0976218902942</v>
      </c>
      <c r="W62" s="108">
        <f t="shared" si="14"/>
        <v>270851.3897999078</v>
      </c>
      <c r="X62" s="108">
        <f t="shared" si="15"/>
        <v>55422.998695134025</v>
      </c>
      <c r="Y62" s="108">
        <f t="shared" si="16"/>
        <v>14964.209647686188</v>
      </c>
      <c r="Z62" s="108">
        <f t="shared" si="17"/>
        <v>40458.789047447834</v>
      </c>
      <c r="AA62" s="108">
        <f t="shared" si="18"/>
        <v>3241.9284680540327</v>
      </c>
      <c r="AB62" s="108">
        <f t="shared" si="19"/>
        <v>37216.860579393804</v>
      </c>
      <c r="AC62" s="109">
        <f t="shared" si="20"/>
        <v>0.57234061822545068</v>
      </c>
      <c r="AD62" s="108">
        <f t="shared" si="21"/>
        <v>23156.208336069387</v>
      </c>
      <c r="AE62" s="108">
        <f t="shared" si="22"/>
        <v>155019.25188530175</v>
      </c>
      <c r="AF62" s="48">
        <f t="shared" si="23"/>
        <v>0.14937633909627296</v>
      </c>
      <c r="AG62" s="110"/>
    </row>
    <row r="63" spans="5:33" x14ac:dyDescent="0.4">
      <c r="E63" s="107">
        <v>59</v>
      </c>
      <c r="F63" s="107">
        <v>5</v>
      </c>
      <c r="G63" s="141">
        <f t="shared" si="24"/>
        <v>68329797.678105906</v>
      </c>
      <c r="H63" s="141">
        <f t="shared" si="0"/>
        <v>1557087.464896587</v>
      </c>
      <c r="I63" s="141">
        <f t="shared" si="1"/>
        <v>801366.91542624275</v>
      </c>
      <c r="J63" s="141">
        <f t="shared" si="2"/>
        <v>755720.54947034421</v>
      </c>
      <c r="K63" s="108">
        <f t="shared" si="3"/>
        <v>67574077.128635556</v>
      </c>
      <c r="L63" s="108">
        <f t="shared" si="4"/>
        <v>71592097.764921039</v>
      </c>
      <c r="M63" s="108">
        <f t="shared" si="5"/>
        <v>132304.31316145582</v>
      </c>
      <c r="N63" s="108">
        <f t="shared" si="6"/>
        <v>12500</v>
      </c>
      <c r="O63" s="108">
        <f t="shared" si="7"/>
        <v>144804.31316145582</v>
      </c>
      <c r="P63" s="108">
        <f t="shared" si="8"/>
        <v>57921.725264582332</v>
      </c>
      <c r="Q63" s="100">
        <f t="shared" si="9"/>
        <v>2.2333333333333333E-3</v>
      </c>
      <c r="R63" s="100">
        <f>20%</f>
        <v>0.2</v>
      </c>
      <c r="S63" s="108">
        <f t="shared" si="10"/>
        <v>31977.803668331399</v>
      </c>
      <c r="T63" s="108">
        <f t="shared" si="11"/>
        <v>254509.90755429427</v>
      </c>
      <c r="U63" s="108">
        <f t="shared" si="12"/>
        <v>4920.0195795238751</v>
      </c>
      <c r="V63" s="108">
        <f t="shared" si="13"/>
        <v>8505.1479441886768</v>
      </c>
      <c r="W63" s="108">
        <f t="shared" si="14"/>
        <v>267935.07507800683</v>
      </c>
      <c r="X63" s="108">
        <f t="shared" si="15"/>
        <v>54904.784228542092</v>
      </c>
      <c r="Y63" s="108">
        <f t="shared" si="16"/>
        <v>14824.291741706365</v>
      </c>
      <c r="Z63" s="108">
        <f t="shared" si="17"/>
        <v>40080.492486835727</v>
      </c>
      <c r="AA63" s="108">
        <f t="shared" si="18"/>
        <v>3207.0219323123465</v>
      </c>
      <c r="AB63" s="108">
        <f t="shared" si="19"/>
        <v>36873.470554523381</v>
      </c>
      <c r="AC63" s="109">
        <f t="shared" si="20"/>
        <v>0.56686050424756362</v>
      </c>
      <c r="AD63" s="108">
        <f t="shared" si="21"/>
        <v>22720.048181578386</v>
      </c>
      <c r="AE63" s="108">
        <f t="shared" si="22"/>
        <v>151881.81176432778</v>
      </c>
      <c r="AF63" s="48">
        <f t="shared" si="23"/>
        <v>0.14959031577021656</v>
      </c>
      <c r="AG63" s="110"/>
    </row>
    <row r="64" spans="5:33" x14ac:dyDescent="0.4">
      <c r="E64" s="107">
        <v>60</v>
      </c>
      <c r="F64" s="107">
        <v>5</v>
      </c>
      <c r="G64" s="141">
        <f t="shared" si="24"/>
        <v>67574077.128635556</v>
      </c>
      <c r="H64" s="141">
        <f t="shared" si="0"/>
        <v>1557087.464896587</v>
      </c>
      <c r="I64" s="141">
        <f t="shared" si="1"/>
        <v>792503.87958781922</v>
      </c>
      <c r="J64" s="141">
        <f t="shared" si="2"/>
        <v>764583.58530876774</v>
      </c>
      <c r="K64" s="108">
        <f t="shared" si="3"/>
        <v>66809493.543326788</v>
      </c>
      <c r="L64" s="108">
        <f t="shared" si="4"/>
        <v>70800296.511308134</v>
      </c>
      <c r="M64" s="108">
        <f t="shared" si="5"/>
        <v>130841.04103659616</v>
      </c>
      <c r="N64" s="108">
        <f t="shared" si="6"/>
        <v>12500</v>
      </c>
      <c r="O64" s="108">
        <f t="shared" si="7"/>
        <v>143341.04103659617</v>
      </c>
      <c r="P64" s="108">
        <f t="shared" si="8"/>
        <v>57336.416414638472</v>
      </c>
      <c r="Q64" s="100">
        <f t="shared" si="9"/>
        <v>2.2333333333333333E-3</v>
      </c>
      <c r="R64" s="100">
        <f>20%</f>
        <v>0.2</v>
      </c>
      <c r="S64" s="108">
        <f t="shared" si="10"/>
        <v>31624.132441717633</v>
      </c>
      <c r="T64" s="108">
        <f t="shared" si="11"/>
        <v>251695.0540977004</v>
      </c>
      <c r="U64" s="108">
        <f t="shared" si="12"/>
        <v>4870.3019478642864</v>
      </c>
      <c r="V64" s="108">
        <f t="shared" si="13"/>
        <v>8419.2019828231332</v>
      </c>
      <c r="W64" s="108">
        <f t="shared" si="14"/>
        <v>264984.55802838784</v>
      </c>
      <c r="X64" s="108">
        <f t="shared" si="15"/>
        <v>54380.492180240064</v>
      </c>
      <c r="Y64" s="108">
        <f t="shared" si="16"/>
        <v>14682.732888664817</v>
      </c>
      <c r="Z64" s="108">
        <f t="shared" si="17"/>
        <v>39697.759291575247</v>
      </c>
      <c r="AA64" s="108">
        <f t="shared" si="18"/>
        <v>3171.7060152490999</v>
      </c>
      <c r="AB64" s="108">
        <f t="shared" si="19"/>
        <v>36526.053276326144</v>
      </c>
      <c r="AC64" s="109">
        <f t="shared" si="20"/>
        <v>0.56143286190676533</v>
      </c>
      <c r="AD64" s="108">
        <f t="shared" si="21"/>
        <v>22287.626610354975</v>
      </c>
      <c r="AE64" s="108">
        <f t="shared" si="22"/>
        <v>148771.03877497712</v>
      </c>
      <c r="AF64" s="48">
        <f t="shared" si="23"/>
        <v>0.1498115950112173</v>
      </c>
      <c r="AG64" s="110"/>
    </row>
    <row r="65" spans="5:33" x14ac:dyDescent="0.4">
      <c r="E65" s="107">
        <v>61</v>
      </c>
      <c r="F65" s="107">
        <v>6</v>
      </c>
      <c r="G65" s="141">
        <f t="shared" si="24"/>
        <v>66809493.543326788</v>
      </c>
      <c r="H65" s="141">
        <f t="shared" si="0"/>
        <v>1557087.464896587</v>
      </c>
      <c r="I65" s="141">
        <f t="shared" si="1"/>
        <v>783536.89870737167</v>
      </c>
      <c r="J65" s="141">
        <f t="shared" si="2"/>
        <v>773550.56618921529</v>
      </c>
      <c r="K65" s="108">
        <f t="shared" si="3"/>
        <v>66035942.977137573</v>
      </c>
      <c r="L65" s="108">
        <f t="shared" si="4"/>
        <v>69999209.06997332</v>
      </c>
      <c r="M65" s="108">
        <f t="shared" si="5"/>
        <v>129360.60776229696</v>
      </c>
      <c r="N65" s="108">
        <f t="shared" si="6"/>
        <v>12500</v>
      </c>
      <c r="O65" s="108">
        <f t="shared" si="7"/>
        <v>141860.60776229698</v>
      </c>
      <c r="P65" s="108">
        <f t="shared" si="8"/>
        <v>56744.243104918794</v>
      </c>
      <c r="Q65" s="100">
        <f t="shared" si="9"/>
        <v>2.2333333333333333E-3</v>
      </c>
      <c r="R65" s="100">
        <f>20%</f>
        <v>0.2</v>
      </c>
      <c r="S65" s="108">
        <f t="shared" si="10"/>
        <v>31266.313384588084</v>
      </c>
      <c r="T65" s="108">
        <f t="shared" si="11"/>
        <v>248847.18824375514</v>
      </c>
      <c r="U65" s="108">
        <f t="shared" si="12"/>
        <v>4820.0012314235455</v>
      </c>
      <c r="V65" s="108">
        <f t="shared" si="13"/>
        <v>8332.2480534510487</v>
      </c>
      <c r="W65" s="108">
        <f t="shared" si="14"/>
        <v>261999.43752862973</v>
      </c>
      <c r="X65" s="108">
        <f t="shared" si="15"/>
        <v>53850.051272790093</v>
      </c>
      <c r="Y65" s="108">
        <f t="shared" si="16"/>
        <v>14539.513843653325</v>
      </c>
      <c r="Z65" s="108">
        <f t="shared" si="17"/>
        <v>39310.53742913677</v>
      </c>
      <c r="AA65" s="108">
        <f t="shared" si="18"/>
        <v>3135.9759156698187</v>
      </c>
      <c r="AB65" s="108">
        <f t="shared" si="19"/>
        <v>36174.56151346695</v>
      </c>
      <c r="AC65" s="109">
        <f t="shared" si="20"/>
        <v>0.55605718879148003</v>
      </c>
      <c r="AD65" s="108">
        <f t="shared" si="21"/>
        <v>21858.906932728049</v>
      </c>
      <c r="AE65" s="108">
        <f t="shared" si="22"/>
        <v>145686.67069711883</v>
      </c>
      <c r="AF65" s="48">
        <f t="shared" si="23"/>
        <v>0.15004054130780778</v>
      </c>
      <c r="AG65" s="110"/>
    </row>
    <row r="66" spans="5:33" x14ac:dyDescent="0.4">
      <c r="E66" s="107">
        <v>62</v>
      </c>
      <c r="F66" s="107">
        <v>6</v>
      </c>
      <c r="G66" s="141">
        <f t="shared" si="24"/>
        <v>66035942.977137573</v>
      </c>
      <c r="H66" s="141">
        <f t="shared" si="0"/>
        <v>1557087.464896587</v>
      </c>
      <c r="I66" s="141">
        <f t="shared" si="1"/>
        <v>774464.75372497994</v>
      </c>
      <c r="J66" s="141">
        <f t="shared" si="2"/>
        <v>782622.71117160702</v>
      </c>
      <c r="K66" s="108">
        <f t="shared" si="3"/>
        <v>65253320.265965968</v>
      </c>
      <c r="L66" s="108">
        <f t="shared" si="4"/>
        <v>69188726.533179954</v>
      </c>
      <c r="M66" s="108">
        <f t="shared" si="5"/>
        <v>127862.81207384123</v>
      </c>
      <c r="N66" s="108">
        <f t="shared" si="6"/>
        <v>12500</v>
      </c>
      <c r="O66" s="108">
        <f t="shared" si="7"/>
        <v>140362.81207384123</v>
      </c>
      <c r="P66" s="108">
        <f t="shared" si="8"/>
        <v>56145.124829536493</v>
      </c>
      <c r="Q66" s="100">
        <f t="shared" si="9"/>
        <v>2.2333333333333333E-3</v>
      </c>
      <c r="R66" s="100">
        <f>20%</f>
        <v>0.2</v>
      </c>
      <c r="S66" s="108">
        <f t="shared" si="10"/>
        <v>30904.297851487045</v>
      </c>
      <c r="T66" s="108">
        <f t="shared" si="11"/>
        <v>245965.92282545471</v>
      </c>
      <c r="U66" s="108">
        <f t="shared" si="12"/>
        <v>4769.1105918255926</v>
      </c>
      <c r="V66" s="108">
        <f t="shared" si="13"/>
        <v>8244.2743346966909</v>
      </c>
      <c r="W66" s="108">
        <f t="shared" si="14"/>
        <v>258979.307751977</v>
      </c>
      <c r="X66" s="108">
        <f t="shared" si="15"/>
        <v>53313.389392817684</v>
      </c>
      <c r="Y66" s="108">
        <f t="shared" si="16"/>
        <v>14394.615136060776</v>
      </c>
      <c r="Z66" s="108">
        <f t="shared" si="17"/>
        <v>38918.774256756908</v>
      </c>
      <c r="AA66" s="108">
        <f t="shared" si="18"/>
        <v>3099.82677607197</v>
      </c>
      <c r="AB66" s="108">
        <f t="shared" si="19"/>
        <v>35818.947480684939</v>
      </c>
      <c r="AC66" s="109">
        <f t="shared" si="20"/>
        <v>0.55073298730068121</v>
      </c>
      <c r="AD66" s="108">
        <f t="shared" si="21"/>
        <v>21433.85280850458</v>
      </c>
      <c r="AE66" s="108">
        <f t="shared" si="22"/>
        <v>142628.44780730875</v>
      </c>
      <c r="AF66" s="48">
        <f t="shared" si="23"/>
        <v>0.15027754377206534</v>
      </c>
      <c r="AG66" s="110"/>
    </row>
    <row r="67" spans="5:33" x14ac:dyDescent="0.4">
      <c r="E67" s="107">
        <v>63</v>
      </c>
      <c r="F67" s="107">
        <v>6</v>
      </c>
      <c r="G67" s="141">
        <f t="shared" si="24"/>
        <v>65253320.265965968</v>
      </c>
      <c r="H67" s="141">
        <f t="shared" si="0"/>
        <v>1557087.464896587</v>
      </c>
      <c r="I67" s="141">
        <f t="shared" si="1"/>
        <v>765286.21128367737</v>
      </c>
      <c r="J67" s="141">
        <f t="shared" si="2"/>
        <v>791801.25361290958</v>
      </c>
      <c r="K67" s="108">
        <f t="shared" si="3"/>
        <v>64461519.012353055</v>
      </c>
      <c r="L67" s="108">
        <f t="shared" si="4"/>
        <v>68368738.715929359</v>
      </c>
      <c r="M67" s="108">
        <f t="shared" si="5"/>
        <v>126347.45034609396</v>
      </c>
      <c r="N67" s="108">
        <f t="shared" si="6"/>
        <v>12500</v>
      </c>
      <c r="O67" s="108">
        <f t="shared" si="7"/>
        <v>138847.45034609397</v>
      </c>
      <c r="P67" s="108">
        <f t="shared" si="8"/>
        <v>55538.98013843759</v>
      </c>
      <c r="Q67" s="100">
        <f t="shared" si="9"/>
        <v>2.2333333333333333E-3</v>
      </c>
      <c r="R67" s="100">
        <f>20%</f>
        <v>0.2</v>
      </c>
      <c r="S67" s="108">
        <f t="shared" si="10"/>
        <v>30538.036626448447</v>
      </c>
      <c r="T67" s="108">
        <f t="shared" si="11"/>
        <v>243050.86613512886</v>
      </c>
      <c r="U67" s="108">
        <f t="shared" si="12"/>
        <v>4717.6231104943927</v>
      </c>
      <c r="V67" s="108">
        <f t="shared" si="13"/>
        <v>8155.2688665440855</v>
      </c>
      <c r="W67" s="108">
        <f t="shared" si="14"/>
        <v>255923.75811216736</v>
      </c>
      <c r="X67" s="108">
        <f t="shared" si="15"/>
        <v>52770.433581207937</v>
      </c>
      <c r="Y67" s="108">
        <f t="shared" si="16"/>
        <v>14248.017066926144</v>
      </c>
      <c r="Z67" s="108">
        <f t="shared" si="17"/>
        <v>38522.416514281795</v>
      </c>
      <c r="AA67" s="108">
        <f t="shared" si="18"/>
        <v>3063.2536819845845</v>
      </c>
      <c r="AB67" s="108">
        <f t="shared" si="19"/>
        <v>35459.16283229721</v>
      </c>
      <c r="AC67" s="109">
        <f t="shared" si="20"/>
        <v>0.54545976459783097</v>
      </c>
      <c r="AD67" s="108">
        <f t="shared" si="21"/>
        <v>21012.428243619743</v>
      </c>
      <c r="AE67" s="108">
        <f t="shared" si="22"/>
        <v>139596.11285485505</v>
      </c>
      <c r="AF67" s="48">
        <f t="shared" si="23"/>
        <v>0.15052301825529626</v>
      </c>
      <c r="AG67" s="110"/>
    </row>
    <row r="68" spans="5:33" x14ac:dyDescent="0.4">
      <c r="E68" s="107">
        <v>64</v>
      </c>
      <c r="F68" s="107">
        <v>6</v>
      </c>
      <c r="G68" s="141">
        <f t="shared" si="24"/>
        <v>64461519.012353055</v>
      </c>
      <c r="H68" s="141">
        <f t="shared" si="0"/>
        <v>1557087.464896587</v>
      </c>
      <c r="I68" s="141">
        <f t="shared" si="1"/>
        <v>756000.02356177627</v>
      </c>
      <c r="J68" s="141">
        <f t="shared" si="2"/>
        <v>801087.44133481069</v>
      </c>
      <c r="K68" s="108">
        <f t="shared" si="3"/>
        <v>63660431.571018241</v>
      </c>
      <c r="L68" s="108">
        <f t="shared" si="4"/>
        <v>67539134.140981138</v>
      </c>
      <c r="M68" s="108">
        <f t="shared" si="5"/>
        <v>124814.31656581932</v>
      </c>
      <c r="N68" s="108">
        <f t="shared" si="6"/>
        <v>12500</v>
      </c>
      <c r="O68" s="108">
        <f t="shared" si="7"/>
        <v>137314.31656581932</v>
      </c>
      <c r="P68" s="108">
        <f t="shared" si="8"/>
        <v>54925.726626327727</v>
      </c>
      <c r="Q68" s="100">
        <f t="shared" si="9"/>
        <v>2.2333333333333333E-3</v>
      </c>
      <c r="R68" s="100">
        <f>20%</f>
        <v>0.2</v>
      </c>
      <c r="S68" s="108">
        <f t="shared" si="10"/>
        <v>30167.479916304907</v>
      </c>
      <c r="T68" s="108">
        <f t="shared" si="11"/>
        <v>240101.62187118793</v>
      </c>
      <c r="U68" s="108">
        <f t="shared" si="12"/>
        <v>4665.5317877133493</v>
      </c>
      <c r="V68" s="108">
        <f t="shared" si="13"/>
        <v>8065.2195487110575</v>
      </c>
      <c r="W68" s="108">
        <f t="shared" si="14"/>
        <v>252832.37320761234</v>
      </c>
      <c r="X68" s="108">
        <f t="shared" si="15"/>
        <v>52221.110023186688</v>
      </c>
      <c r="Y68" s="108">
        <f t="shared" si="16"/>
        <v>14099.699706260406</v>
      </c>
      <c r="Z68" s="108">
        <f t="shared" si="17"/>
        <v>38121.410316926282</v>
      </c>
      <c r="AA68" s="108">
        <f t="shared" si="18"/>
        <v>3026.2516613001303</v>
      </c>
      <c r="AB68" s="108">
        <f t="shared" si="19"/>
        <v>35095.158655626154</v>
      </c>
      <c r="AC68" s="109">
        <f t="shared" si="20"/>
        <v>0.5402370325652599</v>
      </c>
      <c r="AD68" s="108">
        <f t="shared" si="21"/>
        <v>20594.597586818938</v>
      </c>
      <c r="AE68" s="108">
        <f t="shared" si="22"/>
        <v>136589.41103811283</v>
      </c>
      <c r="AF68" s="48">
        <f t="shared" si="23"/>
        <v>0.15077740968567752</v>
      </c>
      <c r="AG68" s="110"/>
    </row>
    <row r="69" spans="5:33" x14ac:dyDescent="0.4">
      <c r="E69" s="107">
        <v>65</v>
      </c>
      <c r="F69" s="107">
        <v>6</v>
      </c>
      <c r="G69" s="141">
        <f t="shared" si="24"/>
        <v>63660431.571018241</v>
      </c>
      <c r="H69" s="141">
        <f t="shared" si="0"/>
        <v>1557087.464896587</v>
      </c>
      <c r="I69" s="141">
        <f t="shared" si="1"/>
        <v>746604.9281032267</v>
      </c>
      <c r="J69" s="141">
        <f t="shared" si="2"/>
        <v>810482.53679336025</v>
      </c>
      <c r="K69" s="108">
        <f t="shared" si="3"/>
        <v>62849949.034224883</v>
      </c>
      <c r="L69" s="108">
        <f t="shared" si="4"/>
        <v>66699800.02369795</v>
      </c>
      <c r="M69" s="108">
        <f t="shared" si="5"/>
        <v>123263.20230367318</v>
      </c>
      <c r="N69" s="108">
        <f t="shared" si="6"/>
        <v>12500</v>
      </c>
      <c r="O69" s="108">
        <f t="shared" si="7"/>
        <v>135763.2023036732</v>
      </c>
      <c r="P69" s="108">
        <f t="shared" si="8"/>
        <v>54305.280921469282</v>
      </c>
      <c r="Q69" s="100">
        <f t="shared" si="9"/>
        <v>2.2333333333333333E-3</v>
      </c>
      <c r="R69" s="100">
        <f>20%</f>
        <v>0.2</v>
      </c>
      <c r="S69" s="108">
        <f t="shared" si="10"/>
        <v>29792.577343918416</v>
      </c>
      <c r="T69" s="108">
        <f t="shared" si="11"/>
        <v>237117.78908424618</v>
      </c>
      <c r="U69" s="108">
        <f t="shared" si="12"/>
        <v>4612.8295416736983</v>
      </c>
      <c r="V69" s="108">
        <f t="shared" si="13"/>
        <v>7974.1141390042058</v>
      </c>
      <c r="W69" s="108">
        <f t="shared" si="14"/>
        <v>249704.73276492409</v>
      </c>
      <c r="X69" s="108">
        <f t="shared" si="15"/>
        <v>51665.344038285504</v>
      </c>
      <c r="Y69" s="108">
        <f t="shared" si="16"/>
        <v>13949.642890337087</v>
      </c>
      <c r="Z69" s="108">
        <f t="shared" si="17"/>
        <v>37715.701147948421</v>
      </c>
      <c r="AA69" s="108">
        <f t="shared" si="18"/>
        <v>2988.8156835985619</v>
      </c>
      <c r="AB69" s="108">
        <f t="shared" si="19"/>
        <v>34726.885464349856</v>
      </c>
      <c r="AC69" s="109">
        <f t="shared" si="20"/>
        <v>0.53506430775898584</v>
      </c>
      <c r="AD69" s="108">
        <f t="shared" si="21"/>
        <v>20180.325526371809</v>
      </c>
      <c r="AE69" s="108">
        <f t="shared" si="22"/>
        <v>133608.08998100666</v>
      </c>
      <c r="AF69" s="48">
        <f t="shared" si="23"/>
        <v>0.15104119465550767</v>
      </c>
      <c r="AG69" s="110"/>
    </row>
    <row r="70" spans="5:33" x14ac:dyDescent="0.4">
      <c r="E70" s="107">
        <v>66</v>
      </c>
      <c r="F70" s="107">
        <v>6</v>
      </c>
      <c r="G70" s="141">
        <f t="shared" si="24"/>
        <v>62849949.034224883</v>
      </c>
      <c r="H70" s="141">
        <f t="shared" ref="H70:H124" si="25">PMT($C$11/12,$C$8,-$C$7)</f>
        <v>1557087.464896587</v>
      </c>
      <c r="I70" s="141">
        <f t="shared" ref="I70:I124" si="26">($C$11/12)*G70</f>
        <v>737099.64764598582</v>
      </c>
      <c r="J70" s="141">
        <f t="shared" ref="J70:J124" si="27">H70-I70</f>
        <v>819987.81725060113</v>
      </c>
      <c r="K70" s="108">
        <f t="shared" ref="K70:K124" si="28">G70-J70</f>
        <v>62029961.216974281</v>
      </c>
      <c r="L70" s="108">
        <f t="shared" ref="L70:L124" si="29">G70*(1+$C$11/12)^4</f>
        <v>65850622.256712355</v>
      </c>
      <c r="M70" s="108">
        <f t="shared" ref="M70:M124" si="30">G70*($C$11-$C$10)/12</f>
        <v>121693.89668586716</v>
      </c>
      <c r="N70" s="108">
        <f t="shared" ref="N70:N124" si="31">$C$14</f>
        <v>12500</v>
      </c>
      <c r="O70" s="108">
        <f t="shared" ref="O70:O124" si="32">SUM(M70:N70)</f>
        <v>134193.89668586716</v>
      </c>
      <c r="P70" s="108">
        <f t="shared" ref="P70:P124" si="33">0.4*O70</f>
        <v>53677.558674346867</v>
      </c>
      <c r="Q70" s="100">
        <f t="shared" ref="Q70:Q124" si="34">2.68%/12</f>
        <v>2.2333333333333333E-3</v>
      </c>
      <c r="R70" s="100">
        <f>20%</f>
        <v>0.2</v>
      </c>
      <c r="S70" s="108">
        <f t="shared" ref="S70:S124" si="35">Q70*R70*L70</f>
        <v>29413.277941331518</v>
      </c>
      <c r="T70" s="108">
        <f t="shared" ref="T70:T124" si="36">L70*($C$22/12)*$C$28</f>
        <v>234098.9621226124</v>
      </c>
      <c r="U70" s="108">
        <f t="shared" ref="U70:U124" si="37">O70*$C$23</f>
        <v>4559.5092075117345</v>
      </c>
      <c r="V70" s="108">
        <f t="shared" ref="V70:V124" si="38">O70*$C$24</f>
        <v>7881.9402516545606</v>
      </c>
      <c r="W70" s="108">
        <f t="shared" ref="W70:W124" si="39">SUM(T70:V70)</f>
        <v>246540.4115817787</v>
      </c>
      <c r="X70" s="108">
        <f t="shared" ref="X70:X124" si="40">O70-P70-S70</f>
        <v>51103.060070188789</v>
      </c>
      <c r="Y70" s="108">
        <f t="shared" ref="Y70:Y124" si="41">0.27*X70</f>
        <v>13797.826218950973</v>
      </c>
      <c r="Z70" s="108">
        <f t="shared" ref="Z70:Z124" si="42">X70-Y70</f>
        <v>37305.233851237819</v>
      </c>
      <c r="AA70" s="108">
        <f t="shared" ref="AA70:AA124" si="43">W70*($C$36/12)</f>
        <v>2950.9406594634302</v>
      </c>
      <c r="AB70" s="108">
        <f t="shared" ref="AB70:AB124" si="44">Z70-AA70</f>
        <v>34354.293191774392</v>
      </c>
      <c r="AC70" s="109">
        <f t="shared" ref="AC70:AC124" si="45">(1+($C$37/12))^-E70</f>
        <v>0.52994111136396194</v>
      </c>
      <c r="AD70" s="108">
        <f t="shared" ref="AD70:AD124" si="46">Z70*AC70</f>
        <v>19769.577086817462</v>
      </c>
      <c r="AE70" s="108">
        <f t="shared" ref="AE70:AE124" si="47">W70*AC70</f>
        <v>130651.89970977639</v>
      </c>
      <c r="AF70" s="48">
        <f t="shared" ref="AF70:AF124" si="48">Z70/W70</f>
        <v>0.15131488428972417</v>
      </c>
      <c r="AG70" s="110"/>
    </row>
    <row r="71" spans="5:33" x14ac:dyDescent="0.4">
      <c r="E71" s="107">
        <v>67</v>
      </c>
      <c r="F71" s="107">
        <v>6</v>
      </c>
      <c r="G71" s="141">
        <f t="shared" ref="G71:G124" si="49">K70</f>
        <v>62029961.216974281</v>
      </c>
      <c r="H71" s="141">
        <f t="shared" si="25"/>
        <v>1557087.464896587</v>
      </c>
      <c r="I71" s="141">
        <f t="shared" si="26"/>
        <v>727482.88994837354</v>
      </c>
      <c r="J71" s="141">
        <f t="shared" si="27"/>
        <v>829604.57494821341</v>
      </c>
      <c r="K71" s="108">
        <f t="shared" si="28"/>
        <v>61200356.642026067</v>
      </c>
      <c r="L71" s="108">
        <f t="shared" si="29"/>
        <v>64991485.394414</v>
      </c>
      <c r="M71" s="108">
        <f t="shared" si="30"/>
        <v>120106.18636550038</v>
      </c>
      <c r="N71" s="108">
        <f t="shared" si="31"/>
        <v>12500</v>
      </c>
      <c r="O71" s="108">
        <f t="shared" si="32"/>
        <v>132606.18636550038</v>
      </c>
      <c r="P71" s="108">
        <f t="shared" si="33"/>
        <v>53042.474546200159</v>
      </c>
      <c r="Q71" s="100">
        <f t="shared" si="34"/>
        <v>2.2333333333333333E-3</v>
      </c>
      <c r="R71" s="100">
        <f>20%</f>
        <v>0.2</v>
      </c>
      <c r="S71" s="108">
        <f t="shared" si="35"/>
        <v>29029.530142838252</v>
      </c>
      <c r="T71" s="108">
        <f t="shared" si="36"/>
        <v>231044.73057714175</v>
      </c>
      <c r="U71" s="108">
        <f t="shared" si="37"/>
        <v>4505.5635363347519</v>
      </c>
      <c r="V71" s="108">
        <f t="shared" si="38"/>
        <v>7788.6853556337619</v>
      </c>
      <c r="W71" s="108">
        <f t="shared" si="39"/>
        <v>243338.97946911026</v>
      </c>
      <c r="X71" s="108">
        <f t="shared" si="40"/>
        <v>50534.181676461973</v>
      </c>
      <c r="Y71" s="108">
        <f t="shared" si="41"/>
        <v>13644.229052644734</v>
      </c>
      <c r="Z71" s="108">
        <f t="shared" si="42"/>
        <v>36889.95262381724</v>
      </c>
      <c r="AA71" s="108">
        <f t="shared" si="43"/>
        <v>2912.6214397899794</v>
      </c>
      <c r="AB71" s="108">
        <f t="shared" si="44"/>
        <v>33977.331184027258</v>
      </c>
      <c r="AC71" s="109">
        <f t="shared" si="45"/>
        <v>0.52486696914975584</v>
      </c>
      <c r="AD71" s="108">
        <f t="shared" si="46"/>
        <v>19362.317625741038</v>
      </c>
      <c r="AE71" s="108">
        <f t="shared" si="47"/>
        <v>127720.59262994656</v>
      </c>
      <c r="AF71" s="48">
        <f t="shared" si="48"/>
        <v>0.15159902743201936</v>
      </c>
      <c r="AG71" s="110"/>
    </row>
    <row r="72" spans="5:33" x14ac:dyDescent="0.4">
      <c r="E72" s="107">
        <v>68</v>
      </c>
      <c r="F72" s="107">
        <v>6</v>
      </c>
      <c r="G72" s="141">
        <f t="shared" si="49"/>
        <v>61200356.642026067</v>
      </c>
      <c r="H72" s="141">
        <f t="shared" si="25"/>
        <v>1557087.464896587</v>
      </c>
      <c r="I72" s="141">
        <f t="shared" si="26"/>
        <v>717753.34761339356</v>
      </c>
      <c r="J72" s="141">
        <f t="shared" si="27"/>
        <v>839334.11728319339</v>
      </c>
      <c r="K72" s="108">
        <f t="shared" si="28"/>
        <v>60361022.524742872</v>
      </c>
      <c r="L72" s="108">
        <f t="shared" si="29"/>
        <v>64122272.637254775</v>
      </c>
      <c r="M72" s="108">
        <f t="shared" si="30"/>
        <v>118499.85549355498</v>
      </c>
      <c r="N72" s="108">
        <f t="shared" si="31"/>
        <v>12500</v>
      </c>
      <c r="O72" s="108">
        <f t="shared" si="32"/>
        <v>130999.85549355498</v>
      </c>
      <c r="P72" s="108">
        <f t="shared" si="33"/>
        <v>52399.942197421995</v>
      </c>
      <c r="Q72" s="100">
        <f t="shared" si="34"/>
        <v>2.2333333333333333E-3</v>
      </c>
      <c r="R72" s="100">
        <f>20%</f>
        <v>0.2</v>
      </c>
      <c r="S72" s="108">
        <f t="shared" si="35"/>
        <v>28641.2817779738</v>
      </c>
      <c r="T72" s="108">
        <f t="shared" si="36"/>
        <v>227954.67922544072</v>
      </c>
      <c r="U72" s="108">
        <f t="shared" si="37"/>
        <v>4450.9851942355563</v>
      </c>
      <c r="V72" s="108">
        <f t="shared" si="38"/>
        <v>7694.3367729504535</v>
      </c>
      <c r="W72" s="108">
        <f t="shared" si="39"/>
        <v>240100.00119262672</v>
      </c>
      <c r="X72" s="108">
        <f t="shared" si="40"/>
        <v>49958.631518159193</v>
      </c>
      <c r="Y72" s="108">
        <f t="shared" si="41"/>
        <v>13488.830509902982</v>
      </c>
      <c r="Z72" s="108">
        <f t="shared" si="42"/>
        <v>36469.80100825621</v>
      </c>
      <c r="AA72" s="108">
        <f t="shared" si="43"/>
        <v>2873.8528150851257</v>
      </c>
      <c r="AB72" s="108">
        <f t="shared" si="44"/>
        <v>33595.948193171083</v>
      </c>
      <c r="AC72" s="109">
        <f t="shared" si="45"/>
        <v>0.51984141142665241</v>
      </c>
      <c r="AD72" s="108">
        <f t="shared" si="46"/>
        <v>18958.512830581061</v>
      </c>
      <c r="AE72" s="108">
        <f t="shared" si="47"/>
        <v>124813.92350351599</v>
      </c>
      <c r="AF72" s="48">
        <f t="shared" si="48"/>
        <v>0.15189421419035032</v>
      </c>
      <c r="AG72" s="110"/>
    </row>
    <row r="73" spans="5:33" x14ac:dyDescent="0.4">
      <c r="E73" s="107">
        <v>69</v>
      </c>
      <c r="F73" s="107">
        <v>6</v>
      </c>
      <c r="G73" s="141">
        <f t="shared" si="49"/>
        <v>60361022.524742872</v>
      </c>
      <c r="H73" s="141">
        <f t="shared" si="25"/>
        <v>1557087.464896587</v>
      </c>
      <c r="I73" s="141">
        <f t="shared" si="26"/>
        <v>707909.69791099196</v>
      </c>
      <c r="J73" s="141">
        <f t="shared" si="27"/>
        <v>849177.76698559499</v>
      </c>
      <c r="K73" s="108">
        <f t="shared" si="28"/>
        <v>59511844.757757276</v>
      </c>
      <c r="L73" s="108">
        <f t="shared" si="29"/>
        <v>63242865.815869935</v>
      </c>
      <c r="M73" s="108">
        <f t="shared" si="30"/>
        <v>116874.68568955142</v>
      </c>
      <c r="N73" s="108">
        <f t="shared" si="31"/>
        <v>12500</v>
      </c>
      <c r="O73" s="108">
        <f t="shared" si="32"/>
        <v>129374.68568955142</v>
      </c>
      <c r="P73" s="108">
        <f t="shared" si="33"/>
        <v>51749.87427582057</v>
      </c>
      <c r="Q73" s="100">
        <f t="shared" si="34"/>
        <v>2.2333333333333333E-3</v>
      </c>
      <c r="R73" s="100">
        <f>20%</f>
        <v>0.2</v>
      </c>
      <c r="S73" s="108">
        <f t="shared" si="35"/>
        <v>28248.480064421903</v>
      </c>
      <c r="T73" s="108">
        <f t="shared" si="36"/>
        <v>224828.3879754176</v>
      </c>
      <c r="U73" s="108">
        <f t="shared" si="37"/>
        <v>4395.7667612954192</v>
      </c>
      <c r="V73" s="108">
        <f t="shared" si="38"/>
        <v>7598.881676926715</v>
      </c>
      <c r="W73" s="108">
        <f t="shared" si="39"/>
        <v>236823.03641363973</v>
      </c>
      <c r="X73" s="108">
        <f t="shared" si="40"/>
        <v>49376.331349308937</v>
      </c>
      <c r="Y73" s="108">
        <f t="shared" si="41"/>
        <v>13331.609464313415</v>
      </c>
      <c r="Z73" s="108">
        <f t="shared" si="42"/>
        <v>36044.721884995524</v>
      </c>
      <c r="AA73" s="108">
        <f t="shared" si="43"/>
        <v>2834.6295147592291</v>
      </c>
      <c r="AB73" s="108">
        <f t="shared" si="44"/>
        <v>33210.092370236292</v>
      </c>
      <c r="AC73" s="109">
        <f t="shared" si="45"/>
        <v>0.51486397300217634</v>
      </c>
      <c r="AD73" s="108">
        <f t="shared" si="46"/>
        <v>18558.12871546729</v>
      </c>
      <c r="AE73" s="108">
        <f t="shared" si="47"/>
        <v>121931.64942636564</v>
      </c>
      <c r="AF73" s="48">
        <f t="shared" si="48"/>
        <v>0.15220107989004547</v>
      </c>
      <c r="AG73" s="110"/>
    </row>
    <row r="74" spans="5:33" x14ac:dyDescent="0.4">
      <c r="E74" s="107">
        <v>70</v>
      </c>
      <c r="F74" s="107">
        <v>6</v>
      </c>
      <c r="G74" s="141">
        <f t="shared" si="49"/>
        <v>59511844.757757276</v>
      </c>
      <c r="H74" s="141">
        <f t="shared" si="25"/>
        <v>1557087.464896587</v>
      </c>
      <c r="I74" s="141">
        <f t="shared" si="26"/>
        <v>697950.60259823303</v>
      </c>
      <c r="J74" s="141">
        <f t="shared" si="27"/>
        <v>859136.86229835392</v>
      </c>
      <c r="K74" s="108">
        <f t="shared" si="28"/>
        <v>58652707.895458922</v>
      </c>
      <c r="L74" s="108">
        <f t="shared" si="29"/>
        <v>62353145.375012994</v>
      </c>
      <c r="M74" s="108">
        <f t="shared" si="30"/>
        <v>115230.45601185977</v>
      </c>
      <c r="N74" s="108">
        <f t="shared" si="31"/>
        <v>12500</v>
      </c>
      <c r="O74" s="108">
        <f t="shared" si="32"/>
        <v>127730.45601185977</v>
      </c>
      <c r="P74" s="108">
        <f t="shared" si="33"/>
        <v>51092.182404743915</v>
      </c>
      <c r="Q74" s="100">
        <f t="shared" si="34"/>
        <v>2.2333333333333333E-3</v>
      </c>
      <c r="R74" s="100">
        <f>20%</f>
        <v>0.2</v>
      </c>
      <c r="S74" s="108">
        <f t="shared" si="35"/>
        <v>27851.071600839135</v>
      </c>
      <c r="T74" s="108">
        <f t="shared" si="36"/>
        <v>221665.43180817118</v>
      </c>
      <c r="U74" s="108">
        <f t="shared" si="37"/>
        <v>4339.9007305753448</v>
      </c>
      <c r="V74" s="108">
        <f t="shared" si="38"/>
        <v>7502.3070904542756</v>
      </c>
      <c r="W74" s="108">
        <f t="shared" si="39"/>
        <v>233507.6396292008</v>
      </c>
      <c r="X74" s="108">
        <f t="shared" si="40"/>
        <v>48787.202006276726</v>
      </c>
      <c r="Y74" s="108">
        <f t="shared" si="41"/>
        <v>13172.544541694717</v>
      </c>
      <c r="Z74" s="108">
        <f t="shared" si="42"/>
        <v>35614.657464582007</v>
      </c>
      <c r="AA74" s="108">
        <f t="shared" si="43"/>
        <v>2794.9462064095555</v>
      </c>
      <c r="AB74" s="108">
        <f t="shared" si="44"/>
        <v>32819.71125817245</v>
      </c>
      <c r="AC74" s="109">
        <f t="shared" si="45"/>
        <v>0.50993419313803234</v>
      </c>
      <c r="AD74" s="108">
        <f t="shared" si="46"/>
        <v>18161.131618089028</v>
      </c>
      <c r="AE74" s="108">
        <f t="shared" si="47"/>
        <v>119073.52980588294</v>
      </c>
      <c r="AF74" s="48">
        <f t="shared" si="48"/>
        <v>0.15252030949024373</v>
      </c>
      <c r="AG74" s="110"/>
    </row>
    <row r="75" spans="5:33" x14ac:dyDescent="0.4">
      <c r="E75" s="107">
        <v>71</v>
      </c>
      <c r="F75" s="107">
        <v>6</v>
      </c>
      <c r="G75" s="141">
        <f t="shared" si="49"/>
        <v>58652707.895458922</v>
      </c>
      <c r="H75" s="141">
        <f t="shared" si="25"/>
        <v>1557087.464896587</v>
      </c>
      <c r="I75" s="141">
        <f t="shared" si="26"/>
        <v>687874.70773736457</v>
      </c>
      <c r="J75" s="141">
        <f t="shared" si="27"/>
        <v>869212.75715922238</v>
      </c>
      <c r="K75" s="108">
        <f t="shared" si="28"/>
        <v>57783495.138299696</v>
      </c>
      <c r="L75" s="108">
        <f t="shared" si="29"/>
        <v>61452990.357302189</v>
      </c>
      <c r="M75" s="108">
        <f t="shared" si="30"/>
        <v>113566.94292766265</v>
      </c>
      <c r="N75" s="108">
        <f t="shared" si="31"/>
        <v>12500</v>
      </c>
      <c r="O75" s="108">
        <f t="shared" si="32"/>
        <v>126066.94292766265</v>
      </c>
      <c r="P75" s="108">
        <f t="shared" si="33"/>
        <v>50426.777171065063</v>
      </c>
      <c r="Q75" s="100">
        <f t="shared" si="34"/>
        <v>2.2333333333333333E-3</v>
      </c>
      <c r="R75" s="100">
        <f>20%</f>
        <v>0.2</v>
      </c>
      <c r="S75" s="108">
        <f t="shared" si="35"/>
        <v>27449.002359594979</v>
      </c>
      <c r="T75" s="108">
        <f t="shared" si="36"/>
        <v>218465.38072020924</v>
      </c>
      <c r="U75" s="108">
        <f t="shared" si="37"/>
        <v>4283.3795070955002</v>
      </c>
      <c r="V75" s="108">
        <f t="shared" si="38"/>
        <v>7404.5998842302824</v>
      </c>
      <c r="W75" s="108">
        <f t="shared" si="39"/>
        <v>230153.36011153503</v>
      </c>
      <c r="X75" s="108">
        <f t="shared" si="40"/>
        <v>48191.163397002616</v>
      </c>
      <c r="Y75" s="108">
        <f t="shared" si="41"/>
        <v>13011.614117190707</v>
      </c>
      <c r="Z75" s="108">
        <f t="shared" si="42"/>
        <v>35179.549279811908</v>
      </c>
      <c r="AA75" s="108">
        <f t="shared" si="43"/>
        <v>2754.7974950953376</v>
      </c>
      <c r="AB75" s="108">
        <f t="shared" si="44"/>
        <v>32424.751784716573</v>
      </c>
      <c r="AC75" s="109">
        <f t="shared" si="45"/>
        <v>0.50505161550745536</v>
      </c>
      <c r="AD75" s="108">
        <f t="shared" si="46"/>
        <v>17767.488196593142</v>
      </c>
      <c r="AE75" s="108">
        <f t="shared" si="47"/>
        <v>116239.3263387999</v>
      </c>
      <c r="AF75" s="48">
        <f t="shared" si="48"/>
        <v>0.15285264252828412</v>
      </c>
      <c r="AG75" s="110"/>
    </row>
    <row r="76" spans="5:33" x14ac:dyDescent="0.4">
      <c r="E76" s="107">
        <v>72</v>
      </c>
      <c r="F76" s="107">
        <v>6</v>
      </c>
      <c r="G76" s="141">
        <f t="shared" si="49"/>
        <v>57783495.138299696</v>
      </c>
      <c r="H76" s="141">
        <f t="shared" si="25"/>
        <v>1557087.464896587</v>
      </c>
      <c r="I76" s="141">
        <f t="shared" si="26"/>
        <v>677680.6435117505</v>
      </c>
      <c r="J76" s="141">
        <f t="shared" si="27"/>
        <v>879406.82138483645</v>
      </c>
      <c r="K76" s="108">
        <f t="shared" si="28"/>
        <v>56904088.316914856</v>
      </c>
      <c r="L76" s="108">
        <f t="shared" si="29"/>
        <v>60542278.38677635</v>
      </c>
      <c r="M76" s="108">
        <f t="shared" si="30"/>
        <v>111883.92028256597</v>
      </c>
      <c r="N76" s="108">
        <f t="shared" si="31"/>
        <v>12500</v>
      </c>
      <c r="O76" s="108">
        <f t="shared" si="32"/>
        <v>124383.92028256597</v>
      </c>
      <c r="P76" s="108">
        <f t="shared" si="33"/>
        <v>49753.568113026391</v>
      </c>
      <c r="Q76" s="100">
        <f t="shared" si="34"/>
        <v>2.2333333333333333E-3</v>
      </c>
      <c r="R76" s="100">
        <f>20%</f>
        <v>0.2</v>
      </c>
      <c r="S76" s="108">
        <f t="shared" si="35"/>
        <v>27042.217679426769</v>
      </c>
      <c r="T76" s="108">
        <f t="shared" si="36"/>
        <v>215227.79966498993</v>
      </c>
      <c r="U76" s="108">
        <f t="shared" si="37"/>
        <v>4226.1954068026798</v>
      </c>
      <c r="V76" s="108">
        <f t="shared" si="38"/>
        <v>7305.7467749723655</v>
      </c>
      <c r="W76" s="108">
        <f t="shared" si="39"/>
        <v>226759.74184676495</v>
      </c>
      <c r="X76" s="108">
        <f t="shared" si="40"/>
        <v>47588.134490112803</v>
      </c>
      <c r="Y76" s="108">
        <f t="shared" si="41"/>
        <v>12848.796312330458</v>
      </c>
      <c r="Z76" s="108">
        <f t="shared" si="42"/>
        <v>34739.338177782345</v>
      </c>
      <c r="AA76" s="108">
        <f t="shared" si="43"/>
        <v>2714.1779226043345</v>
      </c>
      <c r="AB76" s="108">
        <f t="shared" si="44"/>
        <v>32025.160255178009</v>
      </c>
      <c r="AC76" s="109">
        <f t="shared" si="45"/>
        <v>0.50021578815297152</v>
      </c>
      <c r="AD76" s="108">
        <f t="shared" si="46"/>
        <v>17377.165426512009</v>
      </c>
      <c r="AE76" s="108">
        <f t="shared" si="47"/>
        <v>113428.80298924389</v>
      </c>
      <c r="AF76" s="48">
        <f t="shared" si="48"/>
        <v>0.15319887866717444</v>
      </c>
      <c r="AG76" s="110"/>
    </row>
    <row r="77" spans="5:33" x14ac:dyDescent="0.4">
      <c r="E77" s="107">
        <v>73</v>
      </c>
      <c r="F77" s="107">
        <v>7</v>
      </c>
      <c r="G77" s="141">
        <f t="shared" si="49"/>
        <v>56904088.316914856</v>
      </c>
      <c r="H77" s="141">
        <f t="shared" si="25"/>
        <v>1557087.464896587</v>
      </c>
      <c r="I77" s="141">
        <f t="shared" si="26"/>
        <v>667367.02403964463</v>
      </c>
      <c r="J77" s="141">
        <f t="shared" si="27"/>
        <v>889720.44085694232</v>
      </c>
      <c r="K77" s="108">
        <f t="shared" si="28"/>
        <v>56014367.876057915</v>
      </c>
      <c r="L77" s="108">
        <f t="shared" si="29"/>
        <v>59620885.652257904</v>
      </c>
      <c r="M77" s="108">
        <f t="shared" si="30"/>
        <v>110181.15926985333</v>
      </c>
      <c r="N77" s="108">
        <f t="shared" si="31"/>
        <v>12500</v>
      </c>
      <c r="O77" s="108">
        <f t="shared" si="32"/>
        <v>122681.15926985333</v>
      </c>
      <c r="P77" s="108">
        <f t="shared" si="33"/>
        <v>49072.463707941337</v>
      </c>
      <c r="Q77" s="100">
        <f t="shared" si="34"/>
        <v>2.2333333333333333E-3</v>
      </c>
      <c r="R77" s="100">
        <f>20%</f>
        <v>0.2</v>
      </c>
      <c r="S77" s="108">
        <f t="shared" si="35"/>
        <v>26630.662258008531</v>
      </c>
      <c r="T77" s="108">
        <f t="shared" si="36"/>
        <v>211952.24849377683</v>
      </c>
      <c r="U77" s="108">
        <f t="shared" si="37"/>
        <v>4168.3406555256579</v>
      </c>
      <c r="V77" s="108">
        <f t="shared" si="38"/>
        <v>7205.7343236127854</v>
      </c>
      <c r="W77" s="108">
        <f t="shared" si="39"/>
        <v>223326.32347291528</v>
      </c>
      <c r="X77" s="108">
        <f t="shared" si="40"/>
        <v>46978.033303903467</v>
      </c>
      <c r="Y77" s="108">
        <f t="shared" si="41"/>
        <v>12684.068992053937</v>
      </c>
      <c r="Z77" s="108">
        <f t="shared" si="42"/>
        <v>34293.96431184953</v>
      </c>
      <c r="AA77" s="108">
        <f t="shared" si="43"/>
        <v>2673.0819667107871</v>
      </c>
      <c r="AB77" s="108">
        <f t="shared" si="44"/>
        <v>31620.882345138743</v>
      </c>
      <c r="AC77" s="109">
        <f t="shared" si="45"/>
        <v>0.4954262634445627</v>
      </c>
      <c r="AD77" s="108">
        <f t="shared" si="46"/>
        <v>16990.130597720796</v>
      </c>
      <c r="AE77" s="108">
        <f t="shared" si="47"/>
        <v>110641.72596699814</v>
      </c>
      <c r="AF77" s="48">
        <f t="shared" si="48"/>
        <v>0.15355988393373904</v>
      </c>
      <c r="AG77" s="110"/>
    </row>
    <row r="78" spans="5:33" x14ac:dyDescent="0.4">
      <c r="E78" s="107">
        <v>74</v>
      </c>
      <c r="F78" s="107">
        <v>7</v>
      </c>
      <c r="G78" s="141">
        <f t="shared" si="49"/>
        <v>56014367.876057915</v>
      </c>
      <c r="H78" s="141">
        <f t="shared" si="25"/>
        <v>1557087.464896587</v>
      </c>
      <c r="I78" s="141">
        <f t="shared" si="26"/>
        <v>656932.44718578015</v>
      </c>
      <c r="J78" s="141">
        <f t="shared" si="27"/>
        <v>900155.0177108068</v>
      </c>
      <c r="K78" s="108">
        <f t="shared" si="28"/>
        <v>55114212.85834711</v>
      </c>
      <c r="L78" s="108">
        <f t="shared" si="29"/>
        <v>58688686.890520781</v>
      </c>
      <c r="M78" s="108">
        <f t="shared" si="30"/>
        <v>108458.42839937979</v>
      </c>
      <c r="N78" s="108">
        <f t="shared" si="31"/>
        <v>12500</v>
      </c>
      <c r="O78" s="108">
        <f t="shared" si="32"/>
        <v>120958.42839937979</v>
      </c>
      <c r="P78" s="108">
        <f t="shared" si="33"/>
        <v>48383.371359751916</v>
      </c>
      <c r="Q78" s="100">
        <f t="shared" si="34"/>
        <v>2.2333333333333333E-3</v>
      </c>
      <c r="R78" s="100">
        <f>20%</f>
        <v>0.2</v>
      </c>
      <c r="S78" s="108">
        <f t="shared" si="35"/>
        <v>26214.280144432614</v>
      </c>
      <c r="T78" s="108">
        <f t="shared" si="36"/>
        <v>208638.28189580134</v>
      </c>
      <c r="U78" s="108">
        <f t="shared" si="37"/>
        <v>4109.807387918293</v>
      </c>
      <c r="V78" s="108">
        <f t="shared" si="38"/>
        <v>7104.5489334713911</v>
      </c>
      <c r="W78" s="108">
        <f t="shared" si="39"/>
        <v>219852.63821719101</v>
      </c>
      <c r="X78" s="108">
        <f t="shared" si="40"/>
        <v>46360.776895195246</v>
      </c>
      <c r="Y78" s="108">
        <f t="shared" si="41"/>
        <v>12517.409761702716</v>
      </c>
      <c r="Z78" s="108">
        <f t="shared" si="42"/>
        <v>33843.367133492531</v>
      </c>
      <c r="AA78" s="108">
        <f t="shared" si="43"/>
        <v>2631.5040404246733</v>
      </c>
      <c r="AB78" s="108">
        <f t="shared" si="44"/>
        <v>31211.863093067859</v>
      </c>
      <c r="AC78" s="109">
        <f t="shared" si="45"/>
        <v>0.49068259803823056</v>
      </c>
      <c r="AD78" s="108">
        <f t="shared" si="46"/>
        <v>16606.351311423779</v>
      </c>
      <c r="AE78" s="108">
        <f t="shared" si="47"/>
        <v>107877.86370597046</v>
      </c>
      <c r="AF78" s="48">
        <f t="shared" si="48"/>
        <v>0.15393659774989321</v>
      </c>
      <c r="AG78" s="110"/>
    </row>
    <row r="79" spans="5:33" x14ac:dyDescent="0.4">
      <c r="E79" s="107">
        <v>75</v>
      </c>
      <c r="F79" s="107">
        <v>7</v>
      </c>
      <c r="G79" s="141">
        <f t="shared" si="49"/>
        <v>55114212.85834711</v>
      </c>
      <c r="H79" s="141">
        <f t="shared" si="25"/>
        <v>1557087.464896587</v>
      </c>
      <c r="I79" s="141">
        <f t="shared" si="26"/>
        <v>646375.49437074945</v>
      </c>
      <c r="J79" s="141">
        <f t="shared" si="27"/>
        <v>910711.9705258375</v>
      </c>
      <c r="K79" s="108">
        <f t="shared" si="28"/>
        <v>54203500.887821272</v>
      </c>
      <c r="L79" s="108">
        <f t="shared" si="29"/>
        <v>57745555.369260833</v>
      </c>
      <c r="M79" s="108">
        <f t="shared" si="30"/>
        <v>106715.49346610066</v>
      </c>
      <c r="N79" s="108">
        <f t="shared" si="31"/>
        <v>12500</v>
      </c>
      <c r="O79" s="108">
        <f t="shared" si="32"/>
        <v>119215.49346610066</v>
      </c>
      <c r="P79" s="108">
        <f t="shared" si="33"/>
        <v>47686.197386440268</v>
      </c>
      <c r="Q79" s="100">
        <f t="shared" si="34"/>
        <v>2.2333333333333333E-3</v>
      </c>
      <c r="R79" s="100">
        <f>20%</f>
        <v>0.2</v>
      </c>
      <c r="S79" s="108">
        <f t="shared" si="35"/>
        <v>25793.014731603173</v>
      </c>
      <c r="T79" s="108">
        <f t="shared" si="36"/>
        <v>205285.44933772224</v>
      </c>
      <c r="U79" s="108">
        <f t="shared" si="37"/>
        <v>4050.5876463902346</v>
      </c>
      <c r="V79" s="108">
        <f t="shared" si="38"/>
        <v>7002.1768484071499</v>
      </c>
      <c r="W79" s="108">
        <f t="shared" si="39"/>
        <v>216338.2138325196</v>
      </c>
      <c r="X79" s="108">
        <f t="shared" si="40"/>
        <v>45736.281348057215</v>
      </c>
      <c r="Y79" s="108">
        <f t="shared" si="41"/>
        <v>12348.795963975448</v>
      </c>
      <c r="Z79" s="108">
        <f t="shared" si="42"/>
        <v>33387.485384081767</v>
      </c>
      <c r="AA79" s="108">
        <f t="shared" si="43"/>
        <v>2589.4384912321566</v>
      </c>
      <c r="AB79" s="108">
        <f t="shared" si="44"/>
        <v>30798.046892849612</v>
      </c>
      <c r="AC79" s="109">
        <f t="shared" si="45"/>
        <v>0.485984352834959</v>
      </c>
      <c r="AD79" s="108">
        <f t="shared" si="46"/>
        <v>16225.79547716963</v>
      </c>
      <c r="AE79" s="108">
        <f t="shared" si="47"/>
        <v>105136.98684286801</v>
      </c>
      <c r="AF79" s="48">
        <f t="shared" si="48"/>
        <v>0.15433004087723967</v>
      </c>
      <c r="AG79" s="110"/>
    </row>
    <row r="80" spans="5:33" x14ac:dyDescent="0.4">
      <c r="E80" s="107">
        <v>76</v>
      </c>
      <c r="F80" s="107">
        <v>7</v>
      </c>
      <c r="G80" s="141">
        <f t="shared" si="49"/>
        <v>54203500.887821272</v>
      </c>
      <c r="H80" s="141">
        <f t="shared" si="25"/>
        <v>1557087.464896587</v>
      </c>
      <c r="I80" s="141">
        <f t="shared" si="26"/>
        <v>635694.73037814815</v>
      </c>
      <c r="J80" s="141">
        <f t="shared" si="27"/>
        <v>921392.73451843881</v>
      </c>
      <c r="K80" s="108">
        <f t="shared" si="28"/>
        <v>53282108.153302833</v>
      </c>
      <c r="L80" s="108">
        <f t="shared" si="29"/>
        <v>56791362.869866669</v>
      </c>
      <c r="M80" s="108">
        <f t="shared" si="30"/>
        <v>104952.11751823151</v>
      </c>
      <c r="N80" s="108">
        <f t="shared" si="31"/>
        <v>12500</v>
      </c>
      <c r="O80" s="108">
        <f t="shared" si="32"/>
        <v>117452.11751823151</v>
      </c>
      <c r="P80" s="108">
        <f t="shared" si="33"/>
        <v>46980.847007292607</v>
      </c>
      <c r="Q80" s="100">
        <f t="shared" si="34"/>
        <v>2.2333333333333333E-3</v>
      </c>
      <c r="R80" s="100">
        <f>20%</f>
        <v>0.2</v>
      </c>
      <c r="S80" s="108">
        <f t="shared" si="35"/>
        <v>25366.808748540447</v>
      </c>
      <c r="T80" s="108">
        <f t="shared" si="36"/>
        <v>201893.29500237599</v>
      </c>
      <c r="U80" s="108">
        <f t="shared" si="37"/>
        <v>3990.6733800250872</v>
      </c>
      <c r="V80" s="108">
        <f t="shared" si="38"/>
        <v>6898.6041509480028</v>
      </c>
      <c r="W80" s="108">
        <f t="shared" si="39"/>
        <v>212782.57253334907</v>
      </c>
      <c r="X80" s="108">
        <f t="shared" si="40"/>
        <v>45104.461762398445</v>
      </c>
      <c r="Y80" s="108">
        <f t="shared" si="41"/>
        <v>12178.204675847581</v>
      </c>
      <c r="Z80" s="108">
        <f t="shared" si="42"/>
        <v>32926.257086550861</v>
      </c>
      <c r="AA80" s="108">
        <f t="shared" si="43"/>
        <v>2546.8796003271286</v>
      </c>
      <c r="AB80" s="108">
        <f t="shared" si="44"/>
        <v>30379.377486223733</v>
      </c>
      <c r="AC80" s="109">
        <f t="shared" si="45"/>
        <v>0.48133109294006865</v>
      </c>
      <c r="AD80" s="108">
        <f t="shared" si="46"/>
        <v>15848.431309895206</v>
      </c>
      <c r="AE80" s="108">
        <f t="shared" si="47"/>
        <v>102418.86819607634</v>
      </c>
      <c r="AF80" s="48">
        <f t="shared" si="48"/>
        <v>0.15474132441645511</v>
      </c>
      <c r="AG80" s="110"/>
    </row>
    <row r="81" spans="5:33" x14ac:dyDescent="0.4">
      <c r="E81" s="107">
        <v>77</v>
      </c>
      <c r="F81" s="107">
        <v>7</v>
      </c>
      <c r="G81" s="141">
        <f t="shared" si="49"/>
        <v>53282108.153302833</v>
      </c>
      <c r="H81" s="141">
        <f t="shared" si="25"/>
        <v>1557087.464896587</v>
      </c>
      <c r="I81" s="141">
        <f t="shared" si="26"/>
        <v>624888.70315945812</v>
      </c>
      <c r="J81" s="141">
        <f t="shared" si="27"/>
        <v>932198.76173712884</v>
      </c>
      <c r="K81" s="108">
        <f t="shared" si="28"/>
        <v>52349909.391565703</v>
      </c>
      <c r="L81" s="108">
        <f t="shared" si="29"/>
        <v>55825979.669988289</v>
      </c>
      <c r="M81" s="108">
        <f t="shared" si="30"/>
        <v>103168.06082503457</v>
      </c>
      <c r="N81" s="108">
        <f t="shared" si="31"/>
        <v>12500</v>
      </c>
      <c r="O81" s="108">
        <f t="shared" si="32"/>
        <v>115668.06082503457</v>
      </c>
      <c r="P81" s="108">
        <f t="shared" si="33"/>
        <v>46267.224330013829</v>
      </c>
      <c r="Q81" s="100">
        <f t="shared" si="34"/>
        <v>2.2333333333333333E-3</v>
      </c>
      <c r="R81" s="100">
        <f>20%</f>
        <v>0.2</v>
      </c>
      <c r="S81" s="108">
        <f t="shared" si="35"/>
        <v>24935.604252594771</v>
      </c>
      <c r="T81" s="108">
        <f t="shared" si="36"/>
        <v>198461.35772680835</v>
      </c>
      <c r="U81" s="108">
        <f t="shared" si="37"/>
        <v>3930.0564434858929</v>
      </c>
      <c r="V81" s="108">
        <f t="shared" si="38"/>
        <v>6793.8167603987895</v>
      </c>
      <c r="W81" s="108">
        <f t="shared" si="39"/>
        <v>209185.23093069304</v>
      </c>
      <c r="X81" s="108">
        <f t="shared" si="40"/>
        <v>44465.232242425976</v>
      </c>
      <c r="Y81" s="108">
        <f t="shared" si="41"/>
        <v>12005.612705455014</v>
      </c>
      <c r="Z81" s="108">
        <f t="shared" si="42"/>
        <v>32459.61953697096</v>
      </c>
      <c r="AA81" s="108">
        <f t="shared" si="43"/>
        <v>2503.8215818337353</v>
      </c>
      <c r="AB81" s="108">
        <f t="shared" si="44"/>
        <v>29955.797955137226</v>
      </c>
      <c r="AC81" s="109">
        <f t="shared" si="45"/>
        <v>0.47672238762296082</v>
      </c>
      <c r="AD81" s="108">
        <f t="shared" si="46"/>
        <v>15474.227326997701</v>
      </c>
      <c r="AE81" s="108">
        <f t="shared" si="47"/>
        <v>99723.282744740427</v>
      </c>
      <c r="AF81" s="48">
        <f t="shared" si="48"/>
        <v>0.15517166002854874</v>
      </c>
      <c r="AG81" s="110"/>
    </row>
    <row r="82" spans="5:33" x14ac:dyDescent="0.4">
      <c r="E82" s="107">
        <v>78</v>
      </c>
      <c r="F82" s="107">
        <v>7</v>
      </c>
      <c r="G82" s="141">
        <f t="shared" si="49"/>
        <v>52349909.391565703</v>
      </c>
      <c r="H82" s="141">
        <f t="shared" si="25"/>
        <v>1557087.464896587</v>
      </c>
      <c r="I82" s="141">
        <f t="shared" si="26"/>
        <v>613955.94363664149</v>
      </c>
      <c r="J82" s="141">
        <f t="shared" si="27"/>
        <v>943131.52125994547</v>
      </c>
      <c r="K82" s="108">
        <f t="shared" si="28"/>
        <v>51406777.870305754</v>
      </c>
      <c r="L82" s="108">
        <f t="shared" si="29"/>
        <v>54849274.525901392</v>
      </c>
      <c r="M82" s="108">
        <f t="shared" si="30"/>
        <v>101363.08084422733</v>
      </c>
      <c r="N82" s="108">
        <f t="shared" si="31"/>
        <v>12500</v>
      </c>
      <c r="O82" s="108">
        <f t="shared" si="32"/>
        <v>113863.08084422733</v>
      </c>
      <c r="P82" s="108">
        <f t="shared" si="33"/>
        <v>45545.232337690933</v>
      </c>
      <c r="Q82" s="100">
        <f t="shared" si="34"/>
        <v>2.2333333333333333E-3</v>
      </c>
      <c r="R82" s="100">
        <f>20%</f>
        <v>0.2</v>
      </c>
      <c r="S82" s="108">
        <f t="shared" si="35"/>
        <v>24499.342621569289</v>
      </c>
      <c r="T82" s="108">
        <f t="shared" si="36"/>
        <v>194989.17093957943</v>
      </c>
      <c r="U82" s="108">
        <f t="shared" si="37"/>
        <v>3868.7285959077722</v>
      </c>
      <c r="V82" s="108">
        <f t="shared" si="38"/>
        <v>6687.8004309269772</v>
      </c>
      <c r="W82" s="108">
        <f t="shared" si="39"/>
        <v>205545.69996641419</v>
      </c>
      <c r="X82" s="108">
        <f t="shared" si="40"/>
        <v>43818.505884967104</v>
      </c>
      <c r="Y82" s="108">
        <f t="shared" si="41"/>
        <v>11830.99658894112</v>
      </c>
      <c r="Z82" s="108">
        <f t="shared" si="42"/>
        <v>31987.509296025986</v>
      </c>
      <c r="AA82" s="108">
        <f t="shared" si="43"/>
        <v>2460.2585820197914</v>
      </c>
      <c r="AB82" s="108">
        <f t="shared" si="44"/>
        <v>29527.250714006193</v>
      </c>
      <c r="AC82" s="109">
        <f t="shared" si="45"/>
        <v>0.47215781027724618</v>
      </c>
      <c r="AD82" s="108">
        <f t="shared" si="46"/>
        <v>15103.152345434686</v>
      </c>
      <c r="AE82" s="108">
        <f t="shared" si="47"/>
        <v>97050.007608045955</v>
      </c>
      <c r="AF82" s="48">
        <f t="shared" si="48"/>
        <v>0.15562237157601783</v>
      </c>
      <c r="AG82" s="110"/>
    </row>
    <row r="83" spans="5:33" x14ac:dyDescent="0.4">
      <c r="E83" s="107">
        <v>79</v>
      </c>
      <c r="F83" s="107">
        <v>7</v>
      </c>
      <c r="G83" s="141">
        <f t="shared" si="49"/>
        <v>51406777.870305754</v>
      </c>
      <c r="H83" s="141">
        <f t="shared" si="25"/>
        <v>1557087.464896587</v>
      </c>
      <c r="I83" s="141">
        <f t="shared" si="26"/>
        <v>602894.96550241939</v>
      </c>
      <c r="J83" s="141">
        <f t="shared" si="27"/>
        <v>954192.49939416756</v>
      </c>
      <c r="K83" s="108">
        <f t="shared" si="28"/>
        <v>50452585.370911583</v>
      </c>
      <c r="L83" s="108">
        <f t="shared" si="29"/>
        <v>53861114.654664777</v>
      </c>
      <c r="M83" s="108">
        <f t="shared" si="30"/>
        <v>99536.932189008963</v>
      </c>
      <c r="N83" s="108">
        <f t="shared" si="31"/>
        <v>12500</v>
      </c>
      <c r="O83" s="108">
        <f t="shared" si="32"/>
        <v>112036.93218900896</v>
      </c>
      <c r="P83" s="108">
        <f t="shared" si="33"/>
        <v>44814.772875603587</v>
      </c>
      <c r="Q83" s="100">
        <f t="shared" si="34"/>
        <v>2.2333333333333333E-3</v>
      </c>
      <c r="R83" s="100">
        <f>20%</f>
        <v>0.2</v>
      </c>
      <c r="S83" s="108">
        <f t="shared" si="35"/>
        <v>24057.964545750267</v>
      </c>
      <c r="T83" s="108">
        <f t="shared" si="36"/>
        <v>191476.26259733326</v>
      </c>
      <c r="U83" s="108">
        <f t="shared" si="37"/>
        <v>3806.6814997775782</v>
      </c>
      <c r="V83" s="108">
        <f t="shared" si="38"/>
        <v>6580.5407496259395</v>
      </c>
      <c r="W83" s="108">
        <f t="shared" si="39"/>
        <v>201863.48484673677</v>
      </c>
      <c r="X83" s="108">
        <f t="shared" si="40"/>
        <v>43164.194767655106</v>
      </c>
      <c r="Y83" s="108">
        <f t="shared" si="41"/>
        <v>11654.332587266879</v>
      </c>
      <c r="Z83" s="108">
        <f t="shared" si="42"/>
        <v>31509.862180388227</v>
      </c>
      <c r="AA83" s="108">
        <f t="shared" si="43"/>
        <v>2416.1846785009652</v>
      </c>
      <c r="AB83" s="108">
        <f t="shared" si="44"/>
        <v>29093.677501887261</v>
      </c>
      <c r="AC83" s="109">
        <f t="shared" si="45"/>
        <v>0.46763693838125664</v>
      </c>
      <c r="AD83" s="108">
        <f t="shared" si="46"/>
        <v>14735.175478852098</v>
      </c>
      <c r="AE83" s="108">
        <f t="shared" si="47"/>
        <v>94398.82202469917</v>
      </c>
      <c r="AF83" s="48">
        <f t="shared" si="48"/>
        <v>0.15609490841947882</v>
      </c>
      <c r="AG83" s="110"/>
    </row>
    <row r="84" spans="5:33" x14ac:dyDescent="0.4">
      <c r="E84" s="107">
        <v>80</v>
      </c>
      <c r="F84" s="107">
        <v>7</v>
      </c>
      <c r="G84" s="141">
        <f t="shared" si="49"/>
        <v>50452585.370911583</v>
      </c>
      <c r="H84" s="141">
        <f t="shared" si="25"/>
        <v>1557087.464896587</v>
      </c>
      <c r="I84" s="141">
        <f t="shared" si="26"/>
        <v>591704.26501820923</v>
      </c>
      <c r="J84" s="141">
        <f t="shared" si="27"/>
        <v>965383.19987837772</v>
      </c>
      <c r="K84" s="108">
        <f t="shared" si="28"/>
        <v>49487202.171033204</v>
      </c>
      <c r="L84" s="108">
        <f t="shared" si="29"/>
        <v>52861365.716068543</v>
      </c>
      <c r="M84" s="108">
        <f t="shared" si="30"/>
        <v>97689.366594700026</v>
      </c>
      <c r="N84" s="108">
        <f t="shared" si="31"/>
        <v>12500</v>
      </c>
      <c r="O84" s="108">
        <f t="shared" si="32"/>
        <v>110189.36659470003</v>
      </c>
      <c r="P84" s="108">
        <f t="shared" si="33"/>
        <v>44075.746637880016</v>
      </c>
      <c r="Q84" s="100">
        <f t="shared" si="34"/>
        <v>2.2333333333333333E-3</v>
      </c>
      <c r="R84" s="100">
        <f>20%</f>
        <v>0.2</v>
      </c>
      <c r="S84" s="108">
        <f t="shared" si="35"/>
        <v>23611.410019843948</v>
      </c>
      <c r="T84" s="108">
        <f t="shared" si="36"/>
        <v>187922.15512062365</v>
      </c>
      <c r="U84" s="108">
        <f t="shared" si="37"/>
        <v>3743.906719800415</v>
      </c>
      <c r="V84" s="108">
        <f t="shared" si="38"/>
        <v>6472.0231345555267</v>
      </c>
      <c r="W84" s="108">
        <f t="shared" si="39"/>
        <v>198138.08497497957</v>
      </c>
      <c r="X84" s="108">
        <f t="shared" si="40"/>
        <v>42502.209936976062</v>
      </c>
      <c r="Y84" s="108">
        <f t="shared" si="41"/>
        <v>11475.596682983538</v>
      </c>
      <c r="Z84" s="108">
        <f t="shared" si="42"/>
        <v>31026.613253992524</v>
      </c>
      <c r="AA84" s="108">
        <f t="shared" si="43"/>
        <v>2371.5938794356298</v>
      </c>
      <c r="AB84" s="108">
        <f t="shared" si="44"/>
        <v>28655.019374556894</v>
      </c>
      <c r="AC84" s="109">
        <f t="shared" si="45"/>
        <v>0.46315935345893339</v>
      </c>
      <c r="AD84" s="108">
        <f t="shared" si="46"/>
        <v>14370.266134739551</v>
      </c>
      <c r="AE84" s="108">
        <f t="shared" si="47"/>
        <v>91769.507332602749</v>
      </c>
      <c r="AF84" s="48">
        <f t="shared" si="48"/>
        <v>0.15659086065109842</v>
      </c>
      <c r="AG84" s="110"/>
    </row>
    <row r="85" spans="5:33" x14ac:dyDescent="0.4">
      <c r="E85" s="107">
        <v>81</v>
      </c>
      <c r="F85" s="107">
        <v>7</v>
      </c>
      <c r="G85" s="141">
        <f t="shared" si="49"/>
        <v>49487202.171033204</v>
      </c>
      <c r="H85" s="141">
        <f t="shared" si="25"/>
        <v>1557087.464896587</v>
      </c>
      <c r="I85" s="141">
        <f t="shared" si="26"/>
        <v>580382.32080969098</v>
      </c>
      <c r="J85" s="141">
        <f t="shared" si="27"/>
        <v>976705.14408689598</v>
      </c>
      <c r="K85" s="108">
        <f t="shared" si="28"/>
        <v>48510497.026946306</v>
      </c>
      <c r="L85" s="108">
        <f t="shared" si="29"/>
        <v>51849891.794370532</v>
      </c>
      <c r="M85" s="108">
        <f t="shared" si="30"/>
        <v>95820.132884990933</v>
      </c>
      <c r="N85" s="108">
        <f t="shared" si="31"/>
        <v>12500</v>
      </c>
      <c r="O85" s="108">
        <f t="shared" si="32"/>
        <v>108320.13288499093</v>
      </c>
      <c r="P85" s="108">
        <f t="shared" si="33"/>
        <v>43328.053153996378</v>
      </c>
      <c r="Q85" s="100">
        <f t="shared" si="34"/>
        <v>2.2333333333333333E-3</v>
      </c>
      <c r="R85" s="100">
        <f>20%</f>
        <v>0.2</v>
      </c>
      <c r="S85" s="108">
        <f t="shared" si="35"/>
        <v>23159.618334818839</v>
      </c>
      <c r="T85" s="108">
        <f t="shared" si="36"/>
        <v>184326.36532898725</v>
      </c>
      <c r="U85" s="108">
        <f t="shared" si="37"/>
        <v>3680.39572175286</v>
      </c>
      <c r="V85" s="108">
        <f t="shared" si="38"/>
        <v>6362.2328327596533</v>
      </c>
      <c r="W85" s="108">
        <f t="shared" si="39"/>
        <v>194368.99388349976</v>
      </c>
      <c r="X85" s="108">
        <f t="shared" si="40"/>
        <v>41832.461396175713</v>
      </c>
      <c r="Y85" s="108">
        <f t="shared" si="41"/>
        <v>11294.764576967444</v>
      </c>
      <c r="Z85" s="108">
        <f t="shared" si="42"/>
        <v>30537.696819208271</v>
      </c>
      <c r="AA85" s="108">
        <f t="shared" si="43"/>
        <v>2326.4801227102748</v>
      </c>
      <c r="AB85" s="108">
        <f t="shared" si="44"/>
        <v>28211.216696497995</v>
      </c>
      <c r="AC85" s="109">
        <f t="shared" si="45"/>
        <v>0.45872464104109206</v>
      </c>
      <c r="AD85" s="108">
        <f t="shared" si="46"/>
        <v>14008.394011613012</v>
      </c>
      <c r="AE85" s="108">
        <f t="shared" si="47"/>
        <v>89161.846948726641</v>
      </c>
      <c r="AF85" s="48">
        <f t="shared" si="48"/>
        <v>0.15711197660215218</v>
      </c>
      <c r="AG85" s="110"/>
    </row>
    <row r="86" spans="5:33" x14ac:dyDescent="0.4">
      <c r="E86" s="107">
        <v>82</v>
      </c>
      <c r="F86" s="107">
        <v>7</v>
      </c>
      <c r="G86" s="141">
        <f t="shared" si="49"/>
        <v>48510497.026946306</v>
      </c>
      <c r="H86" s="141">
        <f t="shared" si="25"/>
        <v>1557087.464896587</v>
      </c>
      <c r="I86" s="141">
        <f t="shared" si="26"/>
        <v>568927.59365997708</v>
      </c>
      <c r="J86" s="141">
        <f t="shared" si="27"/>
        <v>988159.87123660988</v>
      </c>
      <c r="K86" s="108">
        <f t="shared" si="28"/>
        <v>47522337.155709699</v>
      </c>
      <c r="L86" s="108">
        <f t="shared" si="29"/>
        <v>50826555.379818626</v>
      </c>
      <c r="M86" s="108">
        <f t="shared" si="30"/>
        <v>93928.976937794519</v>
      </c>
      <c r="N86" s="108">
        <f t="shared" si="31"/>
        <v>12500</v>
      </c>
      <c r="O86" s="108">
        <f t="shared" si="32"/>
        <v>106428.97693779452</v>
      </c>
      <c r="P86" s="108">
        <f t="shared" si="33"/>
        <v>42571.590775117809</v>
      </c>
      <c r="Q86" s="100">
        <f t="shared" si="34"/>
        <v>2.2333333333333333E-3</v>
      </c>
      <c r="R86" s="100">
        <f>20%</f>
        <v>0.2</v>
      </c>
      <c r="S86" s="108">
        <f t="shared" si="35"/>
        <v>22702.528069652319</v>
      </c>
      <c r="T86" s="108">
        <f t="shared" si="36"/>
        <v>180688.4043752552</v>
      </c>
      <c r="U86" s="108">
        <f t="shared" si="37"/>
        <v>3616.1398713227359</v>
      </c>
      <c r="V86" s="108">
        <f t="shared" si="38"/>
        <v>6251.1549182606313</v>
      </c>
      <c r="W86" s="108">
        <f t="shared" si="39"/>
        <v>190555.69916483856</v>
      </c>
      <c r="X86" s="108">
        <f t="shared" si="40"/>
        <v>41154.858093024392</v>
      </c>
      <c r="Y86" s="108">
        <f t="shared" si="41"/>
        <v>11111.811685116587</v>
      </c>
      <c r="Z86" s="108">
        <f t="shared" si="42"/>
        <v>30043.046407907805</v>
      </c>
      <c r="AA86" s="108">
        <f t="shared" si="43"/>
        <v>2280.8372751153611</v>
      </c>
      <c r="AB86" s="108">
        <f t="shared" si="44"/>
        <v>27762.209132792443</v>
      </c>
      <c r="AC86" s="109">
        <f t="shared" si="45"/>
        <v>0.45433239062705599</v>
      </c>
      <c r="AD86" s="108">
        <f t="shared" si="46"/>
        <v>13649.52909622434</v>
      </c>
      <c r="AE86" s="108">
        <f t="shared" si="47"/>
        <v>86575.626349171202</v>
      </c>
      <c r="AF86" s="48">
        <f t="shared" si="48"/>
        <v>0.15766018303089077</v>
      </c>
      <c r="AG86" s="110"/>
    </row>
    <row r="87" spans="5:33" x14ac:dyDescent="0.4">
      <c r="E87" s="107">
        <v>83</v>
      </c>
      <c r="F87" s="107">
        <v>7</v>
      </c>
      <c r="G87" s="141">
        <f t="shared" si="49"/>
        <v>47522337.155709699</v>
      </c>
      <c r="H87" s="141">
        <f t="shared" si="25"/>
        <v>1557087.464896587</v>
      </c>
      <c r="I87" s="141">
        <f t="shared" si="26"/>
        <v>557338.52630035568</v>
      </c>
      <c r="J87" s="141">
        <f t="shared" si="27"/>
        <v>999748.93859623128</v>
      </c>
      <c r="K87" s="108">
        <f t="shared" si="28"/>
        <v>46522588.217113465</v>
      </c>
      <c r="L87" s="108">
        <f t="shared" si="29"/>
        <v>49791217.349956274</v>
      </c>
      <c r="M87" s="108">
        <f t="shared" si="30"/>
        <v>92015.641650698206</v>
      </c>
      <c r="N87" s="108">
        <f t="shared" si="31"/>
        <v>12500</v>
      </c>
      <c r="O87" s="108">
        <f t="shared" si="32"/>
        <v>104515.64165069821</v>
      </c>
      <c r="P87" s="108">
        <f t="shared" si="33"/>
        <v>41806.256660279287</v>
      </c>
      <c r="Q87" s="100">
        <f t="shared" si="34"/>
        <v>2.2333333333333333E-3</v>
      </c>
      <c r="R87" s="100">
        <f>20%</f>
        <v>0.2</v>
      </c>
      <c r="S87" s="108">
        <f t="shared" si="35"/>
        <v>22240.077082980468</v>
      </c>
      <c r="T87" s="108">
        <f t="shared" si="36"/>
        <v>177007.77767909452</v>
      </c>
      <c r="U87" s="108">
        <f t="shared" si="37"/>
        <v>3551.1304329352779</v>
      </c>
      <c r="V87" s="108">
        <f t="shared" si="38"/>
        <v>6138.77429002999</v>
      </c>
      <c r="W87" s="108">
        <f t="shared" si="39"/>
        <v>186697.68240205979</v>
      </c>
      <c r="X87" s="108">
        <f t="shared" si="40"/>
        <v>40469.307907438451</v>
      </c>
      <c r="Y87" s="108">
        <f t="shared" si="41"/>
        <v>10926.713135008382</v>
      </c>
      <c r="Z87" s="108">
        <f t="shared" si="42"/>
        <v>29542.594772430071</v>
      </c>
      <c r="AA87" s="108">
        <f t="shared" si="43"/>
        <v>2234.659131511512</v>
      </c>
      <c r="AB87" s="108">
        <f t="shared" si="44"/>
        <v>27307.93564091856</v>
      </c>
      <c r="AC87" s="109">
        <f t="shared" si="45"/>
        <v>0.44998219564665815</v>
      </c>
      <c r="AD87" s="108">
        <f t="shared" si="46"/>
        <v>13293.641660797568</v>
      </c>
      <c r="AE87" s="108">
        <f t="shared" si="47"/>
        <v>84010.633049421318</v>
      </c>
      <c r="AF87" s="48">
        <f t="shared" si="48"/>
        <v>0.1582376084819794</v>
      </c>
      <c r="AG87" s="110"/>
    </row>
    <row r="88" spans="5:33" x14ac:dyDescent="0.4">
      <c r="E88" s="107">
        <v>84</v>
      </c>
      <c r="F88" s="107">
        <v>7</v>
      </c>
      <c r="G88" s="141">
        <f t="shared" si="49"/>
        <v>46522588.217113465</v>
      </c>
      <c r="H88" s="141">
        <f t="shared" si="25"/>
        <v>1557087.464896587</v>
      </c>
      <c r="I88" s="141">
        <f t="shared" si="26"/>
        <v>545613.54319858027</v>
      </c>
      <c r="J88" s="141">
        <f t="shared" si="27"/>
        <v>1011473.9216980067</v>
      </c>
      <c r="K88" s="108">
        <f t="shared" si="28"/>
        <v>45511114.295415461</v>
      </c>
      <c r="L88" s="108">
        <f t="shared" si="29"/>
        <v>48743736.950708859</v>
      </c>
      <c r="M88" s="108">
        <f t="shared" si="30"/>
        <v>90079.86690601091</v>
      </c>
      <c r="N88" s="108">
        <f t="shared" si="31"/>
        <v>12500</v>
      </c>
      <c r="O88" s="108">
        <f t="shared" si="32"/>
        <v>102579.86690601091</v>
      </c>
      <c r="P88" s="108">
        <f t="shared" si="33"/>
        <v>41031.946762404368</v>
      </c>
      <c r="Q88" s="100">
        <f t="shared" si="34"/>
        <v>2.2333333333333333E-3</v>
      </c>
      <c r="R88" s="100">
        <f>20%</f>
        <v>0.2</v>
      </c>
      <c r="S88" s="108">
        <f t="shared" si="35"/>
        <v>21772.202504649958</v>
      </c>
      <c r="T88" s="108">
        <f t="shared" si="36"/>
        <v>173283.98485976996</v>
      </c>
      <c r="U88" s="108">
        <f t="shared" si="37"/>
        <v>3485.358568565533</v>
      </c>
      <c r="V88" s="108">
        <f t="shared" si="38"/>
        <v>6025.0756699354897</v>
      </c>
      <c r="W88" s="108">
        <f t="shared" si="39"/>
        <v>182794.419098271</v>
      </c>
      <c r="X88" s="108">
        <f t="shared" si="40"/>
        <v>39775.717638956587</v>
      </c>
      <c r="Y88" s="108">
        <f t="shared" si="41"/>
        <v>10739.44376251828</v>
      </c>
      <c r="Z88" s="108">
        <f t="shared" si="42"/>
        <v>29036.273876438307</v>
      </c>
      <c r="AA88" s="108">
        <f t="shared" si="43"/>
        <v>2187.9394139859282</v>
      </c>
      <c r="AB88" s="108">
        <f t="shared" si="44"/>
        <v>26848.334462452378</v>
      </c>
      <c r="AC88" s="109">
        <f t="shared" si="45"/>
        <v>0.44567365342260767</v>
      </c>
      <c r="AD88" s="108">
        <f t="shared" si="46"/>
        <v>12940.702260291682</v>
      </c>
      <c r="AE88" s="108">
        <f t="shared" si="47"/>
        <v>81466.656584789729</v>
      </c>
      <c r="AF88" s="48">
        <f t="shared" si="48"/>
        <v>0.15884661041444756</v>
      </c>
      <c r="AG88" s="110"/>
    </row>
    <row r="89" spans="5:33" x14ac:dyDescent="0.4">
      <c r="E89" s="107">
        <v>85</v>
      </c>
      <c r="F89" s="107">
        <v>8</v>
      </c>
      <c r="G89" s="141">
        <f t="shared" si="49"/>
        <v>45511114.295415461</v>
      </c>
      <c r="H89" s="141">
        <f t="shared" si="25"/>
        <v>1557087.464896587</v>
      </c>
      <c r="I89" s="141">
        <f t="shared" si="26"/>
        <v>533751.05034467659</v>
      </c>
      <c r="J89" s="141">
        <f t="shared" si="27"/>
        <v>1023336.4145519104</v>
      </c>
      <c r="K89" s="108">
        <f t="shared" si="28"/>
        <v>44487777.880863547</v>
      </c>
      <c r="L89" s="108">
        <f t="shared" si="29"/>
        <v>47683971.777248167</v>
      </c>
      <c r="M89" s="108">
        <f t="shared" si="30"/>
        <v>88121.389535400216</v>
      </c>
      <c r="N89" s="108">
        <f t="shared" si="31"/>
        <v>12500</v>
      </c>
      <c r="O89" s="108">
        <f t="shared" si="32"/>
        <v>100621.38953540022</v>
      </c>
      <c r="P89" s="108">
        <f t="shared" si="33"/>
        <v>40248.555814160092</v>
      </c>
      <c r="Q89" s="100">
        <f t="shared" si="34"/>
        <v>2.2333333333333333E-3</v>
      </c>
      <c r="R89" s="100">
        <f>20%</f>
        <v>0.2</v>
      </c>
      <c r="S89" s="108">
        <f t="shared" si="35"/>
        <v>21298.840727170849</v>
      </c>
      <c r="T89" s="108">
        <f t="shared" si="36"/>
        <v>169516.51966811722</v>
      </c>
      <c r="U89" s="108">
        <f t="shared" si="37"/>
        <v>3418.8153365368348</v>
      </c>
      <c r="V89" s="108">
        <f t="shared" si="38"/>
        <v>5910.0436006640648</v>
      </c>
      <c r="W89" s="108">
        <f t="shared" si="39"/>
        <v>178845.37860531814</v>
      </c>
      <c r="X89" s="108">
        <f t="shared" si="40"/>
        <v>39073.992994069275</v>
      </c>
      <c r="Y89" s="108">
        <f t="shared" si="41"/>
        <v>10549.978108398705</v>
      </c>
      <c r="Z89" s="108">
        <f t="shared" si="42"/>
        <v>28524.014885670571</v>
      </c>
      <c r="AA89" s="108">
        <f t="shared" si="43"/>
        <v>2140.6717709989016</v>
      </c>
      <c r="AB89" s="108">
        <f t="shared" si="44"/>
        <v>26383.343114671668</v>
      </c>
      <c r="AC89" s="109">
        <f t="shared" si="45"/>
        <v>0.44140636513321513</v>
      </c>
      <c r="AD89" s="108">
        <f t="shared" si="46"/>
        <v>12590.681729689568</v>
      </c>
      <c r="AE89" s="108">
        <f t="shared" si="47"/>
        <v>78943.488491047159</v>
      </c>
      <c r="AF89" s="48">
        <f t="shared" si="48"/>
        <v>0.15948980682703748</v>
      </c>
      <c r="AG89" s="110"/>
    </row>
    <row r="90" spans="5:33" x14ac:dyDescent="0.4">
      <c r="E90" s="107">
        <v>86</v>
      </c>
      <c r="F90" s="107">
        <v>8</v>
      </c>
      <c r="G90" s="141">
        <f t="shared" si="49"/>
        <v>44487777.880863547</v>
      </c>
      <c r="H90" s="141">
        <f t="shared" si="25"/>
        <v>1557087.464896587</v>
      </c>
      <c r="I90" s="141">
        <f t="shared" si="26"/>
        <v>521749.43503423664</v>
      </c>
      <c r="J90" s="141">
        <f t="shared" si="27"/>
        <v>1035338.0298623503</v>
      </c>
      <c r="K90" s="108">
        <f t="shared" si="28"/>
        <v>43452439.851001196</v>
      </c>
      <c r="L90" s="108">
        <f t="shared" si="29"/>
        <v>46611777.75463248</v>
      </c>
      <c r="M90" s="108">
        <f t="shared" si="30"/>
        <v>86139.943284114444</v>
      </c>
      <c r="N90" s="108">
        <f t="shared" si="31"/>
        <v>12500</v>
      </c>
      <c r="O90" s="108">
        <f t="shared" si="32"/>
        <v>98639.943284114444</v>
      </c>
      <c r="P90" s="108">
        <f t="shared" si="33"/>
        <v>39455.977313645781</v>
      </c>
      <c r="Q90" s="100">
        <f t="shared" si="34"/>
        <v>2.2333333333333333E-3</v>
      </c>
      <c r="R90" s="100">
        <f>20%</f>
        <v>0.2</v>
      </c>
      <c r="S90" s="108">
        <f t="shared" si="35"/>
        <v>20819.927397069176</v>
      </c>
      <c r="T90" s="108">
        <f t="shared" si="36"/>
        <v>165704.86991771846</v>
      </c>
      <c r="U90" s="108">
        <f t="shared" si="37"/>
        <v>3351.4916903051762</v>
      </c>
      <c r="V90" s="108">
        <f t="shared" si="38"/>
        <v>5793.6624436203992</v>
      </c>
      <c r="W90" s="108">
        <f t="shared" si="39"/>
        <v>174850.02405164402</v>
      </c>
      <c r="X90" s="108">
        <f t="shared" si="40"/>
        <v>38364.038573399492</v>
      </c>
      <c r="Y90" s="108">
        <f t="shared" si="41"/>
        <v>10358.290414817864</v>
      </c>
      <c r="Z90" s="108">
        <f t="shared" si="42"/>
        <v>28005.748158581628</v>
      </c>
      <c r="AA90" s="108">
        <f t="shared" si="43"/>
        <v>2092.8497765203274</v>
      </c>
      <c r="AB90" s="108">
        <f t="shared" si="44"/>
        <v>25912.898382061299</v>
      </c>
      <c r="AC90" s="109">
        <f t="shared" si="45"/>
        <v>0.4371799357754757</v>
      </c>
      <c r="AD90" s="108">
        <f t="shared" si="46"/>
        <v>12243.551181312863</v>
      </c>
      <c r="AE90" s="108">
        <f t="shared" si="47"/>
        <v>76440.922285238121</v>
      </c>
      <c r="AF90" s="48">
        <f t="shared" si="48"/>
        <v>0.16017011327553377</v>
      </c>
      <c r="AG90" s="110"/>
    </row>
    <row r="91" spans="5:33" x14ac:dyDescent="0.4">
      <c r="E91" s="107">
        <v>87</v>
      </c>
      <c r="F91" s="107">
        <v>8</v>
      </c>
      <c r="G91" s="141">
        <f t="shared" si="49"/>
        <v>43452439.851001196</v>
      </c>
      <c r="H91" s="141">
        <f t="shared" si="25"/>
        <v>1557087.464896587</v>
      </c>
      <c r="I91" s="141">
        <f t="shared" si="26"/>
        <v>509607.06564917229</v>
      </c>
      <c r="J91" s="141">
        <f t="shared" si="27"/>
        <v>1047480.3992474147</v>
      </c>
      <c r="K91" s="108">
        <f t="shared" si="28"/>
        <v>42404959.45175378</v>
      </c>
      <c r="L91" s="108">
        <f t="shared" si="29"/>
        <v>45527009.118219614</v>
      </c>
      <c r="M91" s="108">
        <f t="shared" si="30"/>
        <v>84135.258774785601</v>
      </c>
      <c r="N91" s="108">
        <f t="shared" si="31"/>
        <v>12500</v>
      </c>
      <c r="O91" s="108">
        <f t="shared" si="32"/>
        <v>96635.258774785601</v>
      </c>
      <c r="P91" s="108">
        <f t="shared" si="33"/>
        <v>38654.103509914239</v>
      </c>
      <c r="Q91" s="100">
        <f t="shared" si="34"/>
        <v>2.2333333333333333E-3</v>
      </c>
      <c r="R91" s="100">
        <f>20%</f>
        <v>0.2</v>
      </c>
      <c r="S91" s="108">
        <f t="shared" si="35"/>
        <v>20335.397406138094</v>
      </c>
      <c r="T91" s="108">
        <f t="shared" si="36"/>
        <v>161848.5174152707</v>
      </c>
      <c r="U91" s="108">
        <f t="shared" si="37"/>
        <v>3283.3784772293416</v>
      </c>
      <c r="V91" s="108">
        <f t="shared" si="38"/>
        <v>5675.9163768008684</v>
      </c>
      <c r="W91" s="108">
        <f t="shared" si="39"/>
        <v>170807.81226930089</v>
      </c>
      <c r="X91" s="108">
        <f t="shared" si="40"/>
        <v>37645.757858733268</v>
      </c>
      <c r="Y91" s="108">
        <f t="shared" si="41"/>
        <v>10164.354621857983</v>
      </c>
      <c r="Z91" s="108">
        <f t="shared" si="42"/>
        <v>27481.403236875285</v>
      </c>
      <c r="AA91" s="108">
        <f t="shared" si="43"/>
        <v>2044.4669291560856</v>
      </c>
      <c r="AB91" s="108">
        <f t="shared" si="44"/>
        <v>25436.936307719199</v>
      </c>
      <c r="AC91" s="109">
        <f t="shared" si="45"/>
        <v>0.43299397412850565</v>
      </c>
      <c r="AD91" s="108">
        <f t="shared" si="46"/>
        <v>11899.282002162608</v>
      </c>
      <c r="AE91" s="108">
        <f t="shared" si="47"/>
        <v>73958.753446680319</v>
      </c>
      <c r="AF91" s="48">
        <f t="shared" si="48"/>
        <v>0.16089078638597193</v>
      </c>
      <c r="AG91" s="110"/>
    </row>
    <row r="92" spans="5:33" x14ac:dyDescent="0.4">
      <c r="E92" s="107">
        <v>88</v>
      </c>
      <c r="F92" s="107">
        <v>8</v>
      </c>
      <c r="G92" s="141">
        <f t="shared" si="49"/>
        <v>42404959.45175378</v>
      </c>
      <c r="H92" s="141">
        <f t="shared" si="25"/>
        <v>1557087.464896587</v>
      </c>
      <c r="I92" s="141">
        <f t="shared" si="26"/>
        <v>497322.29143589642</v>
      </c>
      <c r="J92" s="141">
        <f t="shared" si="27"/>
        <v>1059765.1734606905</v>
      </c>
      <c r="K92" s="108">
        <f t="shared" si="28"/>
        <v>41345194.278293088</v>
      </c>
      <c r="L92" s="108">
        <f t="shared" si="29"/>
        <v>44429518.393850207</v>
      </c>
      <c r="M92" s="108">
        <f t="shared" si="30"/>
        <v>82107.063470807378</v>
      </c>
      <c r="N92" s="108">
        <f t="shared" si="31"/>
        <v>12500</v>
      </c>
      <c r="O92" s="108">
        <f t="shared" si="32"/>
        <v>94607.063470807378</v>
      </c>
      <c r="P92" s="108">
        <f t="shared" si="33"/>
        <v>37842.825388322955</v>
      </c>
      <c r="Q92" s="100">
        <f t="shared" si="34"/>
        <v>2.2333333333333333E-3</v>
      </c>
      <c r="R92" s="100">
        <f>20%</f>
        <v>0.2</v>
      </c>
      <c r="S92" s="108">
        <f t="shared" si="35"/>
        <v>19845.184882586425</v>
      </c>
      <c r="T92" s="108">
        <f t="shared" si="36"/>
        <v>157946.93789013746</v>
      </c>
      <c r="U92" s="108">
        <f t="shared" si="37"/>
        <v>3214.4664373266005</v>
      </c>
      <c r="V92" s="108">
        <f t="shared" si="38"/>
        <v>5556.7893926425322</v>
      </c>
      <c r="W92" s="108">
        <f t="shared" si="39"/>
        <v>166718.19372010659</v>
      </c>
      <c r="X92" s="108">
        <f t="shared" si="40"/>
        <v>36919.053199898</v>
      </c>
      <c r="Y92" s="108">
        <f t="shared" si="41"/>
        <v>9968.1443639724603</v>
      </c>
      <c r="Z92" s="108">
        <f t="shared" si="42"/>
        <v>26950.90883592554</v>
      </c>
      <c r="AA92" s="108">
        <f t="shared" si="43"/>
        <v>1995.5166512641781</v>
      </c>
      <c r="AB92" s="108">
        <f t="shared" si="44"/>
        <v>24955.392184661363</v>
      </c>
      <c r="AC92" s="109">
        <f t="shared" si="45"/>
        <v>0.4288480927173286</v>
      </c>
      <c r="AD92" s="108">
        <f t="shared" si="46"/>
        <v>11557.845851285267</v>
      </c>
      <c r="AE92" s="108">
        <f t="shared" si="47"/>
        <v>71496.779398145824</v>
      </c>
      <c r="AF92" s="48">
        <f t="shared" si="48"/>
        <v>0.1616554752336859</v>
      </c>
      <c r="AG92" s="110"/>
    </row>
    <row r="93" spans="5:33" x14ac:dyDescent="0.4">
      <c r="E93" s="107">
        <v>89</v>
      </c>
      <c r="F93" s="107">
        <v>8</v>
      </c>
      <c r="G93" s="141">
        <f t="shared" si="49"/>
        <v>41345194.278293088</v>
      </c>
      <c r="H93" s="141">
        <f t="shared" si="25"/>
        <v>1557087.464896587</v>
      </c>
      <c r="I93" s="141">
        <f t="shared" si="26"/>
        <v>484893.44228090369</v>
      </c>
      <c r="J93" s="141">
        <f t="shared" si="27"/>
        <v>1072194.0226156833</v>
      </c>
      <c r="K93" s="108">
        <f t="shared" si="28"/>
        <v>40273000.255677402</v>
      </c>
      <c r="L93" s="108">
        <f t="shared" si="29"/>
        <v>43319156.377798654</v>
      </c>
      <c r="M93" s="108">
        <f t="shared" si="30"/>
        <v>80055.081639283904</v>
      </c>
      <c r="N93" s="108">
        <f t="shared" si="31"/>
        <v>12500</v>
      </c>
      <c r="O93" s="108">
        <f t="shared" si="32"/>
        <v>92555.081639283904</v>
      </c>
      <c r="P93" s="108">
        <f t="shared" si="33"/>
        <v>37022.032655713563</v>
      </c>
      <c r="Q93" s="100">
        <f t="shared" si="34"/>
        <v>2.2333333333333333E-3</v>
      </c>
      <c r="R93" s="100">
        <f>20%</f>
        <v>0.2</v>
      </c>
      <c r="S93" s="108">
        <f t="shared" si="35"/>
        <v>19349.223182083399</v>
      </c>
      <c r="T93" s="108">
        <f t="shared" si="36"/>
        <v>153999.60092307421</v>
      </c>
      <c r="U93" s="108">
        <f t="shared" si="37"/>
        <v>3144.7462020138169</v>
      </c>
      <c r="V93" s="108">
        <f t="shared" si="38"/>
        <v>5436.2652958469134</v>
      </c>
      <c r="W93" s="108">
        <f t="shared" si="39"/>
        <v>162580.61242093492</v>
      </c>
      <c r="X93" s="108">
        <f t="shared" si="40"/>
        <v>36183.825801486943</v>
      </c>
      <c r="Y93" s="108">
        <f t="shared" si="41"/>
        <v>9769.6329664014756</v>
      </c>
      <c r="Z93" s="108">
        <f t="shared" si="42"/>
        <v>26414.192835085465</v>
      </c>
      <c r="AA93" s="108">
        <f t="shared" si="43"/>
        <v>1945.9922880604965</v>
      </c>
      <c r="AB93" s="108">
        <f t="shared" si="44"/>
        <v>24468.200547024968</v>
      </c>
      <c r="AC93" s="109">
        <f t="shared" si="45"/>
        <v>0.42474190777700938</v>
      </c>
      <c r="AD93" s="108">
        <f t="shared" si="46"/>
        <v>11219.214657164013</v>
      </c>
      <c r="AE93" s="108">
        <f t="shared" si="47"/>
        <v>69054.799487222452</v>
      </c>
      <c r="AF93" s="48">
        <f t="shared" si="48"/>
        <v>0.16246828229861068</v>
      </c>
      <c r="AG93" s="110"/>
    </row>
    <row r="94" spans="5:33" x14ac:dyDescent="0.4">
      <c r="E94" s="107">
        <v>90</v>
      </c>
      <c r="F94" s="107">
        <v>8</v>
      </c>
      <c r="G94" s="141">
        <f t="shared" si="49"/>
        <v>40273000.255677402</v>
      </c>
      <c r="H94" s="141">
        <f t="shared" si="25"/>
        <v>1557087.464896587</v>
      </c>
      <c r="I94" s="141">
        <f t="shared" si="26"/>
        <v>472318.82848371845</v>
      </c>
      <c r="J94" s="141">
        <f t="shared" si="27"/>
        <v>1084768.6364128685</v>
      </c>
      <c r="K94" s="108">
        <f t="shared" si="28"/>
        <v>39188231.619264536</v>
      </c>
      <c r="L94" s="108">
        <f t="shared" si="29"/>
        <v>42195772.116488867</v>
      </c>
      <c r="M94" s="108">
        <f t="shared" si="30"/>
        <v>77979.034313543903</v>
      </c>
      <c r="N94" s="108">
        <f t="shared" si="31"/>
        <v>12500</v>
      </c>
      <c r="O94" s="108">
        <f t="shared" si="32"/>
        <v>90479.034313543903</v>
      </c>
      <c r="P94" s="108">
        <f t="shared" si="33"/>
        <v>36191.613725417563</v>
      </c>
      <c r="Q94" s="100">
        <f t="shared" si="34"/>
        <v>2.2333333333333333E-3</v>
      </c>
      <c r="R94" s="100">
        <f>20%</f>
        <v>0.2</v>
      </c>
      <c r="S94" s="108">
        <f t="shared" si="35"/>
        <v>18847.444878698359</v>
      </c>
      <c r="T94" s="108">
        <f t="shared" si="36"/>
        <v>150005.9698741179</v>
      </c>
      <c r="U94" s="108">
        <f t="shared" si="37"/>
        <v>3074.2082928337895</v>
      </c>
      <c r="V94" s="108">
        <f t="shared" si="38"/>
        <v>5314.3277011782484</v>
      </c>
      <c r="W94" s="108">
        <f t="shared" si="39"/>
        <v>158394.50586812996</v>
      </c>
      <c r="X94" s="108">
        <f t="shared" si="40"/>
        <v>35439.975709427978</v>
      </c>
      <c r="Y94" s="108">
        <f t="shared" si="41"/>
        <v>9568.7934415455547</v>
      </c>
      <c r="Z94" s="108">
        <f t="shared" si="42"/>
        <v>25871.182267882425</v>
      </c>
      <c r="AA94" s="108">
        <f t="shared" si="43"/>
        <v>1895.8871067141072</v>
      </c>
      <c r="AB94" s="108">
        <f t="shared" si="44"/>
        <v>23975.295161168317</v>
      </c>
      <c r="AC94" s="109">
        <f t="shared" si="45"/>
        <v>0.42067503921712979</v>
      </c>
      <c r="AD94" s="108">
        <f t="shared" si="46"/>
        <v>10883.360615134952</v>
      </c>
      <c r="AE94" s="108">
        <f t="shared" si="47"/>
        <v>66632.614967853457</v>
      </c>
      <c r="AF94" s="48">
        <f t="shared" si="48"/>
        <v>0.16333383614594096</v>
      </c>
      <c r="AG94" s="110"/>
    </row>
    <row r="95" spans="5:33" x14ac:dyDescent="0.4">
      <c r="E95" s="107">
        <v>91</v>
      </c>
      <c r="F95" s="107">
        <v>8</v>
      </c>
      <c r="G95" s="141">
        <f t="shared" si="49"/>
        <v>39188231.619264536</v>
      </c>
      <c r="H95" s="141">
        <f t="shared" si="25"/>
        <v>1557087.464896587</v>
      </c>
      <c r="I95" s="141">
        <f t="shared" si="26"/>
        <v>459596.74052718043</v>
      </c>
      <c r="J95" s="141">
        <f t="shared" si="27"/>
        <v>1097490.7243694065</v>
      </c>
      <c r="K95" s="108">
        <f t="shared" si="28"/>
        <v>38090740.894895129</v>
      </c>
      <c r="L95" s="108">
        <f t="shared" si="29"/>
        <v>41059212.885972165</v>
      </c>
      <c r="M95" s="108">
        <f t="shared" si="30"/>
        <v>75878.63925521521</v>
      </c>
      <c r="N95" s="108">
        <f t="shared" si="31"/>
        <v>12500</v>
      </c>
      <c r="O95" s="108">
        <f t="shared" si="32"/>
        <v>88378.63925521521</v>
      </c>
      <c r="P95" s="108">
        <f t="shared" si="33"/>
        <v>35351.455702086088</v>
      </c>
      <c r="Q95" s="100">
        <f t="shared" si="34"/>
        <v>2.2333333333333333E-3</v>
      </c>
      <c r="R95" s="100">
        <f>20%</f>
        <v>0.2</v>
      </c>
      <c r="S95" s="108">
        <f t="shared" si="35"/>
        <v>18339.781755734235</v>
      </c>
      <c r="T95" s="108">
        <f t="shared" si="36"/>
        <v>145965.50180963104</v>
      </c>
      <c r="U95" s="108">
        <f t="shared" si="37"/>
        <v>3002.8431201666604</v>
      </c>
      <c r="V95" s="108">
        <f t="shared" si="38"/>
        <v>5190.960031235918</v>
      </c>
      <c r="W95" s="108">
        <f t="shared" si="39"/>
        <v>154159.3049610336</v>
      </c>
      <c r="X95" s="108">
        <f t="shared" si="40"/>
        <v>34687.401797394887</v>
      </c>
      <c r="Y95" s="108">
        <f t="shared" si="41"/>
        <v>9365.5984852966194</v>
      </c>
      <c r="Z95" s="108">
        <f t="shared" si="42"/>
        <v>25321.803312098265</v>
      </c>
      <c r="AA95" s="108">
        <f t="shared" si="43"/>
        <v>1845.1942954319234</v>
      </c>
      <c r="AB95" s="108">
        <f t="shared" si="44"/>
        <v>23476.609016666342</v>
      </c>
      <c r="AC95" s="109">
        <f t="shared" si="45"/>
        <v>0.41664711058660603</v>
      </c>
      <c r="AD95" s="108">
        <f t="shared" si="46"/>
        <v>10550.256184828093</v>
      </c>
      <c r="AE95" s="108">
        <f t="shared" si="47"/>
        <v>64230.028982054093</v>
      </c>
      <c r="AF95" s="48">
        <f t="shared" si="48"/>
        <v>0.16425737855070627</v>
      </c>
      <c r="AG95" s="110"/>
    </row>
    <row r="96" spans="5:33" x14ac:dyDescent="0.4">
      <c r="E96" s="107">
        <v>92</v>
      </c>
      <c r="F96" s="107">
        <v>8</v>
      </c>
      <c r="G96" s="141">
        <f t="shared" si="49"/>
        <v>38090740.894895129</v>
      </c>
      <c r="H96" s="141">
        <f t="shared" si="25"/>
        <v>1557087.464896587</v>
      </c>
      <c r="I96" s="141">
        <f t="shared" si="26"/>
        <v>446725.44884503586</v>
      </c>
      <c r="J96" s="141">
        <f t="shared" si="27"/>
        <v>1110362.0160515511</v>
      </c>
      <c r="K96" s="108">
        <f t="shared" si="28"/>
        <v>36980378.878843576</v>
      </c>
      <c r="L96" s="108">
        <f t="shared" si="29"/>
        <v>39909324.171164446</v>
      </c>
      <c r="M96" s="108">
        <f t="shared" si="30"/>
        <v>73753.610915854442</v>
      </c>
      <c r="N96" s="108">
        <f t="shared" si="31"/>
        <v>12500</v>
      </c>
      <c r="O96" s="108">
        <f t="shared" si="32"/>
        <v>86253.610915854442</v>
      </c>
      <c r="P96" s="108">
        <f t="shared" si="33"/>
        <v>34501.444366341777</v>
      </c>
      <c r="Q96" s="100">
        <f t="shared" si="34"/>
        <v>2.2333333333333333E-3</v>
      </c>
      <c r="R96" s="100">
        <f>20%</f>
        <v>0.2</v>
      </c>
      <c r="S96" s="108">
        <f t="shared" si="35"/>
        <v>17826.164796453453</v>
      </c>
      <c r="T96" s="108">
        <f t="shared" si="36"/>
        <v>141877.64742848961</v>
      </c>
      <c r="U96" s="108">
        <f t="shared" si="37"/>
        <v>2930.6409819262017</v>
      </c>
      <c r="V96" s="108">
        <f t="shared" si="38"/>
        <v>5066.1455142007462</v>
      </c>
      <c r="W96" s="108">
        <f t="shared" si="39"/>
        <v>149874.43392461655</v>
      </c>
      <c r="X96" s="108">
        <f t="shared" si="40"/>
        <v>33926.001753059216</v>
      </c>
      <c r="Y96" s="108">
        <f t="shared" si="41"/>
        <v>9160.0204733259889</v>
      </c>
      <c r="Z96" s="108">
        <f t="shared" si="42"/>
        <v>24765.981279733227</v>
      </c>
      <c r="AA96" s="108">
        <f t="shared" si="43"/>
        <v>1793.9069625326429</v>
      </c>
      <c r="AB96" s="108">
        <f t="shared" si="44"/>
        <v>22972.074317200582</v>
      </c>
      <c r="AC96" s="109">
        <f t="shared" si="45"/>
        <v>0.41265774903884245</v>
      </c>
      <c r="AD96" s="108">
        <f t="shared" si="46"/>
        <v>10219.874087632825</v>
      </c>
      <c r="AE96" s="108">
        <f t="shared" si="47"/>
        <v>61846.846541802988</v>
      </c>
      <c r="AF96" s="48">
        <f t="shared" si="48"/>
        <v>0.16524486952984893</v>
      </c>
      <c r="AG96" s="110"/>
    </row>
    <row r="97" spans="5:33" x14ac:dyDescent="0.4">
      <c r="E97" s="107">
        <v>93</v>
      </c>
      <c r="F97" s="107">
        <v>8</v>
      </c>
      <c r="G97" s="141">
        <f t="shared" si="49"/>
        <v>36980378.878843576</v>
      </c>
      <c r="H97" s="141">
        <f t="shared" si="25"/>
        <v>1557087.464896587</v>
      </c>
      <c r="I97" s="141">
        <f t="shared" si="26"/>
        <v>433703.20358680346</v>
      </c>
      <c r="J97" s="141">
        <f t="shared" si="27"/>
        <v>1123384.2613097834</v>
      </c>
      <c r="K97" s="108">
        <f t="shared" si="28"/>
        <v>35856994.617533796</v>
      </c>
      <c r="L97" s="108">
        <f t="shared" si="29"/>
        <v>38745949.644839913</v>
      </c>
      <c r="M97" s="108">
        <f t="shared" si="30"/>
        <v>71603.660398126769</v>
      </c>
      <c r="N97" s="108">
        <f t="shared" si="31"/>
        <v>12500</v>
      </c>
      <c r="O97" s="108">
        <f t="shared" si="32"/>
        <v>84103.660398126769</v>
      </c>
      <c r="P97" s="108">
        <f t="shared" si="33"/>
        <v>33641.464159250711</v>
      </c>
      <c r="Q97" s="100">
        <f t="shared" si="34"/>
        <v>2.2333333333333333E-3</v>
      </c>
      <c r="R97" s="100">
        <f>20%</f>
        <v>0.2</v>
      </c>
      <c r="S97" s="108">
        <f t="shared" si="35"/>
        <v>17306.524174695161</v>
      </c>
      <c r="T97" s="108">
        <f t="shared" si="36"/>
        <v>137741.85098740587</v>
      </c>
      <c r="U97" s="108">
        <f t="shared" si="37"/>
        <v>2857.5920622408225</v>
      </c>
      <c r="V97" s="108">
        <f t="shared" si="38"/>
        <v>4939.8671815548769</v>
      </c>
      <c r="W97" s="108">
        <f t="shared" si="39"/>
        <v>145539.31023120155</v>
      </c>
      <c r="X97" s="108">
        <f t="shared" si="40"/>
        <v>33155.672064180893</v>
      </c>
      <c r="Y97" s="108">
        <f t="shared" si="41"/>
        <v>8952.0314573288415</v>
      </c>
      <c r="Z97" s="108">
        <f t="shared" si="42"/>
        <v>24203.640606852052</v>
      </c>
      <c r="AA97" s="108">
        <f t="shared" si="43"/>
        <v>1742.0181355098237</v>
      </c>
      <c r="AB97" s="108">
        <f t="shared" si="44"/>
        <v>22461.622471342227</v>
      </c>
      <c r="AC97" s="109">
        <f t="shared" si="45"/>
        <v>0.40870658529721837</v>
      </c>
      <c r="AD97" s="108">
        <f t="shared" si="46"/>
        <v>9892.187304187597</v>
      </c>
      <c r="AE97" s="108">
        <f t="shared" si="47"/>
        <v>59482.874511106907</v>
      </c>
      <c r="AF97" s="48">
        <f t="shared" si="48"/>
        <v>0.16630311472826492</v>
      </c>
      <c r="AG97" s="110"/>
    </row>
    <row r="98" spans="5:33" x14ac:dyDescent="0.4">
      <c r="E98" s="107">
        <v>94</v>
      </c>
      <c r="F98" s="107">
        <v>8</v>
      </c>
      <c r="G98" s="141">
        <f t="shared" si="49"/>
        <v>35856994.617533796</v>
      </c>
      <c r="H98" s="141">
        <f t="shared" si="25"/>
        <v>1557087.464896587</v>
      </c>
      <c r="I98" s="141">
        <f t="shared" si="26"/>
        <v>420528.23437988217</v>
      </c>
      <c r="J98" s="141">
        <f t="shared" si="27"/>
        <v>1136559.2305167047</v>
      </c>
      <c r="K98" s="108">
        <f t="shared" si="28"/>
        <v>34720435.387017094</v>
      </c>
      <c r="L98" s="108">
        <f t="shared" si="29"/>
        <v>37568931.146378398</v>
      </c>
      <c r="M98" s="108">
        <f t="shared" si="30"/>
        <v>69428.495416530423</v>
      </c>
      <c r="N98" s="108">
        <f t="shared" si="31"/>
        <v>12500</v>
      </c>
      <c r="O98" s="108">
        <f t="shared" si="32"/>
        <v>81928.495416530423</v>
      </c>
      <c r="P98" s="108">
        <f t="shared" si="33"/>
        <v>32771.398166612169</v>
      </c>
      <c r="Q98" s="100">
        <f t="shared" si="34"/>
        <v>2.2333333333333333E-3</v>
      </c>
      <c r="R98" s="100">
        <f>20%</f>
        <v>0.2</v>
      </c>
      <c r="S98" s="108">
        <f t="shared" si="35"/>
        <v>16780.789245382352</v>
      </c>
      <c r="T98" s="108">
        <f t="shared" si="36"/>
        <v>133557.55022537519</v>
      </c>
      <c r="U98" s="108">
        <f t="shared" si="37"/>
        <v>2783.686430119104</v>
      </c>
      <c r="V98" s="108">
        <f t="shared" si="38"/>
        <v>4812.1078657749122</v>
      </c>
      <c r="W98" s="108">
        <f t="shared" si="39"/>
        <v>141153.3445212692</v>
      </c>
      <c r="X98" s="108">
        <f t="shared" si="40"/>
        <v>32376.308004535902</v>
      </c>
      <c r="Y98" s="108">
        <f t="shared" si="41"/>
        <v>8741.6031612246934</v>
      </c>
      <c r="Z98" s="108">
        <f t="shared" si="42"/>
        <v>23634.704843311207</v>
      </c>
      <c r="AA98" s="108">
        <f t="shared" si="43"/>
        <v>1689.5207600839756</v>
      </c>
      <c r="AB98" s="108">
        <f t="shared" si="44"/>
        <v>21945.184083227232</v>
      </c>
      <c r="AC98" s="109">
        <f t="shared" si="45"/>
        <v>0.40479325362090623</v>
      </c>
      <c r="AD98" s="108">
        <f t="shared" si="46"/>
        <v>9567.1690718937334</v>
      </c>
      <c r="AE98" s="108">
        <f t="shared" si="47"/>
        <v>57137.921588237281</v>
      </c>
      <c r="AF98" s="48">
        <f t="shared" si="48"/>
        <v>0.16743992091345658</v>
      </c>
      <c r="AG98" s="110"/>
    </row>
    <row r="99" spans="5:33" x14ac:dyDescent="0.4">
      <c r="E99" s="107">
        <v>95</v>
      </c>
      <c r="F99" s="107">
        <v>8</v>
      </c>
      <c r="G99" s="141">
        <f t="shared" si="49"/>
        <v>34720435.387017094</v>
      </c>
      <c r="H99" s="141">
        <f t="shared" si="25"/>
        <v>1557087.464896587</v>
      </c>
      <c r="I99" s="141">
        <f t="shared" si="26"/>
        <v>407198.75008886936</v>
      </c>
      <c r="J99" s="141">
        <f t="shared" si="27"/>
        <v>1149888.7148077176</v>
      </c>
      <c r="K99" s="108">
        <f t="shared" si="28"/>
        <v>33570546.672209375</v>
      </c>
      <c r="L99" s="108">
        <f t="shared" si="29"/>
        <v>36378108.660263427</v>
      </c>
      <c r="M99" s="108">
        <f t="shared" si="30"/>
        <v>67227.820257660351</v>
      </c>
      <c r="N99" s="108">
        <f t="shared" si="31"/>
        <v>12500</v>
      </c>
      <c r="O99" s="108">
        <f t="shared" si="32"/>
        <v>79727.820257660351</v>
      </c>
      <c r="P99" s="108">
        <f t="shared" si="33"/>
        <v>31891.12810306414</v>
      </c>
      <c r="Q99" s="100">
        <f t="shared" si="34"/>
        <v>2.2333333333333333E-3</v>
      </c>
      <c r="R99" s="100">
        <f>20%</f>
        <v>0.2</v>
      </c>
      <c r="S99" s="108">
        <f t="shared" si="35"/>
        <v>16248.888534917663</v>
      </c>
      <c r="T99" s="108">
        <f t="shared" si="36"/>
        <v>129324.17628723648</v>
      </c>
      <c r="U99" s="108">
        <f t="shared" si="37"/>
        <v>2708.9140380996746</v>
      </c>
      <c r="V99" s="108">
        <f t="shared" si="38"/>
        <v>4682.8501979979765</v>
      </c>
      <c r="W99" s="108">
        <f t="shared" si="39"/>
        <v>136715.94052333411</v>
      </c>
      <c r="X99" s="108">
        <f t="shared" si="40"/>
        <v>31587.803619678547</v>
      </c>
      <c r="Y99" s="108">
        <f t="shared" si="41"/>
        <v>8528.706977313208</v>
      </c>
      <c r="Z99" s="108">
        <f t="shared" si="42"/>
        <v>23059.096642365337</v>
      </c>
      <c r="AA99" s="108">
        <f t="shared" si="43"/>
        <v>1636.4076992435268</v>
      </c>
      <c r="AB99" s="108">
        <f t="shared" si="44"/>
        <v>21422.688943121811</v>
      </c>
      <c r="AC99" s="109">
        <f t="shared" si="45"/>
        <v>0.40091739177101676</v>
      </c>
      <c r="AD99" s="108">
        <f t="shared" si="46"/>
        <v>9244.7928824529208</v>
      </c>
      <c r="AE99" s="108">
        <f t="shared" si="47"/>
        <v>54811.798288136568</v>
      </c>
      <c r="AF99" s="48">
        <f t="shared" si="48"/>
        <v>0.16866428709115822</v>
      </c>
      <c r="AG99" s="110"/>
    </row>
    <row r="100" spans="5:33" x14ac:dyDescent="0.4">
      <c r="E100" s="107">
        <v>96</v>
      </c>
      <c r="F100" s="107">
        <v>8</v>
      </c>
      <c r="G100" s="141">
        <f t="shared" si="49"/>
        <v>33570546.672209375</v>
      </c>
      <c r="H100" s="141">
        <f t="shared" si="25"/>
        <v>1557087.464896587</v>
      </c>
      <c r="I100" s="141">
        <f t="shared" si="26"/>
        <v>393712.9385720563</v>
      </c>
      <c r="J100" s="141">
        <f t="shared" si="27"/>
        <v>1163374.5263245306</v>
      </c>
      <c r="K100" s="108">
        <f t="shared" si="28"/>
        <v>32407172.145884845</v>
      </c>
      <c r="L100" s="108">
        <f t="shared" si="29"/>
        <v>35173320.294328146</v>
      </c>
      <c r="M100" s="108">
        <f t="shared" si="30"/>
        <v>65001.335740006187</v>
      </c>
      <c r="N100" s="108">
        <f t="shared" si="31"/>
        <v>12500</v>
      </c>
      <c r="O100" s="108">
        <f t="shared" si="32"/>
        <v>77501.33574000618</v>
      </c>
      <c r="P100" s="108">
        <f t="shared" si="33"/>
        <v>31000.534296002472</v>
      </c>
      <c r="Q100" s="100">
        <f t="shared" si="34"/>
        <v>2.2333333333333333E-3</v>
      </c>
      <c r="R100" s="100">
        <f>20%</f>
        <v>0.2</v>
      </c>
      <c r="S100" s="108">
        <f t="shared" si="35"/>
        <v>15710.749731466572</v>
      </c>
      <c r="T100" s="108">
        <f t="shared" si="36"/>
        <v>125041.15364633653</v>
      </c>
      <c r="U100" s="108">
        <f t="shared" si="37"/>
        <v>2633.2647208852677</v>
      </c>
      <c r="V100" s="108">
        <f t="shared" si="38"/>
        <v>4552.0766056604316</v>
      </c>
      <c r="W100" s="108">
        <f t="shared" si="39"/>
        <v>132226.49497288224</v>
      </c>
      <c r="X100" s="108">
        <f t="shared" si="40"/>
        <v>30790.051712537133</v>
      </c>
      <c r="Y100" s="108">
        <f t="shared" si="41"/>
        <v>8313.3139623850275</v>
      </c>
      <c r="Z100" s="108">
        <f t="shared" si="42"/>
        <v>22476.737750152104</v>
      </c>
      <c r="AA100" s="108">
        <f t="shared" si="43"/>
        <v>1582.6717322745533</v>
      </c>
      <c r="AB100" s="108">
        <f t="shared" si="44"/>
        <v>20894.066017877551</v>
      </c>
      <c r="AC100" s="109">
        <f t="shared" si="45"/>
        <v>0.39707864097706747</v>
      </c>
      <c r="AD100" s="108">
        <f t="shared" si="46"/>
        <v>8925.0324794283461</v>
      </c>
      <c r="AE100" s="108">
        <f t="shared" si="47"/>
        <v>52504.316924993123</v>
      </c>
      <c r="AF100" s="48">
        <f t="shared" si="48"/>
        <v>0.16998664113997547</v>
      </c>
      <c r="AG100" s="110"/>
    </row>
    <row r="101" spans="5:33" x14ac:dyDescent="0.4">
      <c r="E101" s="107">
        <v>97</v>
      </c>
      <c r="F101" s="107">
        <v>9</v>
      </c>
      <c r="G101" s="141">
        <f t="shared" si="49"/>
        <v>32407172.145884845</v>
      </c>
      <c r="H101" s="141">
        <f t="shared" si="25"/>
        <v>1557087.464896587</v>
      </c>
      <c r="I101" s="141">
        <f t="shared" si="26"/>
        <v>380068.96643506759</v>
      </c>
      <c r="J101" s="141">
        <f t="shared" si="27"/>
        <v>1177018.4984615194</v>
      </c>
      <c r="K101" s="108">
        <f t="shared" si="28"/>
        <v>31230153.647423327</v>
      </c>
      <c r="L101" s="108">
        <f t="shared" si="29"/>
        <v>33954402.257746108</v>
      </c>
      <c r="M101" s="108">
        <f t="shared" si="30"/>
        <v>62748.739173278474</v>
      </c>
      <c r="N101" s="108">
        <f t="shared" si="31"/>
        <v>12500</v>
      </c>
      <c r="O101" s="108">
        <f t="shared" si="32"/>
        <v>75248.739173278474</v>
      </c>
      <c r="P101" s="108">
        <f t="shared" si="33"/>
        <v>30099.495669311393</v>
      </c>
      <c r="Q101" s="100">
        <f t="shared" si="34"/>
        <v>2.2333333333333333E-3</v>
      </c>
      <c r="R101" s="100">
        <f>20%</f>
        <v>0.2</v>
      </c>
      <c r="S101" s="108">
        <f t="shared" si="35"/>
        <v>15166.299675126595</v>
      </c>
      <c r="T101" s="108">
        <f t="shared" si="36"/>
        <v>120707.9000262874</v>
      </c>
      <c r="U101" s="108">
        <f t="shared" si="37"/>
        <v>2556.7281939607465</v>
      </c>
      <c r="V101" s="108">
        <f t="shared" si="38"/>
        <v>4419.7693101088907</v>
      </c>
      <c r="W101" s="108">
        <f t="shared" si="39"/>
        <v>127684.39753035705</v>
      </c>
      <c r="X101" s="108">
        <f t="shared" si="40"/>
        <v>29982.943828840485</v>
      </c>
      <c r="Y101" s="108">
        <f t="shared" si="41"/>
        <v>8095.3948337869315</v>
      </c>
      <c r="Z101" s="108">
        <f t="shared" si="42"/>
        <v>21887.548995053556</v>
      </c>
      <c r="AA101" s="108">
        <f t="shared" si="43"/>
        <v>1528.3055537791206</v>
      </c>
      <c r="AB101" s="108">
        <f t="shared" si="44"/>
        <v>20359.243441274433</v>
      </c>
      <c r="AC101" s="109">
        <f t="shared" si="45"/>
        <v>0.39327664590377431</v>
      </c>
      <c r="AD101" s="108">
        <f t="shared" si="46"/>
        <v>8607.8618558291892</v>
      </c>
      <c r="AE101" s="108">
        <f t="shared" si="47"/>
        <v>50215.291594982984</v>
      </c>
      <c r="AF101" s="48">
        <f t="shared" si="48"/>
        <v>0.1714191351363018</v>
      </c>
      <c r="AG101" s="110"/>
    </row>
    <row r="102" spans="5:33" x14ac:dyDescent="0.4">
      <c r="E102" s="107">
        <v>98</v>
      </c>
      <c r="F102" s="107">
        <v>9</v>
      </c>
      <c r="G102" s="141">
        <f t="shared" si="49"/>
        <v>31230153.647423327</v>
      </c>
      <c r="H102" s="141">
        <f t="shared" si="25"/>
        <v>1557087.464896587</v>
      </c>
      <c r="I102" s="141">
        <f t="shared" si="26"/>
        <v>366264.97878161137</v>
      </c>
      <c r="J102" s="141">
        <f t="shared" si="27"/>
        <v>1190822.4861149755</v>
      </c>
      <c r="K102" s="108">
        <f t="shared" si="28"/>
        <v>30039331.161308352</v>
      </c>
      <c r="L102" s="108">
        <f t="shared" si="29"/>
        <v>32721188.83876393</v>
      </c>
      <c r="M102" s="108">
        <f t="shared" si="30"/>
        <v>60469.724317257962</v>
      </c>
      <c r="N102" s="108">
        <f t="shared" si="31"/>
        <v>12500</v>
      </c>
      <c r="O102" s="108">
        <f t="shared" si="32"/>
        <v>72969.724317257962</v>
      </c>
      <c r="P102" s="108">
        <f t="shared" si="33"/>
        <v>29187.889726903188</v>
      </c>
      <c r="Q102" s="100">
        <f t="shared" si="34"/>
        <v>2.2333333333333333E-3</v>
      </c>
      <c r="R102" s="100">
        <f>20%</f>
        <v>0.2</v>
      </c>
      <c r="S102" s="108">
        <f t="shared" si="35"/>
        <v>14615.464347981222</v>
      </c>
      <c r="T102" s="108">
        <f t="shared" si="36"/>
        <v>116323.82632180575</v>
      </c>
      <c r="U102" s="108">
        <f t="shared" si="37"/>
        <v>2479.294052194924</v>
      </c>
      <c r="V102" s="108">
        <f t="shared" si="38"/>
        <v>4285.9103241832026</v>
      </c>
      <c r="W102" s="108">
        <f t="shared" si="39"/>
        <v>123089.03069818388</v>
      </c>
      <c r="X102" s="108">
        <f t="shared" si="40"/>
        <v>29166.370242373552</v>
      </c>
      <c r="Y102" s="108">
        <f t="shared" si="41"/>
        <v>7874.9199654408594</v>
      </c>
      <c r="Z102" s="108">
        <f t="shared" si="42"/>
        <v>21291.450276932694</v>
      </c>
      <c r="AA102" s="108">
        <f t="shared" si="43"/>
        <v>1473.3017726821165</v>
      </c>
      <c r="AB102" s="108">
        <f t="shared" si="44"/>
        <v>19818.148504250577</v>
      </c>
      <c r="AC102" s="109">
        <f t="shared" si="45"/>
        <v>0.38951105461815838</v>
      </c>
      <c r="AD102" s="108">
        <f t="shared" si="46"/>
        <v>8293.2552517181339</v>
      </c>
      <c r="AE102" s="108">
        <f t="shared" si="47"/>
        <v>47944.538159176474</v>
      </c>
      <c r="AF102" s="48">
        <f t="shared" si="48"/>
        <v>0.17297601708424892</v>
      </c>
      <c r="AG102" s="110"/>
    </row>
    <row r="103" spans="5:33" x14ac:dyDescent="0.4">
      <c r="E103" s="107">
        <v>99</v>
      </c>
      <c r="F103" s="107">
        <v>9</v>
      </c>
      <c r="G103" s="141">
        <f t="shared" si="49"/>
        <v>30039331.161308352</v>
      </c>
      <c r="H103" s="141">
        <f t="shared" si="25"/>
        <v>1557087.464896587</v>
      </c>
      <c r="I103" s="141">
        <f t="shared" si="26"/>
        <v>352299.09896130656</v>
      </c>
      <c r="J103" s="141">
        <f t="shared" si="27"/>
        <v>1204788.3659352805</v>
      </c>
      <c r="K103" s="108">
        <f t="shared" si="28"/>
        <v>28834542.795373071</v>
      </c>
      <c r="L103" s="108">
        <f t="shared" si="29"/>
        <v>31473512.382172775</v>
      </c>
      <c r="M103" s="108">
        <f t="shared" si="30"/>
        <v>58163.981340162318</v>
      </c>
      <c r="N103" s="108">
        <f t="shared" si="31"/>
        <v>12500</v>
      </c>
      <c r="O103" s="108">
        <f t="shared" si="32"/>
        <v>70663.981340162311</v>
      </c>
      <c r="P103" s="108">
        <f t="shared" si="33"/>
        <v>28265.592536064927</v>
      </c>
      <c r="Q103" s="100">
        <f t="shared" si="34"/>
        <v>2.2333333333333333E-3</v>
      </c>
      <c r="R103" s="100">
        <f>20%</f>
        <v>0.2</v>
      </c>
      <c r="S103" s="108">
        <f t="shared" si="35"/>
        <v>14058.168864037172</v>
      </c>
      <c r="T103" s="108">
        <f t="shared" si="36"/>
        <v>111888.3365186242</v>
      </c>
      <c r="U103" s="108">
        <f t="shared" si="37"/>
        <v>2400.9517684259908</v>
      </c>
      <c r="V103" s="108">
        <f t="shared" si="38"/>
        <v>4150.4814497711068</v>
      </c>
      <c r="W103" s="108">
        <f t="shared" si="39"/>
        <v>118439.7697368213</v>
      </c>
      <c r="X103" s="108">
        <f t="shared" si="40"/>
        <v>28340.219940060211</v>
      </c>
      <c r="Y103" s="108">
        <f t="shared" si="41"/>
        <v>7651.8593838162578</v>
      </c>
      <c r="Z103" s="108">
        <f t="shared" si="42"/>
        <v>20688.360556243955</v>
      </c>
      <c r="AA103" s="108">
        <f t="shared" si="43"/>
        <v>1417.6529112264359</v>
      </c>
      <c r="AB103" s="108">
        <f t="shared" si="44"/>
        <v>19270.707645017519</v>
      </c>
      <c r="AC103" s="109">
        <f t="shared" si="45"/>
        <v>0.38578151855697035</v>
      </c>
      <c r="AD103" s="108">
        <f t="shared" si="46"/>
        <v>7981.1871518419211</v>
      </c>
      <c r="AE103" s="108">
        <f t="shared" si="47"/>
        <v>45691.874226608823</v>
      </c>
      <c r="AF103" s="48">
        <f t="shared" si="48"/>
        <v>0.17467410315145376</v>
      </c>
      <c r="AG103" s="110"/>
    </row>
    <row r="104" spans="5:33" x14ac:dyDescent="0.4">
      <c r="E104" s="107">
        <v>100</v>
      </c>
      <c r="F104" s="107">
        <v>9</v>
      </c>
      <c r="G104" s="141">
        <f t="shared" si="49"/>
        <v>28834542.795373071</v>
      </c>
      <c r="H104" s="141">
        <f t="shared" si="25"/>
        <v>1557087.464896587</v>
      </c>
      <c r="I104" s="141">
        <f t="shared" si="26"/>
        <v>338169.42831455247</v>
      </c>
      <c r="J104" s="141">
        <f t="shared" si="27"/>
        <v>1218918.0365820345</v>
      </c>
      <c r="K104" s="108">
        <f t="shared" si="28"/>
        <v>27615624.758791037</v>
      </c>
      <c r="L104" s="108">
        <f t="shared" si="29"/>
        <v>30211203.26651568</v>
      </c>
      <c r="M104" s="108">
        <f t="shared" si="30"/>
        <v>55831.196776524506</v>
      </c>
      <c r="N104" s="108">
        <f t="shared" si="31"/>
        <v>12500</v>
      </c>
      <c r="O104" s="108">
        <f t="shared" si="32"/>
        <v>68331.196776524506</v>
      </c>
      <c r="P104" s="108">
        <f t="shared" si="33"/>
        <v>27332.478710609805</v>
      </c>
      <c r="Q104" s="100">
        <f t="shared" si="34"/>
        <v>2.2333333333333333E-3</v>
      </c>
      <c r="R104" s="100">
        <f>20%</f>
        <v>0.2</v>
      </c>
      <c r="S104" s="108">
        <f t="shared" si="35"/>
        <v>13494.337459043671</v>
      </c>
      <c r="T104" s="108">
        <f t="shared" si="36"/>
        <v>107400.82761246324</v>
      </c>
      <c r="U104" s="108">
        <f t="shared" si="37"/>
        <v>2321.6906920303459</v>
      </c>
      <c r="V104" s="108">
        <f t="shared" si="38"/>
        <v>4013.4642753342036</v>
      </c>
      <c r="W104" s="108">
        <f t="shared" si="39"/>
        <v>113735.98257982779</v>
      </c>
      <c r="X104" s="108">
        <f t="shared" si="40"/>
        <v>27504.380606871026</v>
      </c>
      <c r="Y104" s="108">
        <f t="shared" si="41"/>
        <v>7426.1827638551777</v>
      </c>
      <c r="Z104" s="108">
        <f t="shared" si="42"/>
        <v>20078.197843015849</v>
      </c>
      <c r="AA104" s="108">
        <f t="shared" si="43"/>
        <v>1361.3514039563802</v>
      </c>
      <c r="AB104" s="108">
        <f t="shared" si="44"/>
        <v>18716.846439059467</v>
      </c>
      <c r="AC104" s="109">
        <f t="shared" si="45"/>
        <v>0.38208769249442504</v>
      </c>
      <c r="AD104" s="108">
        <f t="shared" si="46"/>
        <v>7671.632283284468</v>
      </c>
      <c r="AE104" s="108">
        <f t="shared" si="47"/>
        <v>43457.11913751252</v>
      </c>
      <c r="AF104" s="48">
        <f t="shared" si="48"/>
        <v>0.17653338360991938</v>
      </c>
      <c r="AG104" s="110"/>
    </row>
    <row r="105" spans="5:33" x14ac:dyDescent="0.4">
      <c r="E105" s="107">
        <v>101</v>
      </c>
      <c r="F105" s="107">
        <v>9</v>
      </c>
      <c r="G105" s="141">
        <f t="shared" si="49"/>
        <v>27615624.758791037</v>
      </c>
      <c r="H105" s="141">
        <f t="shared" si="25"/>
        <v>1557087.464896587</v>
      </c>
      <c r="I105" s="141">
        <f t="shared" si="26"/>
        <v>323874.04591440613</v>
      </c>
      <c r="J105" s="141">
        <f t="shared" si="27"/>
        <v>1233213.4189821808</v>
      </c>
      <c r="K105" s="108">
        <f t="shared" si="28"/>
        <v>26382411.339808855</v>
      </c>
      <c r="L105" s="108">
        <f t="shared" si="29"/>
        <v>28934089.881027523</v>
      </c>
      <c r="M105" s="108">
        <f t="shared" si="30"/>
        <v>53471.053484577227</v>
      </c>
      <c r="N105" s="108">
        <f t="shared" si="31"/>
        <v>12500</v>
      </c>
      <c r="O105" s="108">
        <f t="shared" si="32"/>
        <v>65971.05348457722</v>
      </c>
      <c r="P105" s="108">
        <f t="shared" si="33"/>
        <v>26388.421393830889</v>
      </c>
      <c r="Q105" s="100">
        <f t="shared" si="34"/>
        <v>2.2333333333333333E-3</v>
      </c>
      <c r="R105" s="100">
        <f>20%</f>
        <v>0.2</v>
      </c>
      <c r="S105" s="108">
        <f t="shared" si="35"/>
        <v>12923.893480192293</v>
      </c>
      <c r="T105" s="108">
        <f t="shared" si="36"/>
        <v>102860.68952705283</v>
      </c>
      <c r="U105" s="108">
        <f t="shared" si="37"/>
        <v>2241.5000474746457</v>
      </c>
      <c r="V105" s="108">
        <f t="shared" si="38"/>
        <v>3874.8401734049021</v>
      </c>
      <c r="W105" s="108">
        <f t="shared" si="39"/>
        <v>108977.02974793238</v>
      </c>
      <c r="X105" s="108">
        <f t="shared" si="40"/>
        <v>26658.738610554035</v>
      </c>
      <c r="Y105" s="108">
        <f t="shared" si="41"/>
        <v>7197.8594248495901</v>
      </c>
      <c r="Z105" s="108">
        <f t="shared" si="42"/>
        <v>19460.879185704445</v>
      </c>
      <c r="AA105" s="108">
        <f t="shared" si="43"/>
        <v>1304.3895966891341</v>
      </c>
      <c r="AB105" s="108">
        <f t="shared" si="44"/>
        <v>18156.489589015313</v>
      </c>
      <c r="AC105" s="109">
        <f t="shared" si="45"/>
        <v>0.37842923451024524</v>
      </c>
      <c r="AD105" s="108">
        <f t="shared" si="46"/>
        <v>7364.5656131424976</v>
      </c>
      <c r="AE105" s="108">
        <f t="shared" si="47"/>
        <v>41240.093946710273</v>
      </c>
      <c r="AF105" s="48">
        <f t="shared" si="48"/>
        <v>0.1785778088347437</v>
      </c>
      <c r="AG105" s="110"/>
    </row>
    <row r="106" spans="5:33" x14ac:dyDescent="0.4">
      <c r="E106" s="107">
        <v>102</v>
      </c>
      <c r="F106" s="107">
        <v>9</v>
      </c>
      <c r="G106" s="141">
        <f t="shared" si="49"/>
        <v>26382411.339808855</v>
      </c>
      <c r="H106" s="141">
        <f t="shared" si="25"/>
        <v>1557087.464896587</v>
      </c>
      <c r="I106" s="141">
        <f t="shared" si="26"/>
        <v>309411.00830543251</v>
      </c>
      <c r="J106" s="141">
        <f t="shared" si="27"/>
        <v>1247676.4565911544</v>
      </c>
      <c r="K106" s="108">
        <f t="shared" si="28"/>
        <v>25134734.8832177</v>
      </c>
      <c r="L106" s="108">
        <f t="shared" si="29"/>
        <v>27641998.602304567</v>
      </c>
      <c r="M106" s="108">
        <f t="shared" si="30"/>
        <v>51083.230603137512</v>
      </c>
      <c r="N106" s="108">
        <f t="shared" si="31"/>
        <v>12500</v>
      </c>
      <c r="O106" s="108">
        <f t="shared" si="32"/>
        <v>63583.230603137512</v>
      </c>
      <c r="P106" s="108">
        <f t="shared" si="33"/>
        <v>25433.292241255007</v>
      </c>
      <c r="Q106" s="100">
        <f t="shared" si="34"/>
        <v>2.2333333333333333E-3</v>
      </c>
      <c r="R106" s="100">
        <f>20%</f>
        <v>0.2</v>
      </c>
      <c r="S106" s="108">
        <f t="shared" si="35"/>
        <v>12346.75937569604</v>
      </c>
      <c r="T106" s="108">
        <f t="shared" si="36"/>
        <v>98267.305031192722</v>
      </c>
      <c r="U106" s="108">
        <f t="shared" si="37"/>
        <v>2160.3689328508749</v>
      </c>
      <c r="V106" s="108">
        <f t="shared" si="38"/>
        <v>3734.5902980540245</v>
      </c>
      <c r="W106" s="108">
        <f t="shared" si="39"/>
        <v>104162.26426209763</v>
      </c>
      <c r="X106" s="108">
        <f t="shared" si="40"/>
        <v>25803.178986186467</v>
      </c>
      <c r="Y106" s="108">
        <f t="shared" si="41"/>
        <v>6966.8583262703469</v>
      </c>
      <c r="Z106" s="108">
        <f t="shared" si="42"/>
        <v>18836.32065991612</v>
      </c>
      <c r="AA106" s="108">
        <f t="shared" si="43"/>
        <v>1246.759745474182</v>
      </c>
      <c r="AB106" s="108">
        <f t="shared" si="44"/>
        <v>17589.56091444194</v>
      </c>
      <c r="AC106" s="109">
        <f t="shared" si="45"/>
        <v>0.37480580595801255</v>
      </c>
      <c r="AD106" s="108">
        <f t="shared" si="46"/>
        <v>7059.962346223424</v>
      </c>
      <c r="AE106" s="108">
        <f t="shared" si="47"/>
        <v>39040.621407166989</v>
      </c>
      <c r="AF106" s="48">
        <f t="shared" si="48"/>
        <v>0.18083632103579614</v>
      </c>
      <c r="AG106" s="110"/>
    </row>
    <row r="107" spans="5:33" x14ac:dyDescent="0.4">
      <c r="E107" s="107">
        <v>103</v>
      </c>
      <c r="F107" s="107">
        <v>9</v>
      </c>
      <c r="G107" s="141">
        <f t="shared" si="49"/>
        <v>25134734.8832177</v>
      </c>
      <c r="H107" s="141">
        <f t="shared" si="25"/>
        <v>1557087.464896587</v>
      </c>
      <c r="I107" s="141">
        <f t="shared" si="26"/>
        <v>294778.34923949227</v>
      </c>
      <c r="J107" s="141">
        <f t="shared" si="27"/>
        <v>1262309.1156570946</v>
      </c>
      <c r="K107" s="108">
        <f t="shared" si="28"/>
        <v>23872425.767560605</v>
      </c>
      <c r="L107" s="108">
        <f t="shared" si="29"/>
        <v>26334753.770700369</v>
      </c>
      <c r="M107" s="108">
        <f t="shared" si="30"/>
        <v>48667.403507985662</v>
      </c>
      <c r="N107" s="108">
        <f t="shared" si="31"/>
        <v>12500</v>
      </c>
      <c r="O107" s="108">
        <f t="shared" si="32"/>
        <v>61167.403507985662</v>
      </c>
      <c r="P107" s="108">
        <f t="shared" si="33"/>
        <v>24466.961403194266</v>
      </c>
      <c r="Q107" s="100">
        <f t="shared" si="34"/>
        <v>2.2333333333333333E-3</v>
      </c>
      <c r="R107" s="100">
        <f>20%</f>
        <v>0.2</v>
      </c>
      <c r="S107" s="108">
        <f t="shared" si="35"/>
        <v>11762.856684246164</v>
      </c>
      <c r="T107" s="108">
        <f t="shared" si="36"/>
        <v>93620.049654839808</v>
      </c>
      <c r="U107" s="108">
        <f t="shared" si="37"/>
        <v>2078.2863183942277</v>
      </c>
      <c r="V107" s="108">
        <f t="shared" si="38"/>
        <v>3592.6955823286971</v>
      </c>
      <c r="W107" s="108">
        <f t="shared" si="39"/>
        <v>99291.031555562731</v>
      </c>
      <c r="X107" s="108">
        <f t="shared" si="40"/>
        <v>24937.585420545227</v>
      </c>
      <c r="Y107" s="108">
        <f t="shared" si="41"/>
        <v>6733.1480635472117</v>
      </c>
      <c r="Z107" s="108">
        <f t="shared" si="42"/>
        <v>18204.437356998016</v>
      </c>
      <c r="AA107" s="108">
        <f t="shared" si="43"/>
        <v>1188.4540155405164</v>
      </c>
      <c r="AB107" s="108">
        <f t="shared" si="44"/>
        <v>17015.983341457501</v>
      </c>
      <c r="AC107" s="109">
        <f t="shared" si="45"/>
        <v>0.37121707143381955</v>
      </c>
      <c r="AD107" s="108">
        <f t="shared" si="46"/>
        <v>6757.7979227652258</v>
      </c>
      <c r="AE107" s="108">
        <f t="shared" si="47"/>
        <v>36858.525953698962</v>
      </c>
      <c r="AF107" s="48">
        <f t="shared" si="48"/>
        <v>0.18334422627899591</v>
      </c>
      <c r="AG107" s="110"/>
    </row>
    <row r="108" spans="5:33" x14ac:dyDescent="0.4">
      <c r="E108" s="107">
        <v>104</v>
      </c>
      <c r="F108" s="107">
        <v>9</v>
      </c>
      <c r="G108" s="141">
        <f t="shared" si="49"/>
        <v>23872425.767560605</v>
      </c>
      <c r="H108" s="141">
        <f t="shared" si="25"/>
        <v>1557087.464896587</v>
      </c>
      <c r="I108" s="141">
        <f t="shared" si="26"/>
        <v>279974.07940843026</v>
      </c>
      <c r="J108" s="141">
        <f t="shared" si="27"/>
        <v>1277113.3854881567</v>
      </c>
      <c r="K108" s="108">
        <f t="shared" si="28"/>
        <v>22595312.382072449</v>
      </c>
      <c r="L108" s="108">
        <f t="shared" si="29"/>
        <v>25012177.666444901</v>
      </c>
      <c r="M108" s="108">
        <f t="shared" si="30"/>
        <v>46223.243767732703</v>
      </c>
      <c r="N108" s="108">
        <f t="shared" si="31"/>
        <v>12500</v>
      </c>
      <c r="O108" s="108">
        <f t="shared" si="32"/>
        <v>58723.243767732703</v>
      </c>
      <c r="P108" s="108">
        <f t="shared" si="33"/>
        <v>23489.297507093084</v>
      </c>
      <c r="Q108" s="100">
        <f t="shared" si="34"/>
        <v>2.2333333333333333E-3</v>
      </c>
      <c r="R108" s="100">
        <f>20%</f>
        <v>0.2</v>
      </c>
      <c r="S108" s="108">
        <f t="shared" si="35"/>
        <v>11172.106024345389</v>
      </c>
      <c r="T108" s="108">
        <f t="shared" si="36"/>
        <v>88918.291604211627</v>
      </c>
      <c r="U108" s="108">
        <f t="shared" si="37"/>
        <v>1995.2410449836186</v>
      </c>
      <c r="V108" s="108">
        <f t="shared" si="38"/>
        <v>3449.1367356602091</v>
      </c>
      <c r="W108" s="108">
        <f t="shared" si="39"/>
        <v>94362.669384855457</v>
      </c>
      <c r="X108" s="108">
        <f t="shared" si="40"/>
        <v>24061.840236294229</v>
      </c>
      <c r="Y108" s="108">
        <f t="shared" si="41"/>
        <v>6496.6968637994423</v>
      </c>
      <c r="Z108" s="108">
        <f t="shared" si="42"/>
        <v>17565.143372494786</v>
      </c>
      <c r="AA108" s="108">
        <f t="shared" si="43"/>
        <v>1129.4644802315049</v>
      </c>
      <c r="AB108" s="108">
        <f t="shared" si="44"/>
        <v>16435.67889226328</v>
      </c>
      <c r="AC108" s="109">
        <f t="shared" si="45"/>
        <v>0.36766269874522345</v>
      </c>
      <c r="AD108" s="108">
        <f t="shared" si="46"/>
        <v>6458.0480161782089</v>
      </c>
      <c r="AE108" s="108">
        <f t="shared" si="47"/>
        <v>34693.633686839232</v>
      </c>
      <c r="AF108" s="48">
        <f t="shared" si="48"/>
        <v>0.18614504535533907</v>
      </c>
      <c r="AG108" s="110"/>
    </row>
    <row r="109" spans="5:33" x14ac:dyDescent="0.4">
      <c r="E109" s="107">
        <v>105</v>
      </c>
      <c r="F109" s="107">
        <v>9</v>
      </c>
      <c r="G109" s="141">
        <f t="shared" si="49"/>
        <v>22595312.382072449</v>
      </c>
      <c r="H109" s="141">
        <f t="shared" si="25"/>
        <v>1557087.464896587</v>
      </c>
      <c r="I109" s="141">
        <f t="shared" si="26"/>
        <v>264996.18617362948</v>
      </c>
      <c r="J109" s="141">
        <f t="shared" si="27"/>
        <v>1292091.2787229575</v>
      </c>
      <c r="K109" s="108">
        <f t="shared" si="28"/>
        <v>21303221.103349492</v>
      </c>
      <c r="L109" s="108">
        <f t="shared" si="29"/>
        <v>23674090.485483531</v>
      </c>
      <c r="M109" s="108">
        <f t="shared" si="30"/>
        <v>43750.419099170103</v>
      </c>
      <c r="N109" s="108">
        <f t="shared" si="31"/>
        <v>12500</v>
      </c>
      <c r="O109" s="108">
        <f t="shared" si="32"/>
        <v>56250.419099170103</v>
      </c>
      <c r="P109" s="108">
        <f t="shared" si="33"/>
        <v>22500.167639668041</v>
      </c>
      <c r="Q109" s="100">
        <f t="shared" si="34"/>
        <v>2.2333333333333333E-3</v>
      </c>
      <c r="R109" s="100">
        <f>20%</f>
        <v>0.2</v>
      </c>
      <c r="S109" s="108">
        <f t="shared" si="35"/>
        <v>10574.427083515977</v>
      </c>
      <c r="T109" s="108">
        <f t="shared" si="36"/>
        <v>84161.391675893945</v>
      </c>
      <c r="U109" s="108">
        <f t="shared" si="37"/>
        <v>1911.221822624598</v>
      </c>
      <c r="V109" s="108">
        <f t="shared" si="38"/>
        <v>3303.8942412414549</v>
      </c>
      <c r="W109" s="108">
        <f t="shared" si="39"/>
        <v>89376.507739760011</v>
      </c>
      <c r="X109" s="108">
        <f t="shared" si="40"/>
        <v>23175.824375986085</v>
      </c>
      <c r="Y109" s="108">
        <f t="shared" si="41"/>
        <v>6257.4725815162437</v>
      </c>
      <c r="Z109" s="108">
        <f t="shared" si="42"/>
        <v>16918.35179446984</v>
      </c>
      <c r="AA109" s="108">
        <f t="shared" si="43"/>
        <v>1069.7831199272591</v>
      </c>
      <c r="AB109" s="108">
        <f t="shared" si="44"/>
        <v>15848.568674542581</v>
      </c>
      <c r="AC109" s="109">
        <f t="shared" si="45"/>
        <v>0.3641423588804969</v>
      </c>
      <c r="AD109" s="108">
        <f t="shared" si="46"/>
        <v>6160.6885308083347</v>
      </c>
      <c r="AE109" s="108">
        <f t="shared" si="47"/>
        <v>32545.7723568572</v>
      </c>
      <c r="AF109" s="48">
        <f t="shared" si="48"/>
        <v>0.18929305051537101</v>
      </c>
      <c r="AG109" s="110"/>
    </row>
    <row r="110" spans="5:33" x14ac:dyDescent="0.4">
      <c r="E110" s="107">
        <v>106</v>
      </c>
      <c r="F110" s="107">
        <v>9</v>
      </c>
      <c r="G110" s="141">
        <f t="shared" si="49"/>
        <v>21303221.103349492</v>
      </c>
      <c r="H110" s="141">
        <f t="shared" si="25"/>
        <v>1557087.464896587</v>
      </c>
      <c r="I110" s="141">
        <f t="shared" si="26"/>
        <v>249842.63329239303</v>
      </c>
      <c r="J110" s="141">
        <f t="shared" si="27"/>
        <v>1307244.8316041939</v>
      </c>
      <c r="K110" s="108">
        <f t="shared" si="28"/>
        <v>19995976.271745298</v>
      </c>
      <c r="L110" s="108">
        <f t="shared" si="29"/>
        <v>22320310.315032721</v>
      </c>
      <c r="M110" s="108">
        <f t="shared" si="30"/>
        <v>41248.593322095934</v>
      </c>
      <c r="N110" s="108">
        <f t="shared" si="31"/>
        <v>12500</v>
      </c>
      <c r="O110" s="108">
        <f t="shared" si="32"/>
        <v>53748.593322095934</v>
      </c>
      <c r="P110" s="108">
        <f t="shared" si="33"/>
        <v>21499.437328838376</v>
      </c>
      <c r="Q110" s="100">
        <f t="shared" si="34"/>
        <v>2.2333333333333333E-3</v>
      </c>
      <c r="R110" s="100">
        <f>20%</f>
        <v>0.2</v>
      </c>
      <c r="S110" s="108">
        <f t="shared" si="35"/>
        <v>9969.7386073812813</v>
      </c>
      <c r="T110" s="108">
        <f t="shared" si="36"/>
        <v>79348.703169941306</v>
      </c>
      <c r="U110" s="108">
        <f t="shared" si="37"/>
        <v>1826.2172289144785</v>
      </c>
      <c r="V110" s="108">
        <f t="shared" si="38"/>
        <v>3156.9483533736307</v>
      </c>
      <c r="W110" s="108">
        <f t="shared" si="39"/>
        <v>84331.86875222942</v>
      </c>
      <c r="X110" s="108">
        <f t="shared" si="40"/>
        <v>22279.417385876277</v>
      </c>
      <c r="Y110" s="108">
        <f t="shared" si="41"/>
        <v>6015.442694186595</v>
      </c>
      <c r="Z110" s="108">
        <f t="shared" si="42"/>
        <v>16263.974691689682</v>
      </c>
      <c r="AA110" s="108">
        <f t="shared" si="43"/>
        <v>1009.4018209543702</v>
      </c>
      <c r="AB110" s="108">
        <f t="shared" si="44"/>
        <v>15254.572870735312</v>
      </c>
      <c r="AC110" s="109">
        <f t="shared" si="45"/>
        <v>0.36065572597817219</v>
      </c>
      <c r="AD110" s="108">
        <f t="shared" si="46"/>
        <v>5865.6955997219611</v>
      </c>
      <c r="AE110" s="108">
        <f t="shared" si="47"/>
        <v>30414.771347931237</v>
      </c>
      <c r="AF110" s="48">
        <f t="shared" si="48"/>
        <v>0.19285680410419842</v>
      </c>
      <c r="AG110" s="110"/>
    </row>
    <row r="111" spans="5:33" x14ac:dyDescent="0.4">
      <c r="E111" s="107">
        <v>107</v>
      </c>
      <c r="F111" s="107">
        <v>9</v>
      </c>
      <c r="G111" s="141">
        <f t="shared" si="49"/>
        <v>19995976.271745298</v>
      </c>
      <c r="H111" s="141">
        <f t="shared" si="25"/>
        <v>1557087.464896587</v>
      </c>
      <c r="I111" s="141">
        <f t="shared" si="26"/>
        <v>234511.36064111727</v>
      </c>
      <c r="J111" s="141">
        <f t="shared" si="27"/>
        <v>1322576.1042554697</v>
      </c>
      <c r="K111" s="108">
        <f t="shared" si="28"/>
        <v>18673400.167489827</v>
      </c>
      <c r="L111" s="108">
        <f t="shared" si="29"/>
        <v>20950653.108848974</v>
      </c>
      <c r="M111" s="108">
        <f t="shared" si="30"/>
        <v>38717.426313611235</v>
      </c>
      <c r="N111" s="108">
        <f t="shared" si="31"/>
        <v>12500</v>
      </c>
      <c r="O111" s="108">
        <f t="shared" si="32"/>
        <v>51217.426313611235</v>
      </c>
      <c r="P111" s="108">
        <f t="shared" si="33"/>
        <v>20486.970525444496</v>
      </c>
      <c r="Q111" s="100">
        <f t="shared" si="34"/>
        <v>2.2333333333333333E-3</v>
      </c>
      <c r="R111" s="100">
        <f>20%</f>
        <v>0.2</v>
      </c>
      <c r="S111" s="108">
        <f t="shared" si="35"/>
        <v>9357.9583886192086</v>
      </c>
      <c r="T111" s="108">
        <f t="shared" si="36"/>
        <v>74479.571801958096</v>
      </c>
      <c r="U111" s="108">
        <f t="shared" si="37"/>
        <v>1740.2157074894631</v>
      </c>
      <c r="V111" s="108">
        <f t="shared" si="38"/>
        <v>3008.2790947818071</v>
      </c>
      <c r="W111" s="108">
        <f t="shared" si="39"/>
        <v>79228.066604229374</v>
      </c>
      <c r="X111" s="108">
        <f t="shared" si="40"/>
        <v>21372.49739954753</v>
      </c>
      <c r="Y111" s="108">
        <f t="shared" si="41"/>
        <v>5770.5742978778335</v>
      </c>
      <c r="Z111" s="108">
        <f t="shared" si="42"/>
        <v>15601.923101669698</v>
      </c>
      <c r="AA111" s="108">
        <f t="shared" si="43"/>
        <v>948.31237448285617</v>
      </c>
      <c r="AB111" s="108">
        <f t="shared" si="44"/>
        <v>14653.610727186842</v>
      </c>
      <c r="AC111" s="109">
        <f t="shared" si="45"/>
        <v>0.35720247729687832</v>
      </c>
      <c r="AD111" s="108">
        <f t="shared" si="46"/>
        <v>5573.0455825118115</v>
      </c>
      <c r="AE111" s="108">
        <f t="shared" si="47"/>
        <v>28300.461662472808</v>
      </c>
      <c r="AF111" s="48">
        <f t="shared" si="48"/>
        <v>0.19692419328628211</v>
      </c>
      <c r="AG111" s="110"/>
    </row>
    <row r="112" spans="5:33" x14ac:dyDescent="0.4">
      <c r="E112" s="107">
        <v>108</v>
      </c>
      <c r="F112" s="107">
        <v>9</v>
      </c>
      <c r="G112" s="141">
        <f t="shared" si="49"/>
        <v>18673400.167489827</v>
      </c>
      <c r="H112" s="141">
        <f t="shared" si="25"/>
        <v>1557087.464896587</v>
      </c>
      <c r="I112" s="141">
        <f t="shared" si="26"/>
        <v>219000.28393521821</v>
      </c>
      <c r="J112" s="141">
        <f t="shared" si="27"/>
        <v>1338087.1809613688</v>
      </c>
      <c r="K112" s="108">
        <f t="shared" si="28"/>
        <v>17335312.986528456</v>
      </c>
      <c r="L112" s="108">
        <f t="shared" si="29"/>
        <v>19564932.662207797</v>
      </c>
      <c r="M112" s="108">
        <f t="shared" si="30"/>
        <v>36156.573961880335</v>
      </c>
      <c r="N112" s="108">
        <f t="shared" si="31"/>
        <v>12500</v>
      </c>
      <c r="O112" s="108">
        <f t="shared" si="32"/>
        <v>48656.573961880335</v>
      </c>
      <c r="P112" s="108">
        <f t="shared" si="33"/>
        <v>19462.629584752136</v>
      </c>
      <c r="Q112" s="100">
        <f t="shared" si="34"/>
        <v>2.2333333333333333E-3</v>
      </c>
      <c r="R112" s="100">
        <f>20%</f>
        <v>0.2</v>
      </c>
      <c r="S112" s="108">
        <f t="shared" si="35"/>
        <v>8739.0032557861487</v>
      </c>
      <c r="T112" s="108">
        <f t="shared" si="36"/>
        <v>69553.335614148717</v>
      </c>
      <c r="U112" s="108">
        <f t="shared" si="37"/>
        <v>1653.2055664535569</v>
      </c>
      <c r="V112" s="108">
        <f t="shared" si="38"/>
        <v>2857.8662538990238</v>
      </c>
      <c r="W112" s="108">
        <f t="shared" si="39"/>
        <v>74064.407434501292</v>
      </c>
      <c r="X112" s="108">
        <f t="shared" si="40"/>
        <v>20454.94112134205</v>
      </c>
      <c r="Y112" s="108">
        <f t="shared" si="41"/>
        <v>5522.8341027623537</v>
      </c>
      <c r="Z112" s="108">
        <f t="shared" si="42"/>
        <v>14932.107018579696</v>
      </c>
      <c r="AA112" s="108">
        <f t="shared" si="43"/>
        <v>886.50647541017054</v>
      </c>
      <c r="AB112" s="108">
        <f t="shared" si="44"/>
        <v>14045.600543169525</v>
      </c>
      <c r="AC112" s="109">
        <f t="shared" si="45"/>
        <v>0.35378229318546622</v>
      </c>
      <c r="AD112" s="108">
        <f t="shared" si="46"/>
        <v>5282.7150631239201</v>
      </c>
      <c r="AE112" s="108">
        <f t="shared" si="47"/>
        <v>26202.675905600561</v>
      </c>
      <c r="AF112" s="48">
        <f t="shared" si="48"/>
        <v>0.2016097547500785</v>
      </c>
      <c r="AG112" s="110"/>
    </row>
    <row r="113" spans="5:33" x14ac:dyDescent="0.4">
      <c r="E113" s="107">
        <v>109</v>
      </c>
      <c r="F113" s="107">
        <v>10</v>
      </c>
      <c r="G113" s="141">
        <f t="shared" si="49"/>
        <v>17335312.986528456</v>
      </c>
      <c r="H113" s="141">
        <f t="shared" si="25"/>
        <v>1557087.464896587</v>
      </c>
      <c r="I113" s="141">
        <f t="shared" si="26"/>
        <v>203307.29444577335</v>
      </c>
      <c r="J113" s="141">
        <f t="shared" si="27"/>
        <v>1353780.1704508136</v>
      </c>
      <c r="K113" s="108">
        <f t="shared" si="28"/>
        <v>15981532.816077642</v>
      </c>
      <c r="L113" s="108">
        <f t="shared" si="29"/>
        <v>18162960.586589184</v>
      </c>
      <c r="M113" s="108">
        <f t="shared" si="30"/>
        <v>33565.688119348888</v>
      </c>
      <c r="N113" s="108">
        <f t="shared" si="31"/>
        <v>12500</v>
      </c>
      <c r="O113" s="108">
        <f t="shared" si="32"/>
        <v>46065.688119348888</v>
      </c>
      <c r="P113" s="108">
        <f t="shared" si="33"/>
        <v>18426.275247739555</v>
      </c>
      <c r="Q113" s="100">
        <f t="shared" si="34"/>
        <v>2.2333333333333333E-3</v>
      </c>
      <c r="R113" s="100">
        <f>20%</f>
        <v>0.2</v>
      </c>
      <c r="S113" s="108">
        <f t="shared" si="35"/>
        <v>8112.7890620098351</v>
      </c>
      <c r="T113" s="108">
        <f t="shared" si="36"/>
        <v>64569.324885324539</v>
      </c>
      <c r="U113" s="108">
        <f t="shared" si="37"/>
        <v>1565.1749767890565</v>
      </c>
      <c r="V113" s="108">
        <f t="shared" si="38"/>
        <v>2705.6893821185263</v>
      </c>
      <c r="W113" s="108">
        <f t="shared" si="39"/>
        <v>68840.189244232111</v>
      </c>
      <c r="X113" s="108">
        <f t="shared" si="40"/>
        <v>19526.6238095995</v>
      </c>
      <c r="Y113" s="108">
        <f t="shared" si="41"/>
        <v>5272.188428591865</v>
      </c>
      <c r="Z113" s="108">
        <f t="shared" si="42"/>
        <v>14254.435381007635</v>
      </c>
      <c r="AA113" s="108">
        <f t="shared" si="43"/>
        <v>823.9757212321274</v>
      </c>
      <c r="AB113" s="108">
        <f t="shared" si="44"/>
        <v>13430.459659775508</v>
      </c>
      <c r="AC113" s="109">
        <f t="shared" si="45"/>
        <v>0.35039485705341999</v>
      </c>
      <c r="AD113" s="108">
        <f t="shared" si="46"/>
        <v>4994.6808477053828</v>
      </c>
      <c r="AE113" s="108">
        <f t="shared" si="47"/>
        <v>24121.248269763091</v>
      </c>
      <c r="AF113" s="48">
        <f t="shared" si="48"/>
        <v>0.20706560422772177</v>
      </c>
      <c r="AG113" s="110"/>
    </row>
    <row r="114" spans="5:33" x14ac:dyDescent="0.4">
      <c r="E114" s="107">
        <v>110</v>
      </c>
      <c r="F114" s="107">
        <v>10</v>
      </c>
      <c r="G114" s="141">
        <f t="shared" si="49"/>
        <v>15981532.816077642</v>
      </c>
      <c r="H114" s="141">
        <f t="shared" si="25"/>
        <v>1557087.464896587</v>
      </c>
      <c r="I114" s="141">
        <f t="shared" si="26"/>
        <v>187430.25871284018</v>
      </c>
      <c r="J114" s="141">
        <f t="shared" si="27"/>
        <v>1369657.2061837467</v>
      </c>
      <c r="K114" s="108">
        <f t="shared" si="28"/>
        <v>14611875.609893896</v>
      </c>
      <c r="L114" s="108">
        <f t="shared" si="29"/>
        <v>16744546.284066215</v>
      </c>
      <c r="M114" s="108">
        <f t="shared" si="30"/>
        <v>30944.416555413263</v>
      </c>
      <c r="N114" s="108">
        <f t="shared" si="31"/>
        <v>12500</v>
      </c>
      <c r="O114" s="108">
        <f t="shared" si="32"/>
        <v>43444.416555413263</v>
      </c>
      <c r="P114" s="108">
        <f t="shared" si="33"/>
        <v>17377.766622165305</v>
      </c>
      <c r="Q114" s="100">
        <f t="shared" si="34"/>
        <v>2.2333333333333333E-3</v>
      </c>
      <c r="R114" s="100">
        <f>20%</f>
        <v>0.2</v>
      </c>
      <c r="S114" s="108">
        <f t="shared" si="35"/>
        <v>7479.2306735495758</v>
      </c>
      <c r="T114" s="108">
        <f t="shared" si="36"/>
        <v>59526.86203985539</v>
      </c>
      <c r="U114" s="108">
        <f t="shared" si="37"/>
        <v>1476.1119707483958</v>
      </c>
      <c r="V114" s="108">
        <f t="shared" si="38"/>
        <v>2551.7277910137823</v>
      </c>
      <c r="W114" s="108">
        <f t="shared" si="39"/>
        <v>63554.701801617572</v>
      </c>
      <c r="X114" s="108">
        <f t="shared" si="40"/>
        <v>18587.419259698381</v>
      </c>
      <c r="Y114" s="108">
        <f t="shared" si="41"/>
        <v>5018.6032001185631</v>
      </c>
      <c r="Z114" s="108">
        <f t="shared" si="42"/>
        <v>13568.816059579818</v>
      </c>
      <c r="AA114" s="108">
        <f t="shared" si="43"/>
        <v>760.71161090058047</v>
      </c>
      <c r="AB114" s="108">
        <f t="shared" si="44"/>
        <v>12808.104448679238</v>
      </c>
      <c r="AC114" s="109">
        <f t="shared" si="45"/>
        <v>0.34703985534155174</v>
      </c>
      <c r="AD114" s="108">
        <f t="shared" si="46"/>
        <v>4708.9199624727044</v>
      </c>
      <c r="AE114" s="108">
        <f t="shared" si="47"/>
        <v>22056.014519508819</v>
      </c>
      <c r="AF114" s="48">
        <f t="shared" si="48"/>
        <v>0.21349822554331407</v>
      </c>
      <c r="AG114" s="110"/>
    </row>
    <row r="115" spans="5:33" x14ac:dyDescent="0.4">
      <c r="E115" s="107">
        <v>111</v>
      </c>
      <c r="F115" s="107">
        <v>10</v>
      </c>
      <c r="G115" s="141">
        <f t="shared" si="49"/>
        <v>14611875.609893896</v>
      </c>
      <c r="H115" s="141">
        <f t="shared" si="25"/>
        <v>1557087.464896587</v>
      </c>
      <c r="I115" s="141">
        <f t="shared" si="26"/>
        <v>171367.01825541255</v>
      </c>
      <c r="J115" s="141">
        <f t="shared" si="27"/>
        <v>1385720.4466411744</v>
      </c>
      <c r="K115" s="108">
        <f t="shared" si="28"/>
        <v>13226155.163252721</v>
      </c>
      <c r="L115" s="108">
        <f t="shared" si="29"/>
        <v>15309496.921393296</v>
      </c>
      <c r="M115" s="108">
        <f t="shared" si="30"/>
        <v>28292.40290853483</v>
      </c>
      <c r="N115" s="108">
        <f t="shared" si="31"/>
        <v>12500</v>
      </c>
      <c r="O115" s="108">
        <f t="shared" si="32"/>
        <v>40792.40290853483</v>
      </c>
      <c r="P115" s="108">
        <f t="shared" si="33"/>
        <v>16316.961163413933</v>
      </c>
      <c r="Q115" s="100">
        <f t="shared" si="34"/>
        <v>2.2333333333333333E-3</v>
      </c>
      <c r="R115" s="100">
        <f>20%</f>
        <v>0.2</v>
      </c>
      <c r="S115" s="108">
        <f t="shared" si="35"/>
        <v>6838.2419582223383</v>
      </c>
      <c r="T115" s="108">
        <f t="shared" si="36"/>
        <v>54425.261555553159</v>
      </c>
      <c r="U115" s="108">
        <f t="shared" si="37"/>
        <v>1386.0044402271328</v>
      </c>
      <c r="V115" s="108">
        <f t="shared" si="38"/>
        <v>2395.9605495258934</v>
      </c>
      <c r="W115" s="108">
        <f t="shared" si="39"/>
        <v>58207.226545306185</v>
      </c>
      <c r="X115" s="108">
        <f t="shared" si="40"/>
        <v>17637.19978689856</v>
      </c>
      <c r="Y115" s="108">
        <f t="shared" si="41"/>
        <v>4762.0439424626111</v>
      </c>
      <c r="Z115" s="108">
        <f t="shared" si="42"/>
        <v>12875.155844435949</v>
      </c>
      <c r="AA115" s="108">
        <f t="shared" si="43"/>
        <v>696.70554366770591</v>
      </c>
      <c r="AB115" s="108">
        <f t="shared" si="44"/>
        <v>12178.450300768243</v>
      </c>
      <c r="AC115" s="109">
        <f t="shared" si="45"/>
        <v>0.34371697749297681</v>
      </c>
      <c r="AD115" s="108">
        <f t="shared" si="46"/>
        <v>4425.4096516005602</v>
      </c>
      <c r="AE115" s="108">
        <f t="shared" si="47"/>
        <v>20006.811976401608</v>
      </c>
      <c r="AF115" s="48">
        <f t="shared" si="48"/>
        <v>0.2211951437750507</v>
      </c>
      <c r="AG115" s="110"/>
    </row>
    <row r="116" spans="5:33" x14ac:dyDescent="0.4">
      <c r="E116" s="107">
        <v>112</v>
      </c>
      <c r="F116" s="107">
        <v>10</v>
      </c>
      <c r="G116" s="141">
        <f t="shared" si="49"/>
        <v>13226155.163252721</v>
      </c>
      <c r="H116" s="141">
        <f t="shared" si="25"/>
        <v>1557087.464896587</v>
      </c>
      <c r="I116" s="141">
        <f t="shared" si="26"/>
        <v>155115.38927797554</v>
      </c>
      <c r="J116" s="141">
        <f t="shared" si="27"/>
        <v>1401972.0756186114</v>
      </c>
      <c r="K116" s="108">
        <f t="shared" si="28"/>
        <v>11824183.087634109</v>
      </c>
      <c r="L116" s="108">
        <f t="shared" si="29"/>
        <v>13857617.4037905</v>
      </c>
      <c r="M116" s="108">
        <f t="shared" si="30"/>
        <v>25609.286637792666</v>
      </c>
      <c r="N116" s="108">
        <f t="shared" si="31"/>
        <v>12500</v>
      </c>
      <c r="O116" s="108">
        <f t="shared" si="32"/>
        <v>38109.286637792669</v>
      </c>
      <c r="P116" s="108">
        <f t="shared" si="33"/>
        <v>15243.714655117068</v>
      </c>
      <c r="Q116" s="100">
        <f t="shared" si="34"/>
        <v>2.2333333333333333E-3</v>
      </c>
      <c r="R116" s="100">
        <f>20%</f>
        <v>0.2</v>
      </c>
      <c r="S116" s="108">
        <f t="shared" si="35"/>
        <v>6189.7357736930899</v>
      </c>
      <c r="T116" s="108">
        <f t="shared" si="36"/>
        <v>49263.829870475223</v>
      </c>
      <c r="U116" s="108">
        <f t="shared" si="37"/>
        <v>1294.8401351178541</v>
      </c>
      <c r="V116" s="108">
        <f t="shared" si="38"/>
        <v>2238.3664811180179</v>
      </c>
      <c r="W116" s="108">
        <f t="shared" si="39"/>
        <v>52797.036486711098</v>
      </c>
      <c r="X116" s="108">
        <f t="shared" si="40"/>
        <v>16675.836208982513</v>
      </c>
      <c r="Y116" s="108">
        <f t="shared" si="41"/>
        <v>4502.475776425279</v>
      </c>
      <c r="Z116" s="108">
        <f t="shared" si="42"/>
        <v>12173.360432557234</v>
      </c>
      <c r="AA116" s="108">
        <f t="shared" si="43"/>
        <v>631.94881791673367</v>
      </c>
      <c r="AB116" s="108">
        <f t="shared" si="44"/>
        <v>11541.411614640501</v>
      </c>
      <c r="AC116" s="109">
        <f t="shared" si="45"/>
        <v>0.34042591592436666</v>
      </c>
      <c r="AD116" s="108">
        <f t="shared" si="46"/>
        <v>4144.1273751307408</v>
      </c>
      <c r="AE116" s="108">
        <f t="shared" si="47"/>
        <v>17973.479504080831</v>
      </c>
      <c r="AF116" s="48">
        <f t="shared" si="48"/>
        <v>0.23056900997883173</v>
      </c>
      <c r="AG116" s="110"/>
    </row>
    <row r="117" spans="5:33" x14ac:dyDescent="0.4">
      <c r="E117" s="107">
        <v>113</v>
      </c>
      <c r="F117" s="107">
        <v>10</v>
      </c>
      <c r="G117" s="141">
        <f t="shared" si="49"/>
        <v>11824183.087634109</v>
      </c>
      <c r="H117" s="141">
        <f t="shared" si="25"/>
        <v>1557087.464896587</v>
      </c>
      <c r="I117" s="141">
        <f t="shared" si="26"/>
        <v>138673.16237361869</v>
      </c>
      <c r="J117" s="141">
        <f t="shared" si="27"/>
        <v>1418414.3025229683</v>
      </c>
      <c r="K117" s="108">
        <f t="shared" si="28"/>
        <v>10405768.78511114</v>
      </c>
      <c r="L117" s="108">
        <f t="shared" si="29"/>
        <v>12388710.348420464</v>
      </c>
      <c r="M117" s="108">
        <f t="shared" si="30"/>
        <v>22894.702973868039</v>
      </c>
      <c r="N117" s="108">
        <f t="shared" si="31"/>
        <v>12500</v>
      </c>
      <c r="O117" s="108">
        <f t="shared" si="32"/>
        <v>35394.702973868043</v>
      </c>
      <c r="P117" s="108">
        <f t="shared" si="33"/>
        <v>14157.881189547217</v>
      </c>
      <c r="Q117" s="100">
        <f t="shared" si="34"/>
        <v>2.2333333333333333E-3</v>
      </c>
      <c r="R117" s="100">
        <f>20%</f>
        <v>0.2</v>
      </c>
      <c r="S117" s="108">
        <f t="shared" si="35"/>
        <v>5533.6239556278069</v>
      </c>
      <c r="T117" s="108">
        <f t="shared" si="36"/>
        <v>44041.865288634741</v>
      </c>
      <c r="U117" s="108">
        <f t="shared" si="37"/>
        <v>1202.6066616447733</v>
      </c>
      <c r="V117" s="108">
        <f t="shared" si="38"/>
        <v>2078.9241608964248</v>
      </c>
      <c r="W117" s="108">
        <f t="shared" si="39"/>
        <v>47323.396111175934</v>
      </c>
      <c r="X117" s="108">
        <f t="shared" si="40"/>
        <v>15703.197828693019</v>
      </c>
      <c r="Y117" s="108">
        <f t="shared" si="41"/>
        <v>4239.8634137471154</v>
      </c>
      <c r="Z117" s="108">
        <f t="shared" si="42"/>
        <v>11463.334414945904</v>
      </c>
      <c r="AA117" s="108">
        <f t="shared" si="43"/>
        <v>566.43262997896193</v>
      </c>
      <c r="AB117" s="108">
        <f t="shared" si="44"/>
        <v>10896.901784966942</v>
      </c>
      <c r="AC117" s="109">
        <f t="shared" si="45"/>
        <v>0.33716636599747812</v>
      </c>
      <c r="AD117" s="108">
        <f t="shared" si="46"/>
        <v>3865.0508069011375</v>
      </c>
      <c r="AE117" s="108">
        <f t="shared" si="47"/>
        <v>15955.857493464378</v>
      </c>
      <c r="AF117" s="48">
        <f t="shared" si="48"/>
        <v>0.24223397636161437</v>
      </c>
      <c r="AG117" s="110"/>
    </row>
    <row r="118" spans="5:33" x14ac:dyDescent="0.4">
      <c r="E118" s="107">
        <v>114</v>
      </c>
      <c r="F118" s="107">
        <v>10</v>
      </c>
      <c r="G118" s="141">
        <f t="shared" si="49"/>
        <v>10405768.78511114</v>
      </c>
      <c r="H118" s="141">
        <f t="shared" si="25"/>
        <v>1557087.464896587</v>
      </c>
      <c r="I118" s="141">
        <f t="shared" si="26"/>
        <v>122038.10222366735</v>
      </c>
      <c r="J118" s="141">
        <f t="shared" si="27"/>
        <v>1435049.3626729196</v>
      </c>
      <c r="K118" s="108">
        <f t="shared" si="28"/>
        <v>8970719.4224382211</v>
      </c>
      <c r="L118" s="108">
        <f t="shared" si="29"/>
        <v>10902576.057554206</v>
      </c>
      <c r="M118" s="108">
        <f t="shared" si="30"/>
        <v>20148.282869454102</v>
      </c>
      <c r="N118" s="108">
        <f t="shared" si="31"/>
        <v>12500</v>
      </c>
      <c r="O118" s="108">
        <f t="shared" si="32"/>
        <v>32648.282869454102</v>
      </c>
      <c r="P118" s="108">
        <f t="shared" si="33"/>
        <v>13059.313147781642</v>
      </c>
      <c r="Q118" s="100">
        <f t="shared" si="34"/>
        <v>2.2333333333333333E-3</v>
      </c>
      <c r="R118" s="100">
        <f>20%</f>
        <v>0.2</v>
      </c>
      <c r="S118" s="108">
        <f t="shared" si="35"/>
        <v>4869.8173057075455</v>
      </c>
      <c r="T118" s="108">
        <f t="shared" si="36"/>
        <v>38758.6578846052</v>
      </c>
      <c r="U118" s="108">
        <f t="shared" si="37"/>
        <v>1109.2914806788008</v>
      </c>
      <c r="V118" s="108">
        <f t="shared" si="38"/>
        <v>1917.6119126977824</v>
      </c>
      <c r="W118" s="108">
        <f t="shared" si="39"/>
        <v>41785.561277981782</v>
      </c>
      <c r="X118" s="108">
        <f t="shared" si="40"/>
        <v>14719.152415964914</v>
      </c>
      <c r="Y118" s="108">
        <f t="shared" si="41"/>
        <v>3974.1711523105273</v>
      </c>
      <c r="Z118" s="108">
        <f t="shared" si="42"/>
        <v>10744.981263654387</v>
      </c>
      <c r="AA118" s="108">
        <f t="shared" si="43"/>
        <v>500.14807293690137</v>
      </c>
      <c r="AB118" s="108">
        <f t="shared" si="44"/>
        <v>10244.833190717485</v>
      </c>
      <c r="AC118" s="109">
        <f t="shared" si="45"/>
        <v>0.33393802599095379</v>
      </c>
      <c r="AD118" s="108">
        <f t="shared" si="46"/>
        <v>3588.1578324945299</v>
      </c>
      <c r="AE118" s="108">
        <f t="shared" si="47"/>
        <v>13953.787848093272</v>
      </c>
      <c r="AF118" s="48">
        <f t="shared" si="48"/>
        <v>0.25714579235091617</v>
      </c>
      <c r="AG118" s="110"/>
    </row>
    <row r="119" spans="5:33" x14ac:dyDescent="0.4">
      <c r="E119" s="107">
        <v>115</v>
      </c>
      <c r="F119" s="107">
        <v>10</v>
      </c>
      <c r="G119" s="141">
        <f t="shared" si="49"/>
        <v>8970719.4224382211</v>
      </c>
      <c r="H119" s="141">
        <f t="shared" si="25"/>
        <v>1557087.464896587</v>
      </c>
      <c r="I119" s="141">
        <f t="shared" si="26"/>
        <v>105207.9472937915</v>
      </c>
      <c r="J119" s="141">
        <f t="shared" si="27"/>
        <v>1451879.5176027955</v>
      </c>
      <c r="K119" s="108">
        <f t="shared" si="28"/>
        <v>7518839.9048354253</v>
      </c>
      <c r="L119" s="108">
        <f t="shared" si="29"/>
        <v>9399012.4914222602</v>
      </c>
      <c r="M119" s="108">
        <f t="shared" si="30"/>
        <v>17369.652949083928</v>
      </c>
      <c r="N119" s="108">
        <f t="shared" si="31"/>
        <v>12500</v>
      </c>
      <c r="O119" s="108">
        <f t="shared" si="32"/>
        <v>29869.652949083928</v>
      </c>
      <c r="P119" s="108">
        <f t="shared" si="33"/>
        <v>11947.861179633572</v>
      </c>
      <c r="Q119" s="100">
        <f t="shared" si="34"/>
        <v>2.2333333333333333E-3</v>
      </c>
      <c r="R119" s="100">
        <f>20%</f>
        <v>0.2</v>
      </c>
      <c r="S119" s="108">
        <f t="shared" si="35"/>
        <v>4198.2255795019428</v>
      </c>
      <c r="T119" s="108">
        <f t="shared" si="36"/>
        <v>33413.489407006127</v>
      </c>
      <c r="U119" s="108">
        <f t="shared" si="37"/>
        <v>1014.8819060328499</v>
      </c>
      <c r="V119" s="108">
        <f t="shared" si="38"/>
        <v>1754.4078061422872</v>
      </c>
      <c r="W119" s="108">
        <f t="shared" si="39"/>
        <v>36182.779119181265</v>
      </c>
      <c r="X119" s="108">
        <f t="shared" si="40"/>
        <v>13723.566189948413</v>
      </c>
      <c r="Y119" s="108">
        <f t="shared" si="41"/>
        <v>3705.3628712860718</v>
      </c>
      <c r="Z119" s="108">
        <f t="shared" si="42"/>
        <v>10018.203318662341</v>
      </c>
      <c r="AA119" s="108">
        <f t="shared" si="43"/>
        <v>433.086135413379</v>
      </c>
      <c r="AB119" s="108">
        <f t="shared" si="44"/>
        <v>9585.1171832489617</v>
      </c>
      <c r="AC119" s="109">
        <f t="shared" si="45"/>
        <v>0.33074059707239306</v>
      </c>
      <c r="AD119" s="108">
        <f t="shared" si="46"/>
        <v>3313.4265472070124</v>
      </c>
      <c r="AE119" s="108">
        <f t="shared" si="47"/>
        <v>11967.113969616528</v>
      </c>
      <c r="AF119" s="48">
        <f t="shared" si="48"/>
        <v>0.27687766287005516</v>
      </c>
      <c r="AG119" s="110"/>
    </row>
    <row r="120" spans="5:33" x14ac:dyDescent="0.4">
      <c r="E120" s="107">
        <v>116</v>
      </c>
      <c r="F120" s="107">
        <v>10</v>
      </c>
      <c r="G120" s="141">
        <f t="shared" si="49"/>
        <v>7518839.9048354253</v>
      </c>
      <c r="H120" s="141">
        <f t="shared" si="25"/>
        <v>1557087.464896587</v>
      </c>
      <c r="I120" s="141">
        <f t="shared" si="26"/>
        <v>88180.409526550371</v>
      </c>
      <c r="J120" s="141">
        <f t="shared" si="27"/>
        <v>1468907.0553700365</v>
      </c>
      <c r="K120" s="108">
        <f t="shared" si="28"/>
        <v>6049932.8494653888</v>
      </c>
      <c r="L120" s="108">
        <f t="shared" si="29"/>
        <v>7877815.2407473773</v>
      </c>
      <c r="M120" s="108">
        <f t="shared" si="30"/>
        <v>14558.43545837017</v>
      </c>
      <c r="N120" s="108">
        <f t="shared" si="31"/>
        <v>12500</v>
      </c>
      <c r="O120" s="108">
        <f t="shared" si="32"/>
        <v>27058.435458370172</v>
      </c>
      <c r="P120" s="108">
        <f t="shared" si="33"/>
        <v>10823.374183348069</v>
      </c>
      <c r="Q120" s="100">
        <f t="shared" si="34"/>
        <v>2.2333333333333333E-3</v>
      </c>
      <c r="R120" s="100">
        <f>20%</f>
        <v>0.2</v>
      </c>
      <c r="S120" s="108">
        <f t="shared" si="35"/>
        <v>3518.7574742004954</v>
      </c>
      <c r="T120" s="108">
        <f t="shared" si="36"/>
        <v>28005.633180856923</v>
      </c>
      <c r="U120" s="108">
        <f t="shared" si="37"/>
        <v>919.36510273715032</v>
      </c>
      <c r="V120" s="108">
        <f t="shared" si="38"/>
        <v>1589.2896536522294</v>
      </c>
      <c r="W120" s="108">
        <f t="shared" si="39"/>
        <v>30514.287937246299</v>
      </c>
      <c r="X120" s="108">
        <f t="shared" si="40"/>
        <v>12716.303800821606</v>
      </c>
      <c r="Y120" s="108">
        <f t="shared" si="41"/>
        <v>3433.4020262218337</v>
      </c>
      <c r="Z120" s="108">
        <f t="shared" si="42"/>
        <v>9282.9017745997735</v>
      </c>
      <c r="AA120" s="108">
        <f t="shared" si="43"/>
        <v>365.23770034644372</v>
      </c>
      <c r="AB120" s="108">
        <f t="shared" si="44"/>
        <v>8917.6640742533291</v>
      </c>
      <c r="AC120" s="109">
        <f t="shared" si="45"/>
        <v>0.32757378327069087</v>
      </c>
      <c r="AD120" s="108">
        <f t="shared" si="46"/>
        <v>3040.8352540358578</v>
      </c>
      <c r="AE120" s="108">
        <f t="shared" si="47"/>
        <v>9995.680743414976</v>
      </c>
      <c r="AF120" s="48">
        <f t="shared" si="48"/>
        <v>0.30421492363480301</v>
      </c>
      <c r="AG120" s="110"/>
    </row>
    <row r="121" spans="5:33" x14ac:dyDescent="0.4">
      <c r="E121" s="107">
        <v>117</v>
      </c>
      <c r="F121" s="107">
        <v>10</v>
      </c>
      <c r="G121" s="141">
        <f t="shared" si="49"/>
        <v>6049932.8494653888</v>
      </c>
      <c r="H121" s="141">
        <f t="shared" si="25"/>
        <v>1557087.464896587</v>
      </c>
      <c r="I121" s="141">
        <f t="shared" si="26"/>
        <v>70953.174030331327</v>
      </c>
      <c r="J121" s="141">
        <f t="shared" si="27"/>
        <v>1486134.2908662555</v>
      </c>
      <c r="K121" s="108">
        <f t="shared" si="28"/>
        <v>4563798.558599133</v>
      </c>
      <c r="L121" s="108">
        <f t="shared" si="29"/>
        <v>6338777.4989551194</v>
      </c>
      <c r="M121" s="108">
        <f t="shared" si="30"/>
        <v>11714.248212649405</v>
      </c>
      <c r="N121" s="108">
        <f t="shared" si="31"/>
        <v>12500</v>
      </c>
      <c r="O121" s="108">
        <f t="shared" si="32"/>
        <v>24214.248212649407</v>
      </c>
      <c r="P121" s="108">
        <f t="shared" si="33"/>
        <v>9685.6992850597635</v>
      </c>
      <c r="Q121" s="100">
        <f t="shared" si="34"/>
        <v>2.2333333333333333E-3</v>
      </c>
      <c r="R121" s="100">
        <f>20%</f>
        <v>0.2</v>
      </c>
      <c r="S121" s="108">
        <f t="shared" si="35"/>
        <v>2831.3206161999533</v>
      </c>
      <c r="T121" s="108">
        <f t="shared" si="36"/>
        <v>22534.354008785449</v>
      </c>
      <c r="U121" s="108">
        <f t="shared" si="37"/>
        <v>822.72808529433678</v>
      </c>
      <c r="V121" s="108">
        <f t="shared" si="38"/>
        <v>1422.2350074355957</v>
      </c>
      <c r="W121" s="108">
        <f t="shared" si="39"/>
        <v>24779.317101515382</v>
      </c>
      <c r="X121" s="108">
        <f t="shared" si="40"/>
        <v>11697.22831138969</v>
      </c>
      <c r="Y121" s="108">
        <f t="shared" si="41"/>
        <v>3158.2516440752165</v>
      </c>
      <c r="Z121" s="108">
        <f t="shared" si="42"/>
        <v>8538.9766673144732</v>
      </c>
      <c r="AA121" s="108">
        <f t="shared" si="43"/>
        <v>296.59354374990255</v>
      </c>
      <c r="AB121" s="108">
        <f t="shared" si="44"/>
        <v>8242.3831235645703</v>
      </c>
      <c r="AC121" s="109">
        <f t="shared" si="45"/>
        <v>0.32443729144864114</v>
      </c>
      <c r="AD121" s="108">
        <f t="shared" si="46"/>
        <v>2770.3624616866523</v>
      </c>
      <c r="AE121" s="108">
        <f t="shared" si="47"/>
        <v>8039.3345243626436</v>
      </c>
      <c r="AF121" s="48">
        <f t="shared" si="48"/>
        <v>0.34460096831289477</v>
      </c>
      <c r="AG121" s="110"/>
    </row>
    <row r="122" spans="5:33" x14ac:dyDescent="0.4">
      <c r="E122" s="107">
        <v>118</v>
      </c>
      <c r="F122" s="107">
        <v>10</v>
      </c>
      <c r="G122" s="141">
        <f t="shared" si="49"/>
        <v>4563798.558599133</v>
      </c>
      <c r="H122" s="141">
        <f t="shared" si="25"/>
        <v>1557087.464896587</v>
      </c>
      <c r="I122" s="141">
        <f t="shared" si="26"/>
        <v>53523.898764640675</v>
      </c>
      <c r="J122" s="141">
        <f t="shared" si="27"/>
        <v>1503563.5661319462</v>
      </c>
      <c r="K122" s="108">
        <f t="shared" si="28"/>
        <v>3060234.9924671869</v>
      </c>
      <c r="L122" s="108">
        <f t="shared" si="29"/>
        <v>4781690.0340585327</v>
      </c>
      <c r="M122" s="108">
        <f t="shared" si="30"/>
        <v>8836.7045450241694</v>
      </c>
      <c r="N122" s="108">
        <f t="shared" si="31"/>
        <v>12500</v>
      </c>
      <c r="O122" s="108">
        <f t="shared" si="32"/>
        <v>21336.704545024171</v>
      </c>
      <c r="P122" s="108">
        <f t="shared" si="33"/>
        <v>8534.6818180096689</v>
      </c>
      <c r="Q122" s="100">
        <f t="shared" si="34"/>
        <v>2.2333333333333333E-3</v>
      </c>
      <c r="R122" s="100">
        <f>20%</f>
        <v>0.2</v>
      </c>
      <c r="S122" s="108">
        <f t="shared" si="35"/>
        <v>2135.8215485461446</v>
      </c>
      <c r="T122" s="108">
        <f t="shared" si="36"/>
        <v>16998.908071078084</v>
      </c>
      <c r="U122" s="108">
        <f t="shared" si="37"/>
        <v>724.95771591407174</v>
      </c>
      <c r="V122" s="108">
        <f t="shared" si="38"/>
        <v>1253.2211564342954</v>
      </c>
      <c r="W122" s="108">
        <f t="shared" si="39"/>
        <v>18977.08694342645</v>
      </c>
      <c r="X122" s="108">
        <f t="shared" si="40"/>
        <v>10666.201178468358</v>
      </c>
      <c r="Y122" s="108">
        <f t="shared" si="41"/>
        <v>2879.874318186457</v>
      </c>
      <c r="Z122" s="108">
        <f t="shared" si="42"/>
        <v>7786.3268602819007</v>
      </c>
      <c r="AA122" s="108">
        <f t="shared" si="43"/>
        <v>227.14433345932065</v>
      </c>
      <c r="AB122" s="108">
        <f t="shared" si="44"/>
        <v>7559.1825268225803</v>
      </c>
      <c r="AC122" s="109">
        <f t="shared" si="45"/>
        <v>0.32133083127580209</v>
      </c>
      <c r="AD122" s="108">
        <f t="shared" si="46"/>
        <v>2501.986882599489</v>
      </c>
      <c r="AE122" s="108">
        <f t="shared" si="47"/>
        <v>6097.9231227243909</v>
      </c>
      <c r="AF122" s="48">
        <f t="shared" si="48"/>
        <v>0.4103014800687857</v>
      </c>
      <c r="AG122" s="110"/>
    </row>
    <row r="123" spans="5:33" x14ac:dyDescent="0.4">
      <c r="E123" s="107">
        <v>119</v>
      </c>
      <c r="F123" s="107">
        <v>10</v>
      </c>
      <c r="G123" s="141">
        <f t="shared" si="49"/>
        <v>3060234.9924671869</v>
      </c>
      <c r="H123" s="141">
        <f t="shared" si="25"/>
        <v>1557087.464896587</v>
      </c>
      <c r="I123" s="141">
        <f t="shared" si="26"/>
        <v>35890.214221703522</v>
      </c>
      <c r="J123" s="141">
        <f t="shared" si="27"/>
        <v>1521197.2506748834</v>
      </c>
      <c r="K123" s="108">
        <f t="shared" si="28"/>
        <v>1539037.7417923035</v>
      </c>
      <c r="L123" s="108">
        <f t="shared" si="29"/>
        <v>3206341.1602130821</v>
      </c>
      <c r="M123" s="108">
        <f t="shared" si="30"/>
        <v>5925.4132537956511</v>
      </c>
      <c r="N123" s="108">
        <f t="shared" si="31"/>
        <v>12500</v>
      </c>
      <c r="O123" s="108">
        <f t="shared" si="32"/>
        <v>18425.41325379565</v>
      </c>
      <c r="P123" s="108">
        <f t="shared" si="33"/>
        <v>7370.1653015182601</v>
      </c>
      <c r="Q123" s="100">
        <f t="shared" si="34"/>
        <v>2.2333333333333333E-3</v>
      </c>
      <c r="R123" s="100">
        <f>20%</f>
        <v>0.2</v>
      </c>
      <c r="S123" s="108">
        <f t="shared" si="35"/>
        <v>1432.1657182285101</v>
      </c>
      <c r="T123" s="108">
        <f t="shared" si="36"/>
        <v>11398.542824557506</v>
      </c>
      <c r="U123" s="108">
        <f t="shared" si="37"/>
        <v>626.04070272696504</v>
      </c>
      <c r="V123" s="108">
        <f t="shared" si="38"/>
        <v>1082.2251232365941</v>
      </c>
      <c r="W123" s="108">
        <f t="shared" si="39"/>
        <v>13106.808650521065</v>
      </c>
      <c r="X123" s="108">
        <f t="shared" si="40"/>
        <v>9623.0822340488794</v>
      </c>
      <c r="Y123" s="108">
        <f t="shared" si="41"/>
        <v>2598.2322031931976</v>
      </c>
      <c r="Z123" s="108">
        <f t="shared" si="42"/>
        <v>7024.8500308556813</v>
      </c>
      <c r="AA123" s="108">
        <f t="shared" si="43"/>
        <v>156.88062786331534</v>
      </c>
      <c r="AB123" s="108">
        <f t="shared" si="44"/>
        <v>6867.9694029923658</v>
      </c>
      <c r="AC123" s="109">
        <f t="shared" si="45"/>
        <v>0.31825411520162183</v>
      </c>
      <c r="AD123" s="108">
        <f t="shared" si="46"/>
        <v>2235.6874309940608</v>
      </c>
      <c r="AE123" s="108">
        <f t="shared" si="47"/>
        <v>4171.2957901885447</v>
      </c>
      <c r="AF123" s="48">
        <f t="shared" si="48"/>
        <v>0.53596952684408083</v>
      </c>
      <c r="AG123" s="110"/>
    </row>
    <row r="124" spans="5:33" x14ac:dyDescent="0.4">
      <c r="E124" s="107">
        <v>120</v>
      </c>
      <c r="F124" s="107">
        <v>10</v>
      </c>
      <c r="G124" s="141">
        <f t="shared" si="49"/>
        <v>1539037.7417923035</v>
      </c>
      <c r="H124" s="141">
        <f t="shared" si="25"/>
        <v>1557087.464896587</v>
      </c>
      <c r="I124" s="141">
        <f t="shared" si="26"/>
        <v>18049.723104329503</v>
      </c>
      <c r="J124" s="141">
        <f t="shared" si="27"/>
        <v>1539037.7417922574</v>
      </c>
      <c r="K124" s="108">
        <f t="shared" si="28"/>
        <v>4.6100467443466187E-8</v>
      </c>
      <c r="L124" s="108">
        <f t="shared" si="29"/>
        <v>1612516.7089379879</v>
      </c>
      <c r="M124" s="108">
        <f t="shared" si="30"/>
        <v>2979.9785492798642</v>
      </c>
      <c r="N124" s="108">
        <f t="shared" si="31"/>
        <v>12500</v>
      </c>
      <c r="O124" s="108">
        <f t="shared" si="32"/>
        <v>15479.978549279864</v>
      </c>
      <c r="P124" s="108">
        <f t="shared" si="33"/>
        <v>6191.991419711946</v>
      </c>
      <c r="Q124" s="100">
        <f t="shared" si="34"/>
        <v>2.2333333333333333E-3</v>
      </c>
      <c r="R124" s="100">
        <f>20%</f>
        <v>0.2</v>
      </c>
      <c r="S124" s="108">
        <f t="shared" si="35"/>
        <v>720.2574633256346</v>
      </c>
      <c r="T124" s="108">
        <f t="shared" si="36"/>
        <v>5732.4969002745465</v>
      </c>
      <c r="U124" s="108">
        <f t="shared" si="37"/>
        <v>525.96359797754531</v>
      </c>
      <c r="V124" s="108">
        <f t="shared" si="38"/>
        <v>909.2236609533378</v>
      </c>
      <c r="W124" s="108">
        <f t="shared" si="39"/>
        <v>7167.6841592054298</v>
      </c>
      <c r="X124" s="108">
        <f t="shared" si="40"/>
        <v>8567.7296662422832</v>
      </c>
      <c r="Y124" s="108">
        <f t="shared" si="41"/>
        <v>2313.2870098854164</v>
      </c>
      <c r="Z124" s="108">
        <f t="shared" si="42"/>
        <v>6254.4426563568668</v>
      </c>
      <c r="AA124" s="108">
        <f t="shared" si="43"/>
        <v>85.792874619969652</v>
      </c>
      <c r="AB124" s="108">
        <f t="shared" si="44"/>
        <v>6168.6497817368972</v>
      </c>
      <c r="AC124" s="109">
        <f t="shared" si="45"/>
        <v>0.31520685842882107</v>
      </c>
      <c r="AD124" s="108">
        <f t="shared" si="46"/>
        <v>1971.4432209334584</v>
      </c>
      <c r="AE124" s="108">
        <f t="shared" si="47"/>
        <v>2259.3032060331693</v>
      </c>
      <c r="AF124" s="48">
        <f t="shared" si="48"/>
        <v>0.87258904235119084</v>
      </c>
      <c r="AG124" s="110"/>
    </row>
    <row r="125" spans="5:33" x14ac:dyDescent="0.4">
      <c r="E125" s="107"/>
      <c r="F125" s="107"/>
      <c r="H125" s="108"/>
      <c r="I125" s="108"/>
      <c r="J125" s="108"/>
      <c r="K125" s="108"/>
      <c r="L125" s="108"/>
      <c r="M125" s="108"/>
      <c r="N125" s="108"/>
      <c r="O125" s="108"/>
      <c r="P125" s="108"/>
      <c r="R125" s="100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9"/>
      <c r="AD125" s="108"/>
      <c r="AE125" s="108"/>
      <c r="AF125" s="48"/>
      <c r="AG125" s="110"/>
    </row>
    <row r="126" spans="5:33" x14ac:dyDescent="0.4">
      <c r="E126" s="107"/>
      <c r="F126" s="107"/>
      <c r="H126" s="108"/>
      <c r="I126" s="108"/>
      <c r="J126" s="108"/>
      <c r="K126" s="108"/>
      <c r="L126" s="108"/>
      <c r="M126" s="108"/>
      <c r="N126" s="108"/>
      <c r="O126" s="108"/>
      <c r="P126" s="108"/>
      <c r="R126" s="100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9"/>
      <c r="AD126" s="108"/>
      <c r="AE126" s="108"/>
      <c r="AF126" s="48"/>
      <c r="AG126" s="110"/>
    </row>
    <row r="127" spans="5:33" x14ac:dyDescent="0.4">
      <c r="E127" s="107"/>
      <c r="F127" s="107"/>
      <c r="H127" s="108"/>
      <c r="I127" s="108"/>
      <c r="J127" s="108"/>
      <c r="K127" s="108"/>
      <c r="L127" s="108"/>
      <c r="M127" s="108"/>
      <c r="N127" s="108"/>
      <c r="O127" s="108"/>
      <c r="P127" s="108"/>
      <c r="R127" s="100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9"/>
      <c r="AD127" s="108"/>
      <c r="AE127" s="108"/>
      <c r="AF127" s="48"/>
      <c r="AG127" s="110"/>
    </row>
    <row r="128" spans="5:33" x14ac:dyDescent="0.4">
      <c r="E128" s="107"/>
      <c r="F128" s="107"/>
      <c r="H128" s="108"/>
      <c r="I128" s="108"/>
      <c r="J128" s="108"/>
      <c r="K128" s="108"/>
      <c r="L128" s="108"/>
      <c r="M128" s="108"/>
      <c r="N128" s="108"/>
      <c r="O128" s="108"/>
      <c r="P128" s="108"/>
      <c r="R128" s="100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9"/>
      <c r="AD128" s="108"/>
      <c r="AE128" s="108"/>
      <c r="AF128" s="48"/>
      <c r="AG128" s="110"/>
    </row>
    <row r="129" spans="5:33" x14ac:dyDescent="0.4">
      <c r="E129" s="107"/>
      <c r="F129" s="107"/>
      <c r="H129" s="108"/>
      <c r="I129" s="108"/>
      <c r="J129" s="108"/>
      <c r="K129" s="108"/>
      <c r="L129" s="108"/>
      <c r="M129" s="108"/>
      <c r="N129" s="108"/>
      <c r="O129" s="108"/>
      <c r="P129" s="108"/>
      <c r="R129" s="100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9"/>
      <c r="AD129" s="108"/>
      <c r="AE129" s="108"/>
      <c r="AF129" s="48"/>
      <c r="AG129" s="110"/>
    </row>
    <row r="130" spans="5:33" x14ac:dyDescent="0.4">
      <c r="E130" s="107"/>
      <c r="F130" s="107"/>
      <c r="H130" s="108"/>
      <c r="I130" s="108"/>
      <c r="J130" s="108"/>
      <c r="K130" s="108"/>
      <c r="L130" s="108"/>
      <c r="M130" s="108"/>
      <c r="N130" s="108"/>
      <c r="O130" s="108"/>
      <c r="P130" s="108"/>
      <c r="R130" s="100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9"/>
      <c r="AD130" s="108"/>
      <c r="AE130" s="108"/>
      <c r="AF130" s="48"/>
      <c r="AG130" s="110"/>
    </row>
    <row r="131" spans="5:33" x14ac:dyDescent="0.4">
      <c r="E131" s="107"/>
      <c r="F131" s="107"/>
      <c r="H131" s="108"/>
      <c r="I131" s="108"/>
      <c r="J131" s="108"/>
      <c r="K131" s="108"/>
      <c r="L131" s="108"/>
      <c r="M131" s="108"/>
      <c r="N131" s="108"/>
      <c r="O131" s="108"/>
      <c r="P131" s="108"/>
      <c r="R131" s="100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9"/>
      <c r="AD131" s="108"/>
      <c r="AE131" s="108"/>
      <c r="AF131" s="48"/>
      <c r="AG131" s="110"/>
    </row>
    <row r="132" spans="5:33" x14ac:dyDescent="0.4">
      <c r="E132" s="107"/>
      <c r="F132" s="107"/>
      <c r="H132" s="108"/>
      <c r="I132" s="108"/>
      <c r="J132" s="108"/>
      <c r="K132" s="108"/>
      <c r="L132" s="108"/>
      <c r="M132" s="108"/>
      <c r="N132" s="108"/>
      <c r="O132" s="108"/>
      <c r="P132" s="108"/>
      <c r="R132" s="100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9"/>
      <c r="AD132" s="108"/>
      <c r="AE132" s="108"/>
      <c r="AF132" s="48"/>
      <c r="AG132" s="110"/>
    </row>
    <row r="133" spans="5:33" x14ac:dyDescent="0.4">
      <c r="E133" s="107"/>
      <c r="F133" s="107"/>
      <c r="H133" s="108"/>
      <c r="I133" s="108"/>
      <c r="J133" s="108"/>
      <c r="K133" s="108"/>
      <c r="L133" s="108"/>
      <c r="M133" s="108"/>
      <c r="N133" s="108"/>
      <c r="O133" s="108"/>
      <c r="P133" s="108"/>
      <c r="R133" s="100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9"/>
      <c r="AD133" s="108"/>
      <c r="AE133" s="108"/>
      <c r="AF133" s="48"/>
      <c r="AG133" s="110"/>
    </row>
    <row r="134" spans="5:33" x14ac:dyDescent="0.4">
      <c r="E134" s="107"/>
      <c r="F134" s="107"/>
      <c r="H134" s="108"/>
      <c r="I134" s="108"/>
      <c r="J134" s="108"/>
      <c r="K134" s="108"/>
      <c r="L134" s="108"/>
      <c r="M134" s="108"/>
      <c r="N134" s="108"/>
      <c r="O134" s="108"/>
      <c r="P134" s="108"/>
      <c r="R134" s="100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9"/>
      <c r="AD134" s="108"/>
      <c r="AE134" s="108"/>
      <c r="AF134" s="48"/>
      <c r="AG134" s="110"/>
    </row>
    <row r="135" spans="5:33" x14ac:dyDescent="0.4">
      <c r="E135" s="107"/>
      <c r="F135" s="107"/>
      <c r="H135" s="108"/>
      <c r="I135" s="108"/>
      <c r="J135" s="108"/>
      <c r="K135" s="108"/>
      <c r="L135" s="108"/>
      <c r="M135" s="108"/>
      <c r="N135" s="108"/>
      <c r="O135" s="108"/>
      <c r="P135" s="108"/>
      <c r="R135" s="100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9"/>
      <c r="AD135" s="108"/>
      <c r="AE135" s="108"/>
      <c r="AF135" s="48"/>
      <c r="AG135" s="110"/>
    </row>
    <row r="136" spans="5:33" x14ac:dyDescent="0.4">
      <c r="E136" s="107"/>
      <c r="F136" s="107"/>
      <c r="H136" s="108"/>
      <c r="I136" s="108"/>
      <c r="J136" s="108"/>
      <c r="K136" s="108"/>
      <c r="L136" s="108"/>
      <c r="M136" s="108"/>
      <c r="N136" s="108"/>
      <c r="O136" s="108"/>
      <c r="P136" s="108"/>
      <c r="R136" s="100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9"/>
      <c r="AD136" s="108"/>
      <c r="AE136" s="108"/>
      <c r="AF136" s="48"/>
      <c r="AG136" s="110"/>
    </row>
    <row r="137" spans="5:33" x14ac:dyDescent="0.4">
      <c r="E137" s="107"/>
      <c r="F137" s="107"/>
      <c r="H137" s="108"/>
      <c r="I137" s="108"/>
      <c r="J137" s="108"/>
      <c r="K137" s="108"/>
      <c r="L137" s="108"/>
      <c r="M137" s="108"/>
      <c r="N137" s="108"/>
      <c r="O137" s="108"/>
      <c r="P137" s="108"/>
      <c r="R137" s="100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9"/>
      <c r="AD137" s="108"/>
      <c r="AE137" s="108"/>
      <c r="AF137" s="48"/>
      <c r="AG137" s="110"/>
    </row>
    <row r="138" spans="5:33" x14ac:dyDescent="0.4">
      <c r="E138" s="107"/>
      <c r="F138" s="107"/>
      <c r="H138" s="108"/>
      <c r="I138" s="108"/>
      <c r="J138" s="108"/>
      <c r="K138" s="108"/>
      <c r="L138" s="108"/>
      <c r="M138" s="108"/>
      <c r="N138" s="108"/>
      <c r="O138" s="108"/>
      <c r="P138" s="108"/>
      <c r="R138" s="100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9"/>
      <c r="AD138" s="108"/>
      <c r="AE138" s="108"/>
      <c r="AF138" s="48"/>
      <c r="AG138" s="110"/>
    </row>
    <row r="139" spans="5:33" x14ac:dyDescent="0.4">
      <c r="E139" s="107"/>
      <c r="F139" s="107"/>
      <c r="H139" s="108"/>
      <c r="I139" s="108"/>
      <c r="J139" s="108"/>
      <c r="K139" s="108"/>
      <c r="L139" s="108"/>
      <c r="M139" s="108"/>
      <c r="N139" s="108"/>
      <c r="O139" s="108"/>
      <c r="P139" s="108"/>
      <c r="R139" s="100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9"/>
      <c r="AD139" s="108"/>
      <c r="AE139" s="108"/>
      <c r="AF139" s="48"/>
      <c r="AG139" s="110"/>
    </row>
    <row r="140" spans="5:33" x14ac:dyDescent="0.4">
      <c r="E140" s="107"/>
      <c r="F140" s="107"/>
      <c r="H140" s="108"/>
      <c r="I140" s="108"/>
      <c r="J140" s="108"/>
      <c r="K140" s="108"/>
      <c r="L140" s="108"/>
      <c r="M140" s="108"/>
      <c r="N140" s="108"/>
      <c r="O140" s="108"/>
      <c r="P140" s="108"/>
      <c r="R140" s="100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9"/>
      <c r="AD140" s="108"/>
      <c r="AE140" s="108"/>
      <c r="AF140" s="48"/>
      <c r="AG140" s="110"/>
    </row>
    <row r="141" spans="5:33" x14ac:dyDescent="0.4">
      <c r="E141" s="107"/>
      <c r="F141" s="107"/>
      <c r="H141" s="108"/>
      <c r="I141" s="108"/>
      <c r="J141" s="108"/>
      <c r="K141" s="108"/>
      <c r="L141" s="108"/>
      <c r="M141" s="108"/>
      <c r="N141" s="108"/>
      <c r="O141" s="108"/>
      <c r="P141" s="108"/>
      <c r="R141" s="100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9"/>
      <c r="AD141" s="108"/>
      <c r="AE141" s="108"/>
      <c r="AF141" s="48"/>
      <c r="AG141" s="110"/>
    </row>
    <row r="142" spans="5:33" x14ac:dyDescent="0.4">
      <c r="E142" s="107"/>
      <c r="F142" s="107"/>
      <c r="H142" s="108"/>
      <c r="I142" s="108"/>
      <c r="J142" s="108"/>
      <c r="K142" s="108"/>
      <c r="L142" s="108"/>
      <c r="M142" s="108"/>
      <c r="N142" s="108"/>
      <c r="O142" s="108"/>
      <c r="P142" s="108"/>
      <c r="R142" s="100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9"/>
      <c r="AD142" s="108"/>
      <c r="AE142" s="108"/>
      <c r="AF142" s="48"/>
      <c r="AG142" s="110"/>
    </row>
    <row r="143" spans="5:33" x14ac:dyDescent="0.4">
      <c r="E143" s="107"/>
      <c r="F143" s="107"/>
      <c r="H143" s="108"/>
      <c r="I143" s="108"/>
      <c r="J143" s="108"/>
      <c r="K143" s="108"/>
      <c r="L143" s="108"/>
      <c r="M143" s="108"/>
      <c r="N143" s="108"/>
      <c r="O143" s="108"/>
      <c r="P143" s="108"/>
      <c r="R143" s="100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9"/>
      <c r="AD143" s="108"/>
      <c r="AE143" s="108"/>
      <c r="AF143" s="48"/>
      <c r="AG143" s="110"/>
    </row>
    <row r="144" spans="5:33" x14ac:dyDescent="0.4">
      <c r="E144" s="107"/>
      <c r="F144" s="107"/>
      <c r="H144" s="108"/>
      <c r="I144" s="108"/>
      <c r="J144" s="108"/>
      <c r="K144" s="108"/>
      <c r="L144" s="108"/>
      <c r="M144" s="108"/>
      <c r="N144" s="108"/>
      <c r="O144" s="108"/>
      <c r="P144" s="108"/>
      <c r="R144" s="100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9"/>
      <c r="AD144" s="108"/>
      <c r="AE144" s="108"/>
      <c r="AF144" s="48"/>
      <c r="AG144" s="110"/>
    </row>
    <row r="145" spans="5:33" x14ac:dyDescent="0.4">
      <c r="E145" s="107"/>
      <c r="F145" s="107"/>
      <c r="H145" s="108"/>
      <c r="I145" s="108"/>
      <c r="J145" s="108"/>
      <c r="K145" s="108"/>
      <c r="L145" s="108"/>
      <c r="M145" s="108"/>
      <c r="N145" s="108"/>
      <c r="O145" s="108"/>
      <c r="P145" s="108"/>
      <c r="R145" s="100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9"/>
      <c r="AD145" s="108"/>
      <c r="AE145" s="108"/>
      <c r="AF145" s="48"/>
      <c r="AG145" s="110"/>
    </row>
    <row r="146" spans="5:33" x14ac:dyDescent="0.4">
      <c r="E146" s="107"/>
      <c r="F146" s="107"/>
      <c r="H146" s="108"/>
      <c r="I146" s="108"/>
      <c r="J146" s="108"/>
      <c r="K146" s="108"/>
      <c r="L146" s="108"/>
      <c r="M146" s="108"/>
      <c r="N146" s="108"/>
      <c r="O146" s="108"/>
      <c r="P146" s="108"/>
      <c r="R146" s="100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9"/>
      <c r="AD146" s="108"/>
      <c r="AE146" s="108"/>
      <c r="AF146" s="48"/>
      <c r="AG146" s="110"/>
    </row>
    <row r="147" spans="5:33" x14ac:dyDescent="0.4">
      <c r="E147" s="107"/>
      <c r="F147" s="107"/>
      <c r="H147" s="108"/>
      <c r="I147" s="108"/>
      <c r="J147" s="108"/>
      <c r="K147" s="108"/>
      <c r="L147" s="108"/>
      <c r="M147" s="108"/>
      <c r="N147" s="108"/>
      <c r="O147" s="108"/>
      <c r="P147" s="108"/>
      <c r="R147" s="100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9"/>
      <c r="AD147" s="108"/>
      <c r="AE147" s="108"/>
      <c r="AF147" s="48"/>
      <c r="AG147" s="110"/>
    </row>
    <row r="148" spans="5:33" x14ac:dyDescent="0.4">
      <c r="E148" s="107"/>
      <c r="F148" s="107"/>
      <c r="H148" s="108"/>
      <c r="I148" s="108"/>
      <c r="J148" s="108"/>
      <c r="K148" s="108"/>
      <c r="L148" s="108"/>
      <c r="M148" s="108"/>
      <c r="N148" s="108"/>
      <c r="O148" s="108"/>
      <c r="P148" s="108"/>
      <c r="R148" s="100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9"/>
      <c r="AD148" s="108"/>
      <c r="AE148" s="108"/>
      <c r="AF148" s="48"/>
      <c r="AG148" s="110"/>
    </row>
    <row r="149" spans="5:33" x14ac:dyDescent="0.4">
      <c r="E149" s="107"/>
      <c r="F149" s="107"/>
      <c r="H149" s="108"/>
      <c r="I149" s="108"/>
      <c r="J149" s="108"/>
      <c r="K149" s="108"/>
      <c r="L149" s="108"/>
      <c r="M149" s="108"/>
      <c r="N149" s="108"/>
      <c r="O149" s="108"/>
      <c r="P149" s="108"/>
      <c r="R149" s="100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9"/>
      <c r="AD149" s="108"/>
      <c r="AE149" s="108"/>
      <c r="AF149" s="48"/>
      <c r="AG149" s="110"/>
    </row>
    <row r="150" spans="5:33" x14ac:dyDescent="0.4">
      <c r="E150" s="107"/>
      <c r="F150" s="107"/>
      <c r="H150" s="108"/>
      <c r="I150" s="108"/>
      <c r="J150" s="108"/>
      <c r="K150" s="108"/>
      <c r="L150" s="108"/>
      <c r="M150" s="108"/>
      <c r="N150" s="108"/>
      <c r="O150" s="108"/>
      <c r="P150" s="108"/>
      <c r="R150" s="100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9"/>
      <c r="AD150" s="108"/>
      <c r="AE150" s="108"/>
      <c r="AF150" s="48"/>
      <c r="AG150" s="110"/>
    </row>
    <row r="151" spans="5:33" x14ac:dyDescent="0.4">
      <c r="E151" s="107"/>
      <c r="F151" s="107"/>
      <c r="H151" s="108"/>
      <c r="I151" s="108"/>
      <c r="J151" s="108"/>
      <c r="K151" s="108"/>
      <c r="L151" s="108"/>
      <c r="M151" s="108"/>
      <c r="N151" s="108"/>
      <c r="O151" s="108"/>
      <c r="P151" s="108"/>
      <c r="R151" s="100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9"/>
      <c r="AD151" s="108"/>
      <c r="AE151" s="108"/>
      <c r="AF151" s="48"/>
      <c r="AG151" s="110"/>
    </row>
    <row r="152" spans="5:33" x14ac:dyDescent="0.4">
      <c r="E152" s="107"/>
      <c r="F152" s="107"/>
      <c r="H152" s="108"/>
      <c r="I152" s="108"/>
      <c r="J152" s="108"/>
      <c r="K152" s="108"/>
      <c r="L152" s="108"/>
      <c r="M152" s="108"/>
      <c r="N152" s="108"/>
      <c r="O152" s="108"/>
      <c r="P152" s="108"/>
      <c r="R152" s="100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9"/>
      <c r="AD152" s="108"/>
      <c r="AE152" s="108"/>
      <c r="AF152" s="48"/>
      <c r="AG152" s="110"/>
    </row>
    <row r="153" spans="5:33" x14ac:dyDescent="0.4">
      <c r="E153" s="107"/>
      <c r="F153" s="107"/>
      <c r="H153" s="108"/>
      <c r="I153" s="108"/>
      <c r="J153" s="108"/>
      <c r="K153" s="108"/>
      <c r="L153" s="108"/>
      <c r="M153" s="108"/>
      <c r="N153" s="108"/>
      <c r="O153" s="108"/>
      <c r="P153" s="108"/>
      <c r="R153" s="100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9"/>
      <c r="AD153" s="108"/>
      <c r="AE153" s="108"/>
      <c r="AF153" s="48"/>
      <c r="AG153" s="110"/>
    </row>
    <row r="154" spans="5:33" x14ac:dyDescent="0.4">
      <c r="E154" s="107"/>
      <c r="F154" s="107"/>
      <c r="H154" s="108"/>
      <c r="I154" s="108"/>
      <c r="J154" s="108"/>
      <c r="K154" s="108"/>
      <c r="L154" s="108"/>
      <c r="M154" s="108"/>
      <c r="N154" s="108"/>
      <c r="O154" s="108"/>
      <c r="P154" s="108"/>
      <c r="R154" s="100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9"/>
      <c r="AD154" s="108"/>
      <c r="AE154" s="108"/>
      <c r="AF154" s="48"/>
      <c r="AG154" s="110"/>
    </row>
    <row r="155" spans="5:33" x14ac:dyDescent="0.4">
      <c r="E155" s="107"/>
      <c r="F155" s="107"/>
      <c r="H155" s="108"/>
      <c r="I155" s="108"/>
      <c r="J155" s="108"/>
      <c r="K155" s="108"/>
      <c r="L155" s="108"/>
      <c r="M155" s="108"/>
      <c r="N155" s="108"/>
      <c r="O155" s="108"/>
      <c r="P155" s="108"/>
      <c r="R155" s="100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9"/>
      <c r="AD155" s="108"/>
      <c r="AE155" s="108"/>
      <c r="AF155" s="48"/>
      <c r="AG155" s="110"/>
    </row>
    <row r="156" spans="5:33" x14ac:dyDescent="0.4">
      <c r="E156" s="107"/>
      <c r="F156" s="107"/>
      <c r="H156" s="108"/>
      <c r="I156" s="108"/>
      <c r="J156" s="108"/>
      <c r="K156" s="108"/>
      <c r="L156" s="108"/>
      <c r="M156" s="108"/>
      <c r="N156" s="108"/>
      <c r="O156" s="108"/>
      <c r="P156" s="108"/>
      <c r="R156" s="100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9"/>
      <c r="AD156" s="108"/>
      <c r="AE156" s="108"/>
      <c r="AF156" s="48"/>
      <c r="AG156" s="110"/>
    </row>
    <row r="157" spans="5:33" x14ac:dyDescent="0.4">
      <c r="E157" s="107"/>
      <c r="F157" s="107"/>
      <c r="H157" s="108"/>
      <c r="I157" s="108"/>
      <c r="J157" s="108"/>
      <c r="K157" s="108"/>
      <c r="L157" s="108"/>
      <c r="M157" s="108"/>
      <c r="N157" s="108"/>
      <c r="O157" s="108"/>
      <c r="P157" s="108"/>
      <c r="R157" s="100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9"/>
      <c r="AD157" s="108"/>
      <c r="AE157" s="108"/>
      <c r="AF157" s="48"/>
      <c r="AG157" s="110"/>
    </row>
    <row r="158" spans="5:33" x14ac:dyDescent="0.4">
      <c r="E158" s="107"/>
      <c r="F158" s="107"/>
      <c r="H158" s="108"/>
      <c r="I158" s="108"/>
      <c r="J158" s="108"/>
      <c r="K158" s="108"/>
      <c r="L158" s="108"/>
      <c r="M158" s="108"/>
      <c r="N158" s="108"/>
      <c r="O158" s="108"/>
      <c r="P158" s="108"/>
      <c r="R158" s="100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9"/>
      <c r="AD158" s="108"/>
      <c r="AE158" s="108"/>
      <c r="AF158" s="48"/>
      <c r="AG158" s="110"/>
    </row>
    <row r="159" spans="5:33" x14ac:dyDescent="0.4">
      <c r="E159" s="107"/>
      <c r="F159" s="107"/>
      <c r="H159" s="108"/>
      <c r="I159" s="108"/>
      <c r="J159" s="108"/>
      <c r="K159" s="108"/>
      <c r="L159" s="108"/>
      <c r="M159" s="108"/>
      <c r="N159" s="108"/>
      <c r="O159" s="108"/>
      <c r="P159" s="108"/>
      <c r="R159" s="100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9"/>
      <c r="AD159" s="108"/>
      <c r="AE159" s="108"/>
      <c r="AF159" s="48"/>
      <c r="AG159" s="110"/>
    </row>
    <row r="160" spans="5:33" x14ac:dyDescent="0.4">
      <c r="E160" s="107"/>
      <c r="F160" s="107"/>
      <c r="H160" s="108"/>
      <c r="I160" s="108"/>
      <c r="J160" s="108"/>
      <c r="K160" s="108"/>
      <c r="L160" s="108"/>
      <c r="M160" s="108"/>
      <c r="N160" s="108"/>
      <c r="O160" s="108"/>
      <c r="P160" s="108"/>
      <c r="R160" s="100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9"/>
      <c r="AD160" s="108"/>
      <c r="AE160" s="108"/>
      <c r="AF160" s="48"/>
      <c r="AG160" s="110"/>
    </row>
    <row r="161" spans="5:33" x14ac:dyDescent="0.4">
      <c r="E161" s="107"/>
      <c r="F161" s="107"/>
      <c r="H161" s="108"/>
      <c r="I161" s="108"/>
      <c r="J161" s="108"/>
      <c r="K161" s="108"/>
      <c r="L161" s="108"/>
      <c r="M161" s="108"/>
      <c r="N161" s="108"/>
      <c r="O161" s="108"/>
      <c r="P161" s="108"/>
      <c r="R161" s="100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9"/>
      <c r="AD161" s="108"/>
      <c r="AE161" s="108"/>
      <c r="AF161" s="48"/>
      <c r="AG161" s="110"/>
    </row>
    <row r="162" spans="5:33" x14ac:dyDescent="0.4">
      <c r="E162" s="107"/>
      <c r="F162" s="107"/>
      <c r="H162" s="108"/>
      <c r="I162" s="108"/>
      <c r="J162" s="108"/>
      <c r="K162" s="108"/>
      <c r="L162" s="108"/>
      <c r="M162" s="108"/>
      <c r="N162" s="108"/>
      <c r="O162" s="108"/>
      <c r="P162" s="108"/>
      <c r="R162" s="100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9"/>
      <c r="AD162" s="108"/>
      <c r="AE162" s="108"/>
      <c r="AF162" s="48"/>
      <c r="AG162" s="110"/>
    </row>
    <row r="163" spans="5:33" x14ac:dyDescent="0.4">
      <c r="E163" s="107"/>
      <c r="F163" s="107"/>
      <c r="H163" s="108"/>
      <c r="I163" s="108"/>
      <c r="J163" s="108"/>
      <c r="K163" s="108"/>
      <c r="L163" s="108"/>
      <c r="M163" s="108"/>
      <c r="N163" s="108"/>
      <c r="O163" s="108"/>
      <c r="P163" s="108"/>
      <c r="R163" s="100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9"/>
      <c r="AD163" s="108"/>
      <c r="AE163" s="108"/>
      <c r="AF163" s="48"/>
      <c r="AG163" s="110"/>
    </row>
    <row r="164" spans="5:33" x14ac:dyDescent="0.4">
      <c r="E164" s="107"/>
      <c r="F164" s="107"/>
      <c r="H164" s="108"/>
      <c r="I164" s="108"/>
      <c r="J164" s="108"/>
      <c r="K164" s="108"/>
      <c r="L164" s="108"/>
      <c r="M164" s="108"/>
      <c r="N164" s="108"/>
      <c r="O164" s="108"/>
      <c r="P164" s="108"/>
      <c r="R164" s="100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9"/>
      <c r="AD164" s="108"/>
      <c r="AE164" s="108"/>
      <c r="AF164" s="48"/>
      <c r="AG164" s="110"/>
    </row>
    <row r="165" spans="5:33" x14ac:dyDescent="0.4">
      <c r="E165" s="107"/>
      <c r="F165" s="107"/>
      <c r="H165" s="108"/>
      <c r="I165" s="108"/>
      <c r="J165" s="108"/>
      <c r="K165" s="108"/>
      <c r="L165" s="108"/>
      <c r="M165" s="108"/>
      <c r="N165" s="108"/>
      <c r="O165" s="108"/>
      <c r="P165" s="108"/>
      <c r="R165" s="100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9"/>
      <c r="AD165" s="108"/>
      <c r="AE165" s="108"/>
      <c r="AF165" s="48"/>
      <c r="AG165" s="110"/>
    </row>
    <row r="166" spans="5:33" x14ac:dyDescent="0.4">
      <c r="E166" s="107"/>
      <c r="F166" s="107"/>
      <c r="H166" s="108"/>
      <c r="I166" s="108"/>
      <c r="J166" s="108"/>
      <c r="K166" s="108"/>
      <c r="L166" s="108"/>
      <c r="M166" s="108"/>
      <c r="N166" s="108"/>
      <c r="O166" s="108"/>
      <c r="P166" s="108"/>
      <c r="R166" s="100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9"/>
      <c r="AD166" s="108"/>
      <c r="AE166" s="108"/>
      <c r="AF166" s="48"/>
      <c r="AG166" s="110"/>
    </row>
    <row r="167" spans="5:33" x14ac:dyDescent="0.4">
      <c r="E167" s="107"/>
      <c r="F167" s="107"/>
      <c r="H167" s="108"/>
      <c r="I167" s="108"/>
      <c r="J167" s="108"/>
      <c r="K167" s="108"/>
      <c r="L167" s="108"/>
      <c r="M167" s="108"/>
      <c r="N167" s="108"/>
      <c r="O167" s="108"/>
      <c r="P167" s="108"/>
      <c r="R167" s="100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9"/>
      <c r="AD167" s="108"/>
      <c r="AE167" s="108"/>
      <c r="AF167" s="48"/>
      <c r="AG167" s="110"/>
    </row>
    <row r="168" spans="5:33" x14ac:dyDescent="0.4">
      <c r="E168" s="107"/>
      <c r="F168" s="107"/>
      <c r="H168" s="108"/>
      <c r="I168" s="108"/>
      <c r="J168" s="108"/>
      <c r="K168" s="108"/>
      <c r="L168" s="108"/>
      <c r="M168" s="108"/>
      <c r="N168" s="108"/>
      <c r="O168" s="108"/>
      <c r="P168" s="108"/>
      <c r="R168" s="100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9"/>
      <c r="AD168" s="108"/>
      <c r="AE168" s="108"/>
      <c r="AF168" s="48"/>
      <c r="AG168" s="110"/>
    </row>
    <row r="169" spans="5:33" x14ac:dyDescent="0.4">
      <c r="E169" s="107"/>
      <c r="F169" s="107"/>
      <c r="H169" s="108"/>
      <c r="I169" s="108"/>
      <c r="J169" s="108"/>
      <c r="K169" s="108"/>
      <c r="L169" s="108"/>
      <c r="M169" s="108"/>
      <c r="N169" s="108"/>
      <c r="O169" s="108"/>
      <c r="P169" s="108"/>
      <c r="R169" s="100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9"/>
      <c r="AD169" s="108"/>
      <c r="AE169" s="108"/>
      <c r="AF169" s="48"/>
      <c r="AG169" s="110"/>
    </row>
    <row r="170" spans="5:33" x14ac:dyDescent="0.4">
      <c r="E170" s="107"/>
      <c r="F170" s="107"/>
      <c r="H170" s="108"/>
      <c r="I170" s="108"/>
      <c r="J170" s="108"/>
      <c r="K170" s="108"/>
      <c r="L170" s="108"/>
      <c r="M170" s="108"/>
      <c r="N170" s="108"/>
      <c r="O170" s="108"/>
      <c r="P170" s="108"/>
      <c r="R170" s="100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9"/>
      <c r="AD170" s="108"/>
      <c r="AE170" s="108"/>
      <c r="AF170" s="48"/>
      <c r="AG170" s="110"/>
    </row>
    <row r="171" spans="5:33" x14ac:dyDescent="0.4">
      <c r="E171" s="107"/>
      <c r="F171" s="107"/>
      <c r="H171" s="108"/>
      <c r="I171" s="108"/>
      <c r="J171" s="108"/>
      <c r="K171" s="108"/>
      <c r="L171" s="108"/>
      <c r="M171" s="108"/>
      <c r="N171" s="108"/>
      <c r="O171" s="108"/>
      <c r="P171" s="108"/>
      <c r="R171" s="100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9"/>
      <c r="AD171" s="108"/>
      <c r="AE171" s="108"/>
      <c r="AF171" s="48"/>
      <c r="AG171" s="110"/>
    </row>
    <row r="172" spans="5:33" x14ac:dyDescent="0.4">
      <c r="E172" s="107"/>
      <c r="F172" s="107"/>
      <c r="H172" s="108"/>
      <c r="I172" s="108"/>
      <c r="J172" s="108"/>
      <c r="K172" s="108"/>
      <c r="L172" s="108"/>
      <c r="M172" s="108"/>
      <c r="N172" s="108"/>
      <c r="O172" s="108"/>
      <c r="P172" s="108"/>
      <c r="R172" s="100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9"/>
      <c r="AD172" s="108"/>
      <c r="AE172" s="108"/>
      <c r="AF172" s="48"/>
      <c r="AG172" s="110"/>
    </row>
    <row r="173" spans="5:33" x14ac:dyDescent="0.4">
      <c r="E173" s="107"/>
      <c r="F173" s="107"/>
      <c r="H173" s="108"/>
      <c r="I173" s="108"/>
      <c r="J173" s="108"/>
      <c r="K173" s="108"/>
      <c r="L173" s="108"/>
      <c r="M173" s="108"/>
      <c r="N173" s="108"/>
      <c r="O173" s="108"/>
      <c r="P173" s="108"/>
      <c r="R173" s="100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9"/>
      <c r="AD173" s="108"/>
      <c r="AE173" s="108"/>
      <c r="AF173" s="48"/>
      <c r="AG173" s="110"/>
    </row>
    <row r="174" spans="5:33" x14ac:dyDescent="0.4">
      <c r="E174" s="107"/>
      <c r="F174" s="107"/>
      <c r="H174" s="108"/>
      <c r="I174" s="108"/>
      <c r="J174" s="108"/>
      <c r="K174" s="108"/>
      <c r="L174" s="108"/>
      <c r="M174" s="108"/>
      <c r="N174" s="108"/>
      <c r="O174" s="108"/>
      <c r="P174" s="108"/>
      <c r="R174" s="100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9"/>
      <c r="AD174" s="108"/>
      <c r="AE174" s="108"/>
      <c r="AF174" s="48"/>
      <c r="AG174" s="110"/>
    </row>
    <row r="175" spans="5:33" x14ac:dyDescent="0.4">
      <c r="E175" s="107"/>
      <c r="F175" s="107"/>
      <c r="H175" s="108"/>
      <c r="I175" s="108"/>
      <c r="J175" s="108"/>
      <c r="K175" s="108"/>
      <c r="L175" s="108"/>
      <c r="M175" s="108"/>
      <c r="N175" s="108"/>
      <c r="O175" s="108"/>
      <c r="P175" s="108"/>
      <c r="R175" s="100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9"/>
      <c r="AD175" s="108"/>
      <c r="AE175" s="108"/>
      <c r="AF175" s="48"/>
      <c r="AG175" s="110"/>
    </row>
    <row r="176" spans="5:33" x14ac:dyDescent="0.4">
      <c r="E176" s="107"/>
      <c r="F176" s="107"/>
      <c r="H176" s="108"/>
      <c r="I176" s="108"/>
      <c r="J176" s="108"/>
      <c r="K176" s="108"/>
      <c r="L176" s="108"/>
      <c r="M176" s="108"/>
      <c r="N176" s="108"/>
      <c r="O176" s="108"/>
      <c r="P176" s="108"/>
      <c r="R176" s="100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9"/>
      <c r="AD176" s="108"/>
      <c r="AE176" s="108"/>
      <c r="AF176" s="48"/>
      <c r="AG176" s="110"/>
    </row>
    <row r="177" spans="5:33" x14ac:dyDescent="0.4">
      <c r="E177" s="107"/>
      <c r="F177" s="107"/>
      <c r="H177" s="108"/>
      <c r="I177" s="108"/>
      <c r="J177" s="108"/>
      <c r="K177" s="108"/>
      <c r="L177" s="108"/>
      <c r="M177" s="108"/>
      <c r="N177" s="108"/>
      <c r="O177" s="108"/>
      <c r="P177" s="108"/>
      <c r="R177" s="100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9"/>
      <c r="AD177" s="108"/>
      <c r="AE177" s="108"/>
      <c r="AF177" s="48"/>
      <c r="AG177" s="110"/>
    </row>
    <row r="178" spans="5:33" x14ac:dyDescent="0.4">
      <c r="E178" s="107"/>
      <c r="F178" s="107"/>
      <c r="H178" s="108"/>
      <c r="I178" s="108"/>
      <c r="J178" s="108"/>
      <c r="K178" s="108"/>
      <c r="L178" s="108"/>
      <c r="M178" s="108"/>
      <c r="N178" s="108"/>
      <c r="O178" s="108"/>
      <c r="P178" s="108"/>
      <c r="R178" s="100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9"/>
      <c r="AD178" s="108"/>
      <c r="AE178" s="108"/>
      <c r="AF178" s="48"/>
      <c r="AG178" s="110"/>
    </row>
    <row r="179" spans="5:33" x14ac:dyDescent="0.4">
      <c r="E179" s="107"/>
      <c r="F179" s="107"/>
      <c r="H179" s="108"/>
      <c r="I179" s="108"/>
      <c r="J179" s="108"/>
      <c r="K179" s="108"/>
      <c r="L179" s="108"/>
      <c r="M179" s="108"/>
      <c r="N179" s="108"/>
      <c r="O179" s="108"/>
      <c r="P179" s="108"/>
      <c r="R179" s="100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9"/>
      <c r="AD179" s="108"/>
      <c r="AE179" s="108"/>
      <c r="AF179" s="48"/>
      <c r="AG179" s="110"/>
    </row>
    <row r="180" spans="5:33" x14ac:dyDescent="0.4">
      <c r="E180" s="107"/>
      <c r="F180" s="107"/>
      <c r="H180" s="108"/>
      <c r="I180" s="108"/>
      <c r="J180" s="108"/>
      <c r="K180" s="108"/>
      <c r="L180" s="108"/>
      <c r="M180" s="108"/>
      <c r="N180" s="108"/>
      <c r="O180" s="108"/>
      <c r="P180" s="108"/>
      <c r="R180" s="100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9"/>
      <c r="AD180" s="108"/>
      <c r="AE180" s="108"/>
      <c r="AF180" s="48"/>
      <c r="AG180" s="110"/>
    </row>
    <row r="181" spans="5:33" x14ac:dyDescent="0.4">
      <c r="E181" s="107"/>
      <c r="F181" s="107"/>
      <c r="H181" s="108"/>
      <c r="I181" s="108"/>
      <c r="J181" s="108"/>
      <c r="K181" s="108"/>
      <c r="L181" s="108"/>
      <c r="M181" s="108"/>
      <c r="N181" s="108"/>
      <c r="O181" s="108"/>
      <c r="P181" s="108"/>
      <c r="R181" s="100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9"/>
      <c r="AD181" s="108"/>
      <c r="AE181" s="108"/>
      <c r="AF181" s="48"/>
      <c r="AG181" s="110"/>
    </row>
    <row r="182" spans="5:33" x14ac:dyDescent="0.4">
      <c r="E182" s="107"/>
      <c r="F182" s="107"/>
      <c r="H182" s="108"/>
      <c r="I182" s="108"/>
      <c r="J182" s="108"/>
      <c r="K182" s="108"/>
      <c r="L182" s="108"/>
      <c r="M182" s="108"/>
      <c r="N182" s="108"/>
      <c r="O182" s="108"/>
      <c r="P182" s="108"/>
      <c r="R182" s="100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9"/>
      <c r="AD182" s="108"/>
      <c r="AE182" s="108"/>
      <c r="AF182" s="48"/>
      <c r="AG182" s="110"/>
    </row>
    <row r="183" spans="5:33" x14ac:dyDescent="0.4">
      <c r="E183" s="107"/>
      <c r="F183" s="107"/>
      <c r="H183" s="108"/>
      <c r="I183" s="108"/>
      <c r="J183" s="108"/>
      <c r="K183" s="108"/>
      <c r="L183" s="108"/>
      <c r="M183" s="108"/>
      <c r="N183" s="108"/>
      <c r="O183" s="108"/>
      <c r="P183" s="108"/>
      <c r="R183" s="100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9"/>
      <c r="AD183" s="108"/>
      <c r="AE183" s="108"/>
      <c r="AF183" s="48"/>
      <c r="AG183" s="110"/>
    </row>
    <row r="184" spans="5:33" x14ac:dyDescent="0.4">
      <c r="E184" s="107"/>
      <c r="F184" s="107"/>
      <c r="H184" s="108"/>
      <c r="I184" s="108"/>
      <c r="J184" s="108"/>
      <c r="K184" s="108"/>
      <c r="L184" s="108"/>
      <c r="M184" s="108"/>
      <c r="N184" s="108"/>
      <c r="O184" s="108"/>
      <c r="P184" s="108"/>
      <c r="R184" s="100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9"/>
      <c r="AD184" s="108"/>
      <c r="AE184" s="108"/>
      <c r="AF184" s="48"/>
      <c r="AG184" s="110"/>
    </row>
    <row r="185" spans="5:33" x14ac:dyDescent="0.4">
      <c r="E185" s="107"/>
      <c r="F185" s="107"/>
      <c r="H185" s="108"/>
      <c r="I185" s="108"/>
      <c r="J185" s="108"/>
      <c r="K185" s="108"/>
      <c r="L185" s="108"/>
      <c r="M185" s="108"/>
      <c r="N185" s="108"/>
      <c r="O185" s="108"/>
      <c r="P185" s="108"/>
      <c r="R185" s="100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9"/>
      <c r="AD185" s="108"/>
      <c r="AE185" s="108"/>
      <c r="AF185" s="48"/>
      <c r="AG185" s="110"/>
    </row>
    <row r="186" spans="5:33" x14ac:dyDescent="0.4">
      <c r="E186" s="107"/>
      <c r="F186" s="107"/>
      <c r="H186" s="108"/>
      <c r="I186" s="108"/>
      <c r="J186" s="108"/>
      <c r="K186" s="108"/>
      <c r="L186" s="108"/>
      <c r="M186" s="108"/>
      <c r="N186" s="108"/>
      <c r="O186" s="108"/>
      <c r="P186" s="108"/>
      <c r="R186" s="100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9"/>
      <c r="AD186" s="108"/>
      <c r="AE186" s="108"/>
      <c r="AF186" s="48"/>
      <c r="AG186" s="110"/>
    </row>
    <row r="187" spans="5:33" x14ac:dyDescent="0.4">
      <c r="E187" s="107"/>
      <c r="F187" s="107"/>
      <c r="H187" s="108"/>
      <c r="I187" s="108"/>
      <c r="J187" s="108"/>
      <c r="K187" s="108"/>
      <c r="L187" s="108"/>
      <c r="M187" s="108"/>
      <c r="N187" s="108"/>
      <c r="O187" s="108"/>
      <c r="P187" s="108"/>
      <c r="R187" s="100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9"/>
      <c r="AD187" s="108"/>
      <c r="AE187" s="108"/>
      <c r="AF187" s="48"/>
      <c r="AG187" s="110"/>
    </row>
    <row r="188" spans="5:33" x14ac:dyDescent="0.4">
      <c r="E188" s="107"/>
      <c r="F188" s="107"/>
      <c r="H188" s="108"/>
      <c r="I188" s="108"/>
      <c r="J188" s="108"/>
      <c r="K188" s="108"/>
      <c r="L188" s="108"/>
      <c r="M188" s="108"/>
      <c r="N188" s="108"/>
      <c r="O188" s="108"/>
      <c r="P188" s="108"/>
      <c r="R188" s="100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9"/>
      <c r="AD188" s="108"/>
      <c r="AE188" s="108"/>
      <c r="AF188" s="48"/>
      <c r="AG188" s="110"/>
    </row>
    <row r="189" spans="5:33" x14ac:dyDescent="0.4">
      <c r="E189" s="107"/>
      <c r="F189" s="107"/>
      <c r="H189" s="108"/>
      <c r="I189" s="108"/>
      <c r="J189" s="108"/>
      <c r="K189" s="108"/>
      <c r="L189" s="108"/>
      <c r="M189" s="108"/>
      <c r="N189" s="108"/>
      <c r="O189" s="108"/>
      <c r="P189" s="108"/>
      <c r="R189" s="100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9"/>
      <c r="AD189" s="108"/>
      <c r="AE189" s="108"/>
      <c r="AF189" s="48"/>
      <c r="AG189" s="110"/>
    </row>
    <row r="190" spans="5:33" x14ac:dyDescent="0.4">
      <c r="E190" s="107"/>
      <c r="F190" s="107"/>
      <c r="H190" s="108"/>
      <c r="I190" s="108"/>
      <c r="J190" s="108"/>
      <c r="K190" s="108"/>
      <c r="L190" s="108"/>
      <c r="M190" s="108"/>
      <c r="N190" s="108"/>
      <c r="O190" s="108"/>
      <c r="P190" s="108"/>
      <c r="R190" s="100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9"/>
      <c r="AD190" s="108"/>
      <c r="AE190" s="108"/>
      <c r="AF190" s="48"/>
      <c r="AG190" s="110"/>
    </row>
    <row r="191" spans="5:33" x14ac:dyDescent="0.4">
      <c r="E191" s="107"/>
      <c r="F191" s="107"/>
      <c r="H191" s="108"/>
      <c r="I191" s="108"/>
      <c r="J191" s="108"/>
      <c r="K191" s="108"/>
      <c r="L191" s="108"/>
      <c r="M191" s="108"/>
      <c r="N191" s="108"/>
      <c r="O191" s="108"/>
      <c r="P191" s="108"/>
      <c r="R191" s="100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9"/>
      <c r="AD191" s="108"/>
      <c r="AE191" s="108"/>
      <c r="AF191" s="48"/>
      <c r="AG191" s="110"/>
    </row>
    <row r="192" spans="5:33" x14ac:dyDescent="0.4">
      <c r="E192" s="107"/>
      <c r="F192" s="107"/>
      <c r="H192" s="108"/>
      <c r="I192" s="108"/>
      <c r="J192" s="108"/>
      <c r="K192" s="108"/>
      <c r="L192" s="108"/>
      <c r="M192" s="108"/>
      <c r="N192" s="108"/>
      <c r="O192" s="108"/>
      <c r="P192" s="108"/>
      <c r="R192" s="100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9"/>
      <c r="AD192" s="108"/>
      <c r="AE192" s="108"/>
      <c r="AF192" s="48"/>
      <c r="AG192" s="110"/>
    </row>
    <row r="193" spans="5:33" x14ac:dyDescent="0.4">
      <c r="E193" s="107"/>
      <c r="F193" s="107"/>
      <c r="H193" s="108"/>
      <c r="I193" s="108"/>
      <c r="J193" s="108"/>
      <c r="K193" s="108"/>
      <c r="L193" s="108"/>
      <c r="M193" s="108"/>
      <c r="N193" s="108"/>
      <c r="O193" s="108"/>
      <c r="P193" s="108"/>
      <c r="R193" s="100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9"/>
      <c r="AD193" s="108"/>
      <c r="AE193" s="108"/>
      <c r="AF193" s="48"/>
      <c r="AG193" s="110"/>
    </row>
    <row r="194" spans="5:33" x14ac:dyDescent="0.4">
      <c r="E194" s="107"/>
      <c r="F194" s="107"/>
      <c r="H194" s="108"/>
      <c r="I194" s="108"/>
      <c r="J194" s="108"/>
      <c r="K194" s="108"/>
      <c r="L194" s="108"/>
      <c r="M194" s="108"/>
      <c r="N194" s="108"/>
      <c r="O194" s="108"/>
      <c r="P194" s="108"/>
      <c r="R194" s="100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9"/>
      <c r="AD194" s="108"/>
      <c r="AE194" s="108"/>
      <c r="AF194" s="48"/>
      <c r="AG194" s="110"/>
    </row>
    <row r="195" spans="5:33" x14ac:dyDescent="0.4">
      <c r="E195" s="107"/>
      <c r="F195" s="107"/>
      <c r="H195" s="108"/>
      <c r="I195" s="108"/>
      <c r="J195" s="108"/>
      <c r="K195" s="108"/>
      <c r="L195" s="108"/>
      <c r="M195" s="108"/>
      <c r="N195" s="108"/>
      <c r="O195" s="108"/>
      <c r="P195" s="108"/>
      <c r="R195" s="100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9"/>
      <c r="AD195" s="108"/>
      <c r="AE195" s="108"/>
      <c r="AF195" s="48"/>
      <c r="AG195" s="110"/>
    </row>
    <row r="196" spans="5:33" x14ac:dyDescent="0.4">
      <c r="E196" s="107"/>
      <c r="F196" s="107"/>
      <c r="H196" s="108"/>
      <c r="I196" s="108"/>
      <c r="J196" s="108"/>
      <c r="K196" s="108"/>
      <c r="L196" s="108"/>
      <c r="M196" s="108"/>
      <c r="N196" s="108"/>
      <c r="O196" s="108"/>
      <c r="P196" s="108"/>
      <c r="R196" s="100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9"/>
      <c r="AD196" s="108"/>
      <c r="AE196" s="108"/>
      <c r="AF196" s="48"/>
      <c r="AG196" s="110"/>
    </row>
    <row r="197" spans="5:33" x14ac:dyDescent="0.4">
      <c r="E197" s="107"/>
      <c r="F197" s="107"/>
      <c r="H197" s="108"/>
      <c r="I197" s="108"/>
      <c r="J197" s="108"/>
      <c r="K197" s="108"/>
      <c r="L197" s="108"/>
      <c r="M197" s="108"/>
      <c r="N197" s="108"/>
      <c r="O197" s="108"/>
      <c r="P197" s="108"/>
      <c r="R197" s="100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9"/>
      <c r="AD197" s="108"/>
      <c r="AE197" s="108"/>
      <c r="AF197" s="48"/>
      <c r="AG197" s="110"/>
    </row>
    <row r="198" spans="5:33" x14ac:dyDescent="0.4">
      <c r="E198" s="107"/>
      <c r="F198" s="107"/>
      <c r="H198" s="108"/>
      <c r="I198" s="108"/>
      <c r="J198" s="108"/>
      <c r="K198" s="108"/>
      <c r="L198" s="108"/>
      <c r="M198" s="108"/>
      <c r="N198" s="108"/>
      <c r="O198" s="108"/>
      <c r="P198" s="108"/>
      <c r="R198" s="100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9"/>
      <c r="AD198" s="108"/>
      <c r="AE198" s="108"/>
      <c r="AF198" s="48"/>
      <c r="AG198" s="110"/>
    </row>
    <row r="199" spans="5:33" x14ac:dyDescent="0.4">
      <c r="E199" s="107"/>
      <c r="F199" s="107"/>
      <c r="H199" s="108"/>
      <c r="I199" s="108"/>
      <c r="J199" s="108"/>
      <c r="K199" s="108"/>
      <c r="L199" s="108"/>
      <c r="M199" s="108"/>
      <c r="N199" s="108"/>
      <c r="O199" s="108"/>
      <c r="P199" s="108"/>
      <c r="R199" s="100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9"/>
      <c r="AD199" s="108"/>
      <c r="AE199" s="108"/>
      <c r="AF199" s="48"/>
      <c r="AG199" s="110"/>
    </row>
    <row r="200" spans="5:33" x14ac:dyDescent="0.4">
      <c r="E200" s="107"/>
      <c r="F200" s="107"/>
      <c r="H200" s="108"/>
      <c r="I200" s="108"/>
      <c r="J200" s="108"/>
      <c r="K200" s="108"/>
      <c r="L200" s="108"/>
      <c r="M200" s="108"/>
      <c r="N200" s="108"/>
      <c r="O200" s="108"/>
      <c r="P200" s="108"/>
      <c r="R200" s="100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9"/>
      <c r="AD200" s="108"/>
      <c r="AE200" s="108"/>
      <c r="AF200" s="48"/>
      <c r="AG200" s="110"/>
    </row>
    <row r="201" spans="5:33" x14ac:dyDescent="0.4">
      <c r="E201" s="107"/>
      <c r="F201" s="107"/>
      <c r="H201" s="108"/>
      <c r="I201" s="108"/>
      <c r="J201" s="108"/>
      <c r="K201" s="108"/>
      <c r="L201" s="108"/>
      <c r="M201" s="108"/>
      <c r="N201" s="108"/>
      <c r="O201" s="108"/>
      <c r="P201" s="108"/>
      <c r="R201" s="100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9"/>
      <c r="AD201" s="108"/>
      <c r="AE201" s="108"/>
      <c r="AF201" s="48"/>
      <c r="AG201" s="110"/>
    </row>
    <row r="202" spans="5:33" x14ac:dyDescent="0.4">
      <c r="E202" s="107"/>
      <c r="F202" s="107"/>
      <c r="H202" s="108"/>
      <c r="I202" s="108"/>
      <c r="J202" s="108"/>
      <c r="K202" s="108"/>
      <c r="L202" s="108"/>
      <c r="M202" s="108"/>
      <c r="N202" s="108"/>
      <c r="O202" s="108"/>
      <c r="P202" s="108"/>
      <c r="R202" s="100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9"/>
      <c r="AD202" s="108"/>
      <c r="AE202" s="108"/>
      <c r="AF202" s="48"/>
      <c r="AG202" s="110"/>
    </row>
    <row r="203" spans="5:33" x14ac:dyDescent="0.4">
      <c r="E203" s="107"/>
      <c r="F203" s="107"/>
      <c r="H203" s="108"/>
      <c r="I203" s="108"/>
      <c r="J203" s="108"/>
      <c r="K203" s="108"/>
      <c r="L203" s="108"/>
      <c r="M203" s="108"/>
      <c r="N203" s="108"/>
      <c r="O203" s="108"/>
      <c r="P203" s="108"/>
      <c r="R203" s="100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9"/>
      <c r="AD203" s="108"/>
      <c r="AE203" s="108"/>
      <c r="AF203" s="48"/>
      <c r="AG203" s="110"/>
    </row>
    <row r="204" spans="5:33" x14ac:dyDescent="0.4">
      <c r="E204" s="107"/>
      <c r="F204" s="107"/>
      <c r="H204" s="108"/>
      <c r="I204" s="108"/>
      <c r="J204" s="108"/>
      <c r="K204" s="108"/>
      <c r="L204" s="108"/>
      <c r="M204" s="108"/>
      <c r="N204" s="108"/>
      <c r="O204" s="108"/>
      <c r="P204" s="108"/>
      <c r="R204" s="100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9"/>
      <c r="AD204" s="108"/>
      <c r="AE204" s="108"/>
      <c r="AF204" s="48"/>
      <c r="AG204" s="110"/>
    </row>
    <row r="205" spans="5:33" x14ac:dyDescent="0.4">
      <c r="E205" s="107"/>
      <c r="F205" s="107"/>
      <c r="H205" s="108"/>
      <c r="I205" s="108"/>
      <c r="J205" s="108"/>
      <c r="K205" s="108"/>
      <c r="L205" s="108"/>
      <c r="M205" s="108"/>
      <c r="N205" s="108"/>
      <c r="O205" s="108"/>
      <c r="P205" s="108"/>
      <c r="R205" s="100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9"/>
      <c r="AD205" s="108"/>
      <c r="AE205" s="108"/>
      <c r="AF205" s="48"/>
      <c r="AG205" s="110"/>
    </row>
    <row r="206" spans="5:33" x14ac:dyDescent="0.4">
      <c r="E206" s="107"/>
      <c r="F206" s="107"/>
      <c r="H206" s="108"/>
      <c r="I206" s="108"/>
      <c r="J206" s="108"/>
      <c r="K206" s="108"/>
      <c r="L206" s="108"/>
      <c r="M206" s="108"/>
      <c r="N206" s="108"/>
      <c r="O206" s="108"/>
      <c r="P206" s="108"/>
      <c r="R206" s="100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9"/>
      <c r="AD206" s="108"/>
      <c r="AE206" s="108"/>
      <c r="AF206" s="48"/>
      <c r="AG206" s="110"/>
    </row>
    <row r="207" spans="5:33" x14ac:dyDescent="0.4">
      <c r="E207" s="107"/>
      <c r="F207" s="107"/>
      <c r="H207" s="108"/>
      <c r="I207" s="108"/>
      <c r="J207" s="108"/>
      <c r="K207" s="108"/>
      <c r="L207" s="108"/>
      <c r="M207" s="108"/>
      <c r="N207" s="108"/>
      <c r="O207" s="108"/>
      <c r="P207" s="108"/>
      <c r="R207" s="100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9"/>
      <c r="AD207" s="108"/>
      <c r="AE207" s="108"/>
      <c r="AF207" s="48"/>
      <c r="AG207" s="110"/>
    </row>
    <row r="208" spans="5:33" x14ac:dyDescent="0.4">
      <c r="E208" s="107"/>
      <c r="F208" s="107"/>
      <c r="H208" s="108"/>
      <c r="I208" s="108"/>
      <c r="J208" s="108"/>
      <c r="K208" s="108"/>
      <c r="L208" s="108"/>
      <c r="M208" s="108"/>
      <c r="N208" s="108"/>
      <c r="O208" s="108"/>
      <c r="P208" s="108"/>
      <c r="R208" s="100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9"/>
      <c r="AD208" s="108"/>
      <c r="AE208" s="108"/>
      <c r="AF208" s="48"/>
      <c r="AG208" s="110"/>
    </row>
    <row r="209" spans="5:33" x14ac:dyDescent="0.4">
      <c r="E209" s="107"/>
      <c r="F209" s="107"/>
      <c r="H209" s="108"/>
      <c r="I209" s="108"/>
      <c r="J209" s="108"/>
      <c r="K209" s="108"/>
      <c r="L209" s="108"/>
      <c r="M209" s="108"/>
      <c r="N209" s="108"/>
      <c r="O209" s="108"/>
      <c r="P209" s="108"/>
      <c r="R209" s="100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9"/>
      <c r="AD209" s="108"/>
      <c r="AE209" s="108"/>
      <c r="AF209" s="48"/>
      <c r="AG209" s="110"/>
    </row>
    <row r="210" spans="5:33" x14ac:dyDescent="0.4">
      <c r="E210" s="107"/>
      <c r="F210" s="107"/>
      <c r="H210" s="108"/>
      <c r="I210" s="108"/>
      <c r="J210" s="108"/>
      <c r="K210" s="108"/>
      <c r="L210" s="108"/>
      <c r="M210" s="108"/>
      <c r="N210" s="108"/>
      <c r="O210" s="108"/>
      <c r="P210" s="108"/>
      <c r="R210" s="100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9"/>
      <c r="AD210" s="108"/>
      <c r="AE210" s="108"/>
      <c r="AF210" s="48"/>
      <c r="AG210" s="110"/>
    </row>
    <row r="211" spans="5:33" x14ac:dyDescent="0.4">
      <c r="E211" s="107"/>
      <c r="F211" s="107"/>
      <c r="H211" s="108"/>
      <c r="I211" s="108"/>
      <c r="J211" s="108"/>
      <c r="K211" s="108"/>
      <c r="L211" s="108"/>
      <c r="M211" s="108"/>
      <c r="N211" s="108"/>
      <c r="O211" s="108"/>
      <c r="P211" s="108"/>
      <c r="R211" s="100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9"/>
      <c r="AD211" s="108"/>
      <c r="AE211" s="108"/>
      <c r="AF211" s="48"/>
      <c r="AG211" s="110"/>
    </row>
    <row r="212" spans="5:33" x14ac:dyDescent="0.4">
      <c r="E212" s="107"/>
      <c r="F212" s="107"/>
      <c r="H212" s="108"/>
      <c r="I212" s="108"/>
      <c r="J212" s="108"/>
      <c r="K212" s="108"/>
      <c r="L212" s="108"/>
      <c r="M212" s="108"/>
      <c r="N212" s="108"/>
      <c r="O212" s="108"/>
      <c r="P212" s="108"/>
      <c r="R212" s="100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9"/>
      <c r="AD212" s="108"/>
      <c r="AE212" s="108"/>
      <c r="AF212" s="48"/>
      <c r="AG212" s="110"/>
    </row>
    <row r="213" spans="5:33" x14ac:dyDescent="0.4">
      <c r="E213" s="107"/>
      <c r="F213" s="107"/>
      <c r="H213" s="108"/>
      <c r="I213" s="108"/>
      <c r="J213" s="108"/>
      <c r="K213" s="108"/>
      <c r="L213" s="108"/>
      <c r="M213" s="108"/>
      <c r="N213" s="108"/>
      <c r="O213" s="108"/>
      <c r="P213" s="108"/>
      <c r="R213" s="100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9"/>
      <c r="AD213" s="108"/>
      <c r="AE213" s="108"/>
      <c r="AF213" s="48"/>
      <c r="AG213" s="110"/>
    </row>
    <row r="214" spans="5:33" x14ac:dyDescent="0.4">
      <c r="E214" s="107"/>
      <c r="F214" s="107"/>
      <c r="H214" s="108"/>
      <c r="I214" s="108"/>
      <c r="J214" s="108"/>
      <c r="K214" s="108"/>
      <c r="L214" s="108"/>
      <c r="M214" s="108"/>
      <c r="N214" s="108"/>
      <c r="O214" s="108"/>
      <c r="P214" s="108"/>
      <c r="R214" s="100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9"/>
      <c r="AD214" s="108"/>
      <c r="AE214" s="108"/>
      <c r="AF214" s="48"/>
      <c r="AG214" s="110"/>
    </row>
    <row r="215" spans="5:33" x14ac:dyDescent="0.4">
      <c r="E215" s="107"/>
      <c r="F215" s="107"/>
      <c r="H215" s="108"/>
      <c r="I215" s="108"/>
      <c r="J215" s="108"/>
      <c r="K215" s="108"/>
      <c r="L215" s="108"/>
      <c r="M215" s="108"/>
      <c r="N215" s="108"/>
      <c r="O215" s="108"/>
      <c r="P215" s="108"/>
      <c r="R215" s="100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9"/>
      <c r="AD215" s="108"/>
      <c r="AE215" s="108"/>
      <c r="AF215" s="48"/>
      <c r="AG215" s="110"/>
    </row>
    <row r="216" spans="5:33" x14ac:dyDescent="0.4">
      <c r="E216" s="107"/>
      <c r="F216" s="107"/>
      <c r="H216" s="108"/>
      <c r="I216" s="108"/>
      <c r="J216" s="108"/>
      <c r="K216" s="108"/>
      <c r="L216" s="108"/>
      <c r="M216" s="108"/>
      <c r="N216" s="108"/>
      <c r="O216" s="108"/>
      <c r="P216" s="108"/>
      <c r="R216" s="100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9"/>
      <c r="AD216" s="108"/>
      <c r="AE216" s="108"/>
      <c r="AF216" s="48"/>
      <c r="AG216" s="110"/>
    </row>
    <row r="217" spans="5:33" x14ac:dyDescent="0.4">
      <c r="E217" s="107"/>
      <c r="F217" s="107"/>
      <c r="H217" s="108"/>
      <c r="I217" s="108"/>
      <c r="J217" s="108"/>
      <c r="K217" s="108"/>
      <c r="L217" s="108"/>
      <c r="M217" s="108"/>
      <c r="N217" s="108"/>
      <c r="O217" s="108"/>
      <c r="P217" s="108"/>
      <c r="R217" s="100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9"/>
      <c r="AD217" s="108"/>
      <c r="AE217" s="108"/>
      <c r="AF217" s="48"/>
      <c r="AG217" s="110"/>
    </row>
    <row r="218" spans="5:33" x14ac:dyDescent="0.4">
      <c r="E218" s="107"/>
      <c r="F218" s="107"/>
      <c r="H218" s="108"/>
      <c r="I218" s="108"/>
      <c r="J218" s="108"/>
      <c r="K218" s="108"/>
      <c r="L218" s="108"/>
      <c r="M218" s="108"/>
      <c r="N218" s="108"/>
      <c r="O218" s="108"/>
      <c r="P218" s="108"/>
      <c r="R218" s="100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9"/>
      <c r="AD218" s="108"/>
      <c r="AE218" s="108"/>
      <c r="AF218" s="48"/>
      <c r="AG218" s="110"/>
    </row>
    <row r="219" spans="5:33" x14ac:dyDescent="0.4">
      <c r="E219" s="107"/>
      <c r="F219" s="107"/>
      <c r="H219" s="108"/>
      <c r="I219" s="108"/>
      <c r="J219" s="108"/>
      <c r="K219" s="108"/>
      <c r="L219" s="108"/>
      <c r="M219" s="108"/>
      <c r="N219" s="108"/>
      <c r="O219" s="108"/>
      <c r="P219" s="108"/>
      <c r="R219" s="100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9"/>
      <c r="AD219" s="108"/>
      <c r="AE219" s="108"/>
      <c r="AF219" s="48"/>
      <c r="AG219" s="110"/>
    </row>
    <row r="220" spans="5:33" x14ac:dyDescent="0.4">
      <c r="E220" s="107"/>
      <c r="F220" s="107"/>
      <c r="H220" s="108"/>
      <c r="I220" s="108"/>
      <c r="J220" s="108"/>
      <c r="K220" s="108"/>
      <c r="L220" s="108"/>
      <c r="M220" s="108"/>
      <c r="N220" s="108"/>
      <c r="O220" s="108"/>
      <c r="P220" s="108"/>
      <c r="R220" s="100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9"/>
      <c r="AD220" s="108"/>
      <c r="AE220" s="108"/>
      <c r="AF220" s="48"/>
      <c r="AG220" s="110"/>
    </row>
    <row r="221" spans="5:33" x14ac:dyDescent="0.4">
      <c r="E221" s="107"/>
      <c r="F221" s="107"/>
      <c r="H221" s="108"/>
      <c r="I221" s="108"/>
      <c r="J221" s="108"/>
      <c r="K221" s="108"/>
      <c r="L221" s="108"/>
      <c r="M221" s="108"/>
      <c r="N221" s="108"/>
      <c r="O221" s="108"/>
      <c r="P221" s="108"/>
      <c r="R221" s="100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9"/>
      <c r="AD221" s="108"/>
      <c r="AE221" s="108"/>
      <c r="AF221" s="48"/>
      <c r="AG221" s="110"/>
    </row>
    <row r="222" spans="5:33" x14ac:dyDescent="0.4">
      <c r="E222" s="107"/>
      <c r="F222" s="107"/>
      <c r="H222" s="108"/>
      <c r="I222" s="108"/>
      <c r="J222" s="108"/>
      <c r="K222" s="108"/>
      <c r="L222" s="108"/>
      <c r="M222" s="108"/>
      <c r="N222" s="108"/>
      <c r="O222" s="108"/>
      <c r="P222" s="108"/>
      <c r="R222" s="100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9"/>
      <c r="AD222" s="108"/>
      <c r="AE222" s="108"/>
      <c r="AF222" s="48"/>
      <c r="AG222" s="110"/>
    </row>
    <row r="223" spans="5:33" x14ac:dyDescent="0.4">
      <c r="E223" s="107"/>
      <c r="F223" s="107"/>
      <c r="H223" s="108"/>
      <c r="I223" s="108"/>
      <c r="J223" s="108"/>
      <c r="K223" s="108"/>
      <c r="L223" s="108"/>
      <c r="M223" s="108"/>
      <c r="N223" s="108"/>
      <c r="O223" s="108"/>
      <c r="P223" s="108"/>
      <c r="R223" s="100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9"/>
      <c r="AD223" s="108"/>
      <c r="AE223" s="108"/>
      <c r="AF223" s="48"/>
      <c r="AG223" s="110"/>
    </row>
    <row r="224" spans="5:33" x14ac:dyDescent="0.4">
      <c r="E224" s="107"/>
      <c r="F224" s="107"/>
      <c r="H224" s="108"/>
      <c r="I224" s="108"/>
      <c r="J224" s="108"/>
      <c r="K224" s="108"/>
      <c r="L224" s="108"/>
      <c r="M224" s="108"/>
      <c r="N224" s="108"/>
      <c r="O224" s="108"/>
      <c r="P224" s="108"/>
      <c r="R224" s="100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9"/>
      <c r="AD224" s="108"/>
      <c r="AE224" s="108"/>
      <c r="AF224" s="48"/>
      <c r="AG224" s="110"/>
    </row>
    <row r="225" spans="5:33" x14ac:dyDescent="0.4">
      <c r="E225" s="107"/>
      <c r="F225" s="107"/>
      <c r="H225" s="108"/>
      <c r="I225" s="108"/>
      <c r="J225" s="108"/>
      <c r="K225" s="108"/>
      <c r="L225" s="108"/>
      <c r="M225" s="108"/>
      <c r="N225" s="108"/>
      <c r="O225" s="108"/>
      <c r="P225" s="108"/>
      <c r="R225" s="100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9"/>
      <c r="AD225" s="108"/>
      <c r="AE225" s="108"/>
      <c r="AF225" s="48"/>
      <c r="AG225" s="110"/>
    </row>
    <row r="226" spans="5:33" x14ac:dyDescent="0.4">
      <c r="E226" s="107"/>
      <c r="F226" s="107"/>
      <c r="H226" s="108"/>
      <c r="I226" s="108"/>
      <c r="J226" s="108"/>
      <c r="K226" s="108"/>
      <c r="L226" s="108"/>
      <c r="M226" s="108"/>
      <c r="N226" s="108"/>
      <c r="O226" s="108"/>
      <c r="P226" s="108"/>
      <c r="R226" s="100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9"/>
      <c r="AD226" s="108"/>
      <c r="AE226" s="108"/>
      <c r="AF226" s="48"/>
      <c r="AG226" s="110"/>
    </row>
    <row r="227" spans="5:33" x14ac:dyDescent="0.4">
      <c r="E227" s="107"/>
      <c r="F227" s="107"/>
      <c r="H227" s="108"/>
      <c r="I227" s="108"/>
      <c r="J227" s="108"/>
      <c r="K227" s="108"/>
      <c r="L227" s="108"/>
      <c r="M227" s="108"/>
      <c r="N227" s="108"/>
      <c r="O227" s="108"/>
      <c r="P227" s="108"/>
      <c r="R227" s="100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9"/>
      <c r="AD227" s="108"/>
      <c r="AE227" s="108"/>
      <c r="AF227" s="48"/>
      <c r="AG227" s="110"/>
    </row>
    <row r="228" spans="5:33" x14ac:dyDescent="0.4">
      <c r="E228" s="107"/>
      <c r="F228" s="107"/>
      <c r="H228" s="108"/>
      <c r="I228" s="108"/>
      <c r="J228" s="108"/>
      <c r="K228" s="108"/>
      <c r="L228" s="108"/>
      <c r="M228" s="108"/>
      <c r="N228" s="108"/>
      <c r="O228" s="108"/>
      <c r="P228" s="108"/>
      <c r="R228" s="100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9"/>
      <c r="AD228" s="108"/>
      <c r="AE228" s="108"/>
      <c r="AF228" s="48"/>
      <c r="AG228" s="110"/>
    </row>
    <row r="229" spans="5:33" x14ac:dyDescent="0.4">
      <c r="E229" s="107"/>
      <c r="F229" s="107"/>
      <c r="H229" s="108"/>
      <c r="I229" s="108"/>
      <c r="J229" s="108"/>
      <c r="K229" s="108"/>
      <c r="L229" s="108"/>
      <c r="M229" s="108"/>
      <c r="N229" s="108"/>
      <c r="O229" s="108"/>
      <c r="P229" s="108"/>
      <c r="R229" s="100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9"/>
      <c r="AD229" s="108"/>
      <c r="AE229" s="108"/>
      <c r="AF229" s="48"/>
      <c r="AG229" s="110"/>
    </row>
    <row r="230" spans="5:33" x14ac:dyDescent="0.4">
      <c r="E230" s="107"/>
      <c r="F230" s="107"/>
      <c r="H230" s="108"/>
      <c r="I230" s="108"/>
      <c r="J230" s="108"/>
      <c r="K230" s="108"/>
      <c r="L230" s="108"/>
      <c r="M230" s="108"/>
      <c r="N230" s="108"/>
      <c r="O230" s="108"/>
      <c r="P230" s="108"/>
      <c r="R230" s="100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9"/>
      <c r="AD230" s="108"/>
      <c r="AE230" s="108"/>
      <c r="AF230" s="48"/>
      <c r="AG230" s="110"/>
    </row>
    <row r="231" spans="5:33" x14ac:dyDescent="0.4">
      <c r="E231" s="107"/>
      <c r="F231" s="107"/>
      <c r="H231" s="108"/>
      <c r="I231" s="108"/>
      <c r="J231" s="108"/>
      <c r="K231" s="108"/>
      <c r="L231" s="108"/>
      <c r="M231" s="108"/>
      <c r="N231" s="108"/>
      <c r="O231" s="108"/>
      <c r="P231" s="108"/>
      <c r="R231" s="100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9"/>
      <c r="AD231" s="108"/>
      <c r="AE231" s="108"/>
      <c r="AF231" s="48"/>
      <c r="AG231" s="110"/>
    </row>
    <row r="232" spans="5:33" x14ac:dyDescent="0.4">
      <c r="E232" s="107"/>
      <c r="F232" s="107"/>
      <c r="H232" s="108"/>
      <c r="I232" s="108"/>
      <c r="J232" s="108"/>
      <c r="K232" s="108"/>
      <c r="L232" s="108"/>
      <c r="M232" s="108"/>
      <c r="N232" s="108"/>
      <c r="O232" s="108"/>
      <c r="P232" s="108"/>
      <c r="R232" s="100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9"/>
      <c r="AD232" s="108"/>
      <c r="AE232" s="108"/>
      <c r="AF232" s="48"/>
      <c r="AG232" s="110"/>
    </row>
    <row r="233" spans="5:33" x14ac:dyDescent="0.4">
      <c r="E233" s="107"/>
      <c r="F233" s="126"/>
      <c r="H233" s="108"/>
      <c r="I233" s="108"/>
      <c r="J233" s="108"/>
      <c r="K233" s="108"/>
      <c r="L233" s="127"/>
      <c r="M233" s="108"/>
      <c r="N233" s="127"/>
      <c r="O233" s="127"/>
      <c r="P233" s="127"/>
      <c r="Q233" s="128"/>
      <c r="R233" s="128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9"/>
      <c r="AD233" s="127"/>
      <c r="AE233" s="127"/>
      <c r="AF233" s="130"/>
      <c r="AG233" s="110"/>
    </row>
    <row r="234" spans="5:33" x14ac:dyDescent="0.4">
      <c r="E234" s="107"/>
      <c r="F234" s="107"/>
      <c r="AG234" s="110"/>
    </row>
    <row r="235" spans="5:33" x14ac:dyDescent="0.4">
      <c r="E235" s="107"/>
      <c r="F235" s="107"/>
      <c r="AG235" s="110"/>
    </row>
    <row r="236" spans="5:33" x14ac:dyDescent="0.4">
      <c r="E236" s="107"/>
      <c r="F236" s="107"/>
      <c r="AG236" s="110"/>
    </row>
    <row r="237" spans="5:33" x14ac:dyDescent="0.4">
      <c r="E237" s="107"/>
      <c r="F237" s="107"/>
      <c r="AG237" s="110"/>
    </row>
    <row r="238" spans="5:33" x14ac:dyDescent="0.4">
      <c r="E238" s="107"/>
      <c r="F238" s="107"/>
      <c r="AG238" s="110"/>
    </row>
    <row r="239" spans="5:33" x14ac:dyDescent="0.4">
      <c r="E239" s="107"/>
      <c r="F239" s="107"/>
      <c r="AG239" s="110"/>
    </row>
    <row r="240" spans="5:33" x14ac:dyDescent="0.4">
      <c r="E240" s="107"/>
      <c r="F240" s="107"/>
      <c r="AG240" s="110"/>
    </row>
    <row r="241" spans="5:33" x14ac:dyDescent="0.4">
      <c r="E241" s="107"/>
      <c r="F241" s="107"/>
      <c r="AG241" s="110"/>
    </row>
    <row r="242" spans="5:33" x14ac:dyDescent="0.4">
      <c r="E242" s="107"/>
      <c r="F242" s="107"/>
      <c r="AG242" s="110"/>
    </row>
    <row r="243" spans="5:33" x14ac:dyDescent="0.4">
      <c r="E243" s="107"/>
      <c r="F243" s="107"/>
      <c r="AG243" s="110"/>
    </row>
    <row r="244" spans="5:33" x14ac:dyDescent="0.4">
      <c r="E244" s="107"/>
      <c r="F244" s="107"/>
      <c r="AG244" s="110"/>
    </row>
    <row r="245" spans="5:33" x14ac:dyDescent="0.4">
      <c r="E245" s="107"/>
      <c r="F245" s="107"/>
      <c r="AG245" s="110"/>
    </row>
    <row r="246" spans="5:33" x14ac:dyDescent="0.4">
      <c r="E246" s="107"/>
      <c r="F246" s="107"/>
      <c r="AG246" s="110"/>
    </row>
    <row r="247" spans="5:33" x14ac:dyDescent="0.4">
      <c r="E247" s="126"/>
      <c r="F247" s="107"/>
      <c r="AG247" s="131"/>
    </row>
    <row r="248" spans="5:33" x14ac:dyDescent="0.4">
      <c r="E248" s="107"/>
      <c r="F248" s="107"/>
    </row>
    <row r="249" spans="5:33" x14ac:dyDescent="0.4">
      <c r="E249" s="107"/>
      <c r="F249" s="107"/>
    </row>
    <row r="250" spans="5:33" x14ac:dyDescent="0.4">
      <c r="E250" s="107"/>
      <c r="F250" s="107"/>
    </row>
    <row r="251" spans="5:33" x14ac:dyDescent="0.4">
      <c r="E251" s="107"/>
      <c r="F251" s="107"/>
    </row>
    <row r="252" spans="5:33" x14ac:dyDescent="0.4">
      <c r="E252" s="107"/>
      <c r="F252" s="107"/>
    </row>
    <row r="253" spans="5:33" x14ac:dyDescent="0.4">
      <c r="E253" s="107"/>
      <c r="F253" s="107"/>
    </row>
    <row r="254" spans="5:33" x14ac:dyDescent="0.4">
      <c r="E254" s="107"/>
      <c r="F254" s="107"/>
    </row>
    <row r="255" spans="5:33" x14ac:dyDescent="0.4">
      <c r="E255" s="107"/>
      <c r="F255" s="107"/>
    </row>
    <row r="256" spans="5:33" x14ac:dyDescent="0.4">
      <c r="E256" s="107"/>
      <c r="F256" s="107"/>
    </row>
    <row r="257" spans="5:6" x14ac:dyDescent="0.4">
      <c r="E257" s="107"/>
      <c r="F257" s="107"/>
    </row>
    <row r="258" spans="5:6" x14ac:dyDescent="0.4">
      <c r="E258" s="107"/>
      <c r="F258" s="107"/>
    </row>
    <row r="259" spans="5:6" x14ac:dyDescent="0.4">
      <c r="E259" s="107"/>
      <c r="F259" s="107"/>
    </row>
    <row r="260" spans="5:6" x14ac:dyDescent="0.4">
      <c r="E260" s="107"/>
      <c r="F260" s="107"/>
    </row>
    <row r="261" spans="5:6" x14ac:dyDescent="0.4">
      <c r="E261" s="107"/>
      <c r="F261" s="107"/>
    </row>
    <row r="262" spans="5:6" x14ac:dyDescent="0.4">
      <c r="E262" s="107"/>
      <c r="F262" s="107"/>
    </row>
    <row r="263" spans="5:6" x14ac:dyDescent="0.4">
      <c r="E263" s="107"/>
      <c r="F263" s="107"/>
    </row>
    <row r="264" spans="5:6" x14ac:dyDescent="0.4">
      <c r="E264" s="107"/>
      <c r="F264" s="107"/>
    </row>
    <row r="265" spans="5:6" x14ac:dyDescent="0.4">
      <c r="E265" s="107"/>
      <c r="F265" s="107"/>
    </row>
    <row r="266" spans="5:6" x14ac:dyDescent="0.4">
      <c r="E266" s="107"/>
      <c r="F266" s="107"/>
    </row>
    <row r="267" spans="5:6" x14ac:dyDescent="0.4">
      <c r="E267" s="107"/>
      <c r="F267" s="107"/>
    </row>
    <row r="268" spans="5:6" x14ac:dyDescent="0.4">
      <c r="E268" s="107"/>
      <c r="F268" s="107"/>
    </row>
    <row r="269" spans="5:6" x14ac:dyDescent="0.4">
      <c r="E269" s="107"/>
      <c r="F269" s="107"/>
    </row>
    <row r="270" spans="5:6" x14ac:dyDescent="0.4">
      <c r="E270" s="107"/>
      <c r="F270" s="107"/>
    </row>
    <row r="271" spans="5:6" x14ac:dyDescent="0.4">
      <c r="E271" s="107"/>
      <c r="F271" s="107"/>
    </row>
    <row r="272" spans="5:6" x14ac:dyDescent="0.4">
      <c r="E272" s="107"/>
      <c r="F272" s="107"/>
    </row>
    <row r="273" spans="5:6" x14ac:dyDescent="0.4">
      <c r="E273" s="107"/>
      <c r="F273" s="107"/>
    </row>
    <row r="274" spans="5:6" x14ac:dyDescent="0.4">
      <c r="E274" s="107"/>
      <c r="F274" s="107"/>
    </row>
    <row r="275" spans="5:6" x14ac:dyDescent="0.4">
      <c r="E275" s="107"/>
      <c r="F275" s="107"/>
    </row>
    <row r="276" spans="5:6" x14ac:dyDescent="0.4">
      <c r="E276" s="107"/>
      <c r="F276" s="107"/>
    </row>
    <row r="277" spans="5:6" x14ac:dyDescent="0.4">
      <c r="E277" s="107"/>
      <c r="F277" s="107"/>
    </row>
    <row r="278" spans="5:6" x14ac:dyDescent="0.4">
      <c r="E278" s="107"/>
      <c r="F278" s="107"/>
    </row>
    <row r="279" spans="5:6" x14ac:dyDescent="0.4">
      <c r="E279" s="107"/>
      <c r="F279" s="107"/>
    </row>
    <row r="280" spans="5:6" x14ac:dyDescent="0.4">
      <c r="E280" s="107"/>
      <c r="F280" s="107"/>
    </row>
    <row r="281" spans="5:6" x14ac:dyDescent="0.4">
      <c r="E281" s="107"/>
      <c r="F281" s="107"/>
    </row>
    <row r="282" spans="5:6" x14ac:dyDescent="0.4">
      <c r="E282" s="107"/>
    </row>
    <row r="283" spans="5:6" x14ac:dyDescent="0.4">
      <c r="E283" s="107"/>
    </row>
    <row r="284" spans="5:6" x14ac:dyDescent="0.4">
      <c r="E284" s="107"/>
    </row>
    <row r="285" spans="5:6" x14ac:dyDescent="0.4">
      <c r="E285" s="107"/>
    </row>
    <row r="286" spans="5:6" x14ac:dyDescent="0.4">
      <c r="E286" s="107"/>
    </row>
    <row r="287" spans="5:6" x14ac:dyDescent="0.4">
      <c r="E287" s="107"/>
    </row>
    <row r="288" spans="5:6" x14ac:dyDescent="0.4">
      <c r="E288" s="107"/>
    </row>
    <row r="289" spans="5:5" x14ac:dyDescent="0.4">
      <c r="E289" s="107"/>
    </row>
    <row r="290" spans="5:5" x14ac:dyDescent="0.4">
      <c r="E290" s="107"/>
    </row>
    <row r="291" spans="5:5" x14ac:dyDescent="0.4">
      <c r="E291" s="107"/>
    </row>
    <row r="292" spans="5:5" x14ac:dyDescent="0.4">
      <c r="E292" s="107"/>
    </row>
    <row r="293" spans="5:5" x14ac:dyDescent="0.4">
      <c r="E293" s="107"/>
    </row>
    <row r="294" spans="5:5" x14ac:dyDescent="0.4">
      <c r="E294" s="107"/>
    </row>
    <row r="295" spans="5:5" x14ac:dyDescent="0.4">
      <c r="E295" s="107"/>
    </row>
  </sheetData>
  <mergeCells count="6">
    <mergeCell ref="E2:F2"/>
    <mergeCell ref="G2:L2"/>
    <mergeCell ref="N2:O2"/>
    <mergeCell ref="Q2:S2"/>
    <mergeCell ref="T2:W2"/>
    <mergeCell ref="B4:C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686A-68E6-4CC7-8446-90AC5517CACE}">
  <sheetPr>
    <tabColor rgb="FF009639"/>
  </sheetPr>
  <dimension ref="B2:AG295"/>
  <sheetViews>
    <sheetView showGridLines="0" topLeftCell="U1" zoomScale="78" zoomScaleNormal="115" workbookViewId="0">
      <selection activeCell="AC5" sqref="AC5:AC124"/>
    </sheetView>
  </sheetViews>
  <sheetFormatPr defaultColWidth="8.88671875" defaultRowHeight="16.8" x14ac:dyDescent="0.4"/>
  <cols>
    <col min="1" max="1" width="2.88671875" style="35" customWidth="1"/>
    <col min="2" max="2" width="54.33203125" style="35" bestFit="1" customWidth="1"/>
    <col min="3" max="3" width="19.109375" style="35" bestFit="1" customWidth="1"/>
    <col min="4" max="4" width="3.44140625" style="35" customWidth="1"/>
    <col min="5" max="6" width="7.21875" style="35" bestFit="1" customWidth="1"/>
    <col min="7" max="7" width="22.77734375" style="138" bestFit="1" customWidth="1"/>
    <col min="8" max="8" width="15.109375" style="35" bestFit="1" customWidth="1"/>
    <col min="9" max="9" width="18.88671875" style="35" bestFit="1" customWidth="1"/>
    <col min="10" max="10" width="19.21875" style="35" bestFit="1" customWidth="1"/>
    <col min="11" max="11" width="17.21875" style="35" bestFit="1" customWidth="1"/>
    <col min="12" max="12" width="18" style="35" bestFit="1" customWidth="1"/>
    <col min="13" max="13" width="13.77734375" style="35" bestFit="1" customWidth="1"/>
    <col min="14" max="14" width="15.44140625" style="35" bestFit="1" customWidth="1"/>
    <col min="15" max="15" width="17.77734375" style="35" bestFit="1" customWidth="1"/>
    <col min="16" max="16" width="17.6640625" style="35" bestFit="1" customWidth="1"/>
    <col min="17" max="17" width="10.77734375" style="100" bestFit="1" customWidth="1"/>
    <col min="18" max="18" width="12.33203125" style="101" bestFit="1" customWidth="1"/>
    <col min="19" max="19" width="12.6640625" style="35" bestFit="1" customWidth="1"/>
    <col min="20" max="20" width="15.77734375" style="35" bestFit="1" customWidth="1"/>
    <col min="21" max="21" width="12.77734375" style="35" bestFit="1" customWidth="1"/>
    <col min="22" max="22" width="13.77734375" style="35" bestFit="1" customWidth="1"/>
    <col min="23" max="23" width="15.21875" style="35" bestFit="1" customWidth="1"/>
    <col min="24" max="24" width="14" style="35" bestFit="1" customWidth="1"/>
    <col min="25" max="25" width="13.44140625" style="35" bestFit="1" customWidth="1"/>
    <col min="26" max="26" width="13.6640625" style="35" bestFit="1" customWidth="1"/>
    <col min="27" max="27" width="14.6640625" style="35" bestFit="1" customWidth="1"/>
    <col min="28" max="28" width="15.6640625" style="35" bestFit="1" customWidth="1"/>
    <col min="29" max="29" width="12" style="35" bestFit="1" customWidth="1"/>
    <col min="30" max="30" width="15" style="35" bestFit="1" customWidth="1"/>
    <col min="31" max="31" width="13.5546875" style="35" bestFit="1" customWidth="1"/>
    <col min="32" max="32" width="8.6640625" style="35" bestFit="1" customWidth="1"/>
    <col min="33" max="33" width="8.88671875" style="35"/>
    <col min="34" max="34" width="15.6640625" style="35" bestFit="1" customWidth="1"/>
    <col min="35" max="35" width="8.88671875" style="35"/>
    <col min="36" max="36" width="12.33203125" style="35" bestFit="1" customWidth="1"/>
    <col min="37" max="37" width="11.44140625" style="35" bestFit="1" customWidth="1"/>
    <col min="38" max="38" width="10.109375" style="35" bestFit="1" customWidth="1"/>
    <col min="39" max="39" width="11.44140625" style="35" bestFit="1" customWidth="1"/>
    <col min="40" max="41" width="12.33203125" style="35" bestFit="1" customWidth="1"/>
    <col min="42" max="42" width="9.33203125" style="35" bestFit="1" customWidth="1"/>
    <col min="43" max="43" width="8.88671875" style="35"/>
    <col min="44" max="45" width="9.33203125" style="35" bestFit="1" customWidth="1"/>
    <col min="46" max="46" width="10.5546875" style="35" bestFit="1" customWidth="1"/>
    <col min="47" max="47" width="10.109375" style="35" bestFit="1" customWidth="1"/>
    <col min="48" max="48" width="13.5546875" style="35" bestFit="1" customWidth="1"/>
    <col min="49" max="53" width="8.88671875" style="35"/>
    <col min="54" max="54" width="9.5546875" style="35" bestFit="1" customWidth="1"/>
    <col min="55" max="55" width="10.109375" style="35" bestFit="1" customWidth="1"/>
    <col min="56" max="56" width="9.33203125" style="35" bestFit="1" customWidth="1"/>
    <col min="57" max="57" width="8.88671875" style="35"/>
    <col min="58" max="58" width="9.33203125" style="35" bestFit="1" customWidth="1"/>
    <col min="59" max="59" width="10.88671875" style="35" bestFit="1" customWidth="1"/>
    <col min="60" max="60" width="13.88671875" style="35" bestFit="1" customWidth="1"/>
    <col min="61" max="61" width="9.33203125" style="35" bestFit="1" customWidth="1"/>
    <col min="62" max="62" width="10.5546875" style="35" bestFit="1" customWidth="1"/>
    <col min="63" max="63" width="11.109375" style="35" bestFit="1" customWidth="1"/>
    <col min="64" max="64" width="12" style="35" bestFit="1" customWidth="1"/>
    <col min="65" max="65" width="8.88671875" style="35"/>
    <col min="66" max="66" width="13.88671875" style="35" bestFit="1" customWidth="1"/>
    <col min="67" max="67" width="9.33203125" style="35" bestFit="1" customWidth="1"/>
    <col min="68" max="16384" width="8.88671875" style="35"/>
  </cols>
  <sheetData>
    <row r="2" spans="2:33" x14ac:dyDescent="0.4">
      <c r="E2" s="159" t="s">
        <v>45</v>
      </c>
      <c r="F2" s="159"/>
      <c r="G2" s="160" t="s">
        <v>46</v>
      </c>
      <c r="H2" s="160"/>
      <c r="I2" s="160"/>
      <c r="J2" s="160"/>
      <c r="K2" s="160"/>
      <c r="L2" s="160"/>
      <c r="N2" s="161"/>
      <c r="O2" s="161"/>
      <c r="P2" s="91" t="s">
        <v>47</v>
      </c>
      <c r="Q2" s="162" t="s">
        <v>48</v>
      </c>
      <c r="R2" s="162"/>
      <c r="S2" s="162"/>
      <c r="T2" s="157" t="s">
        <v>49</v>
      </c>
      <c r="U2" s="157"/>
      <c r="V2" s="157"/>
      <c r="W2" s="157"/>
      <c r="X2" s="92"/>
      <c r="Y2" s="93" t="s">
        <v>50</v>
      </c>
      <c r="Z2" s="92"/>
      <c r="AA2" s="94" t="s">
        <v>51</v>
      </c>
      <c r="AB2" s="95" t="s">
        <v>52</v>
      </c>
      <c r="AC2" s="96" t="s">
        <v>53</v>
      </c>
      <c r="AD2" s="97"/>
      <c r="AE2" s="97"/>
      <c r="AF2" s="98" t="s">
        <v>54</v>
      </c>
    </row>
    <row r="3" spans="2:33" x14ac:dyDescent="0.4">
      <c r="B3" s="99"/>
      <c r="AB3" s="108">
        <f>SUM(AB5:AB124)</f>
        <v>1.0547064448473975E-6</v>
      </c>
    </row>
    <row r="4" spans="2:33" ht="47.4" customHeight="1" thickBot="1" x14ac:dyDescent="0.45">
      <c r="B4" s="158"/>
      <c r="C4" s="158"/>
      <c r="E4" s="102" t="s">
        <v>55</v>
      </c>
      <c r="F4" s="102" t="s">
        <v>56</v>
      </c>
      <c r="G4" s="139" t="s">
        <v>57</v>
      </c>
      <c r="H4" s="104" t="s">
        <v>58</v>
      </c>
      <c r="I4" s="104" t="s">
        <v>59</v>
      </c>
      <c r="J4" s="104" t="s">
        <v>60</v>
      </c>
      <c r="K4" s="104" t="s">
        <v>61</v>
      </c>
      <c r="L4" s="102" t="s">
        <v>62</v>
      </c>
      <c r="M4" s="105" t="s">
        <v>63</v>
      </c>
      <c r="N4" s="102" t="s">
        <v>64</v>
      </c>
      <c r="O4" s="103" t="s">
        <v>65</v>
      </c>
      <c r="P4" s="104" t="s">
        <v>66</v>
      </c>
      <c r="Q4" s="104" t="s">
        <v>67</v>
      </c>
      <c r="R4" s="104" t="s">
        <v>68</v>
      </c>
      <c r="S4" s="104" t="s">
        <v>69</v>
      </c>
      <c r="T4" s="104" t="s">
        <v>70</v>
      </c>
      <c r="U4" s="104" t="s">
        <v>71</v>
      </c>
      <c r="V4" s="104" t="s">
        <v>72</v>
      </c>
      <c r="W4" s="102" t="s">
        <v>73</v>
      </c>
      <c r="X4" s="104" t="s">
        <v>74</v>
      </c>
      <c r="Y4" s="104" t="s">
        <v>50</v>
      </c>
      <c r="Z4" s="104" t="s">
        <v>75</v>
      </c>
      <c r="AA4" s="104" t="s">
        <v>51</v>
      </c>
      <c r="AB4" s="104" t="s">
        <v>52</v>
      </c>
      <c r="AC4" s="104" t="s">
        <v>76</v>
      </c>
      <c r="AD4" s="104" t="s">
        <v>77</v>
      </c>
      <c r="AE4" s="104" t="s">
        <v>78</v>
      </c>
      <c r="AF4" s="105" t="s">
        <v>54</v>
      </c>
    </row>
    <row r="5" spans="2:33" ht="17.399999999999999" thickTop="1" x14ac:dyDescent="0.4">
      <c r="B5" s="106" t="s">
        <v>79</v>
      </c>
      <c r="C5" s="106"/>
      <c r="E5" s="107">
        <v>1</v>
      </c>
      <c r="F5" s="107">
        <v>1</v>
      </c>
      <c r="G5" s="141">
        <v>100000000</v>
      </c>
      <c r="H5" s="141">
        <f>PMT($C$11/12,$C$8,-$C$7)</f>
        <v>1454988.8889545999</v>
      </c>
      <c r="I5" s="141">
        <f>($C$11/12)*G5</f>
        <v>1029129.2373419642</v>
      </c>
      <c r="J5" s="141">
        <f>H5-I5</f>
        <v>425859.6516126357</v>
      </c>
      <c r="K5" s="108">
        <f>G5-J5</f>
        <v>99574140.348387361</v>
      </c>
      <c r="L5" s="108">
        <f>G5*(1+$C$11/12)^4</f>
        <v>104180500.47349098</v>
      </c>
      <c r="M5" s="108">
        <f>G5*($C$11-$C$10)/12</f>
        <v>49962.57067529756</v>
      </c>
      <c r="N5" s="108">
        <f>($C$13+$C$14)</f>
        <v>1262500</v>
      </c>
      <c r="O5" s="108">
        <f>SUM(M5:N5)</f>
        <v>1312462.5706752976</v>
      </c>
      <c r="P5" s="108">
        <f>0.4*O5</f>
        <v>524985.0282701191</v>
      </c>
      <c r="Q5" s="100">
        <f>2.68%/12</f>
        <v>2.2333333333333333E-3</v>
      </c>
      <c r="R5" s="100">
        <f>20%</f>
        <v>0.2</v>
      </c>
      <c r="S5" s="108">
        <f>Q5*R5*L5</f>
        <v>46533.956878159304</v>
      </c>
      <c r="T5" s="108">
        <f>L5*($C$22/12)*$C$28</f>
        <v>370361.67918326042</v>
      </c>
      <c r="U5" s="108">
        <f>O5*$C$23</f>
        <v>44593.571863531513</v>
      </c>
      <c r="V5" s="108">
        <f>O5*$C$24</f>
        <v>77088.092827437213</v>
      </c>
      <c r="W5" s="108">
        <f>SUM(T5:V5)</f>
        <v>492043.34387422912</v>
      </c>
      <c r="X5" s="108">
        <f>O5-P5-S5</f>
        <v>740943.58552701923</v>
      </c>
      <c r="Y5" s="108">
        <f>0.27*X5</f>
        <v>200054.76809229521</v>
      </c>
      <c r="Z5" s="108">
        <f>X5-Y5</f>
        <v>540888.81743472395</v>
      </c>
      <c r="AA5" s="108">
        <f>W5*($C$36/12)</f>
        <v>5889.4633149226183</v>
      </c>
      <c r="AB5" s="108">
        <f>Z5-AA5</f>
        <v>534999.35411980131</v>
      </c>
      <c r="AC5" s="109">
        <f>(1+($C$37/12))^-E5</f>
        <v>0.99042508289053799</v>
      </c>
      <c r="AD5" s="108">
        <f>Z5*AC5</f>
        <v>535709.85184235149</v>
      </c>
      <c r="AE5" s="108">
        <f>W5*AC5</f>
        <v>487332.06964237086</v>
      </c>
      <c r="AF5" s="48">
        <f>Z5/W5</f>
        <v>1.0992706723271521</v>
      </c>
      <c r="AG5" s="110"/>
    </row>
    <row r="6" spans="2:33" x14ac:dyDescent="0.4">
      <c r="E6" s="107">
        <v>2</v>
      </c>
      <c r="F6" s="107">
        <v>1</v>
      </c>
      <c r="G6" s="141">
        <f>K5</f>
        <v>99574140.348387361</v>
      </c>
      <c r="H6" s="141">
        <f t="shared" ref="H6:H69" si="0">PMT($C$11/12,$C$8,-$C$7)</f>
        <v>1454988.8889545999</v>
      </c>
      <c r="I6" s="141">
        <f t="shared" ref="I6:I69" si="1">($C$11/12)*G6</f>
        <v>1024746.5911571758</v>
      </c>
      <c r="J6" s="141">
        <f t="shared" ref="J6:J69" si="2">H6-I6</f>
        <v>430242.29779742402</v>
      </c>
      <c r="K6" s="108">
        <f t="shared" ref="K6:K69" si="3">G6-J6</f>
        <v>99143898.050589934</v>
      </c>
      <c r="L6" s="108">
        <f t="shared" ref="L6:L69" si="4">G6*(1+$C$11/12)^4</f>
        <v>103736837.75712627</v>
      </c>
      <c r="M6" s="108">
        <f t="shared" ref="M6:M69" si="5">G6*($C$11-$C$10)/12</f>
        <v>49749.800245883023</v>
      </c>
      <c r="N6" s="108">
        <f t="shared" ref="N6:N69" si="6">$C$14</f>
        <v>12500</v>
      </c>
      <c r="O6" s="108">
        <f t="shared" ref="O6:O69" si="7">SUM(M6:N6)</f>
        <v>62249.800245883023</v>
      </c>
      <c r="P6" s="108">
        <f t="shared" ref="P6:P69" si="8">0.4*O6</f>
        <v>24899.92009835321</v>
      </c>
      <c r="Q6" s="100">
        <f t="shared" ref="Q6:Q69" si="9">2.68%/12</f>
        <v>2.2333333333333333E-3</v>
      </c>
      <c r="R6" s="100">
        <f>20%</f>
        <v>0.2</v>
      </c>
      <c r="S6" s="108">
        <f t="shared" ref="S6:S69" si="10">Q6*R6*L6</f>
        <v>46335.787531516398</v>
      </c>
      <c r="T6" s="108">
        <f t="shared" ref="T6:T69" si="11">L6*($C$22/12)*$C$28</f>
        <v>368784.4582265839</v>
      </c>
      <c r="U6" s="108">
        <f t="shared" ref="U6:U69" si="12">O6*$C$23</f>
        <v>2115.0629380058963</v>
      </c>
      <c r="V6" s="108">
        <f t="shared" ref="V6:V69" si="13">O6*$C$24</f>
        <v>3656.2706526365801</v>
      </c>
      <c r="W6" s="108">
        <f t="shared" ref="W6:W69" si="14">SUM(T6:V6)</f>
        <v>374555.79181722639</v>
      </c>
      <c r="X6" s="108">
        <f t="shared" ref="X6:X69" si="15">O6-P6-S6</f>
        <v>-8985.9073839865887</v>
      </c>
      <c r="Y6" s="108">
        <f t="shared" ref="Y6:Y69" si="16">0.27*X6</f>
        <v>-2426.194993676379</v>
      </c>
      <c r="Z6" s="108">
        <f t="shared" ref="Z6:Z69" si="17">X6-Y6</f>
        <v>-6559.7123903102092</v>
      </c>
      <c r="AA6" s="108">
        <f t="shared" ref="AA6:AA69" si="18">W6*($C$36/12)</f>
        <v>4483.2078774409865</v>
      </c>
      <c r="AB6" s="108">
        <f t="shared" ref="AB6:AB69" si="19">Z6-AA6</f>
        <v>-11042.920267751197</v>
      </c>
      <c r="AC6" s="109">
        <f t="shared" ref="AC6:AC69" si="20">(1+($C$37/12))^-E6</f>
        <v>0.98094184481872915</v>
      </c>
      <c r="AD6" s="108">
        <f t="shared" ref="AD6:AD69" si="21">Z6*AC6</f>
        <v>-6434.6963736311718</v>
      </c>
      <c r="AE6" s="108">
        <f t="shared" ref="AE6:AE69" si="22">W6*AC6</f>
        <v>367417.44941272988</v>
      </c>
      <c r="AF6" s="48">
        <f t="shared" ref="AF6:AF69" si="23">Z6/W6</f>
        <v>-1.7513311857986647E-2</v>
      </c>
      <c r="AG6" s="110"/>
    </row>
    <row r="7" spans="2:33" x14ac:dyDescent="0.4">
      <c r="B7" s="111" t="s">
        <v>80</v>
      </c>
      <c r="C7" s="142">
        <v>100000000</v>
      </c>
      <c r="E7" s="107">
        <v>3</v>
      </c>
      <c r="F7" s="107">
        <v>1</v>
      </c>
      <c r="G7" s="141">
        <f t="shared" ref="G7:G70" si="24">K6</f>
        <v>99143898.050589934</v>
      </c>
      <c r="H7" s="141">
        <f t="shared" si="0"/>
        <v>1454988.8889545999</v>
      </c>
      <c r="I7" s="141">
        <f t="shared" si="1"/>
        <v>1020318.8418791306</v>
      </c>
      <c r="J7" s="141">
        <f t="shared" si="2"/>
        <v>434670.04707546928</v>
      </c>
      <c r="K7" s="108">
        <f t="shared" si="3"/>
        <v>98709228.003514469</v>
      </c>
      <c r="L7" s="108">
        <f t="shared" si="4"/>
        <v>103288609.17803226</v>
      </c>
      <c r="M7" s="108">
        <f t="shared" si="5"/>
        <v>49534.840133770958</v>
      </c>
      <c r="N7" s="108">
        <f t="shared" si="6"/>
        <v>12500</v>
      </c>
      <c r="O7" s="108">
        <f t="shared" si="7"/>
        <v>62034.840133770958</v>
      </c>
      <c r="P7" s="108">
        <f t="shared" si="8"/>
        <v>24813.936053508383</v>
      </c>
      <c r="Q7" s="100">
        <f t="shared" si="9"/>
        <v>2.2333333333333333E-3</v>
      </c>
      <c r="R7" s="100">
        <f>20%</f>
        <v>0.2</v>
      </c>
      <c r="S7" s="108">
        <f t="shared" si="10"/>
        <v>46135.578766187748</v>
      </c>
      <c r="T7" s="108">
        <f t="shared" si="11"/>
        <v>367191.00562790467</v>
      </c>
      <c r="U7" s="108">
        <f t="shared" si="12"/>
        <v>2107.7592331830378</v>
      </c>
      <c r="V7" s="108">
        <f t="shared" si="13"/>
        <v>3643.6448715690372</v>
      </c>
      <c r="W7" s="108">
        <f t="shared" si="14"/>
        <v>372942.40973265679</v>
      </c>
      <c r="X7" s="108">
        <f t="shared" si="15"/>
        <v>-8914.6746859251725</v>
      </c>
      <c r="Y7" s="108">
        <f t="shared" si="16"/>
        <v>-2406.9621651997968</v>
      </c>
      <c r="Z7" s="108">
        <f t="shared" si="17"/>
        <v>-6507.7125207253757</v>
      </c>
      <c r="AA7" s="108">
        <f t="shared" si="18"/>
        <v>4463.8966628532435</v>
      </c>
      <c r="AB7" s="108">
        <f t="shared" si="19"/>
        <v>-10971.609183578619</v>
      </c>
      <c r="AC7" s="109">
        <f t="shared" si="20"/>
        <v>0.97154940796538714</v>
      </c>
      <c r="AD7" s="108">
        <f t="shared" si="21"/>
        <v>-6322.5642467196758</v>
      </c>
      <c r="AE7" s="108">
        <f t="shared" si="22"/>
        <v>362331.97738094756</v>
      </c>
      <c r="AF7" s="48">
        <f t="shared" si="23"/>
        <v>-1.744964463920963E-2</v>
      </c>
      <c r="AG7" s="110"/>
    </row>
    <row r="8" spans="2:33" x14ac:dyDescent="0.4">
      <c r="B8" s="111" t="s">
        <v>81</v>
      </c>
      <c r="C8" s="112">
        <v>120</v>
      </c>
      <c r="E8" s="107">
        <v>4</v>
      </c>
      <c r="F8" s="107">
        <v>1</v>
      </c>
      <c r="G8" s="141">
        <f t="shared" si="24"/>
        <v>98709228.003514469</v>
      </c>
      <c r="H8" s="141">
        <f t="shared" si="0"/>
        <v>1454988.8889545999</v>
      </c>
      <c r="I8" s="141">
        <f t="shared" si="1"/>
        <v>1015845.5253387089</v>
      </c>
      <c r="J8" s="141">
        <f t="shared" si="2"/>
        <v>439143.36361589096</v>
      </c>
      <c r="K8" s="108">
        <f t="shared" si="3"/>
        <v>98270084.639898583</v>
      </c>
      <c r="L8" s="108">
        <f t="shared" si="4"/>
        <v>102835767.74758069</v>
      </c>
      <c r="M8" s="108">
        <f t="shared" si="5"/>
        <v>49317.667804296536</v>
      </c>
      <c r="N8" s="108">
        <f t="shared" si="6"/>
        <v>12500</v>
      </c>
      <c r="O8" s="108">
        <f t="shared" si="7"/>
        <v>61817.667804296536</v>
      </c>
      <c r="P8" s="108">
        <f t="shared" si="8"/>
        <v>24727.067121718617</v>
      </c>
      <c r="Q8" s="100">
        <f t="shared" si="9"/>
        <v>2.2333333333333333E-3</v>
      </c>
      <c r="R8" s="100">
        <f>20%</f>
        <v>0.2</v>
      </c>
      <c r="S8" s="108">
        <f t="shared" si="10"/>
        <v>45933.309593919374</v>
      </c>
      <c r="T8" s="108">
        <f t="shared" si="11"/>
        <v>365581.15434264933</v>
      </c>
      <c r="U8" s="108">
        <f t="shared" si="12"/>
        <v>2100.3803637984388</v>
      </c>
      <c r="V8" s="108">
        <f t="shared" si="13"/>
        <v>3630.8891548970855</v>
      </c>
      <c r="W8" s="108">
        <f t="shared" si="14"/>
        <v>371312.42386134487</v>
      </c>
      <c r="X8" s="108">
        <f t="shared" si="15"/>
        <v>-8842.708911341455</v>
      </c>
      <c r="Y8" s="108">
        <f t="shared" si="16"/>
        <v>-2387.5314060621931</v>
      </c>
      <c r="Z8" s="108">
        <f t="shared" si="17"/>
        <v>-6455.1775052792618</v>
      </c>
      <c r="AA8" s="108">
        <f t="shared" si="18"/>
        <v>4444.386710910092</v>
      </c>
      <c r="AB8" s="108">
        <f t="shared" si="19"/>
        <v>-10899.564216189354</v>
      </c>
      <c r="AC8" s="109">
        <f t="shared" si="20"/>
        <v>0.9622469029163716</v>
      </c>
      <c r="AD8" s="108">
        <f t="shared" si="21"/>
        <v>-6211.4745622303999</v>
      </c>
      <c r="AE8" s="108">
        <f t="shared" si="22"/>
        <v>357294.22987495014</v>
      </c>
      <c r="AF8" s="48">
        <f t="shared" si="23"/>
        <v>-1.7384760353964746E-2</v>
      </c>
      <c r="AG8" s="110"/>
    </row>
    <row r="9" spans="2:33" x14ac:dyDescent="0.4">
      <c r="B9" s="111" t="s">
        <v>82</v>
      </c>
      <c r="C9" s="112"/>
      <c r="E9" s="107">
        <v>5</v>
      </c>
      <c r="F9" s="107">
        <v>1</v>
      </c>
      <c r="G9" s="141">
        <f t="shared" si="24"/>
        <v>98270084.639898583</v>
      </c>
      <c r="H9" s="141">
        <f t="shared" si="0"/>
        <v>1454988.8889545999</v>
      </c>
      <c r="I9" s="141">
        <f t="shared" si="1"/>
        <v>1011326.1725898909</v>
      </c>
      <c r="J9" s="141">
        <f t="shared" si="2"/>
        <v>443662.71636470896</v>
      </c>
      <c r="K9" s="108">
        <f t="shared" si="3"/>
        <v>97826421.923533872</v>
      </c>
      <c r="L9" s="108">
        <f t="shared" si="4"/>
        <v>102378265.99356954</v>
      </c>
      <c r="M9" s="108">
        <f t="shared" si="5"/>
        <v>49098.260490884066</v>
      </c>
      <c r="N9" s="108">
        <f t="shared" si="6"/>
        <v>12500</v>
      </c>
      <c r="O9" s="108">
        <f t="shared" si="7"/>
        <v>61598.260490884066</v>
      </c>
      <c r="P9" s="108">
        <f t="shared" si="8"/>
        <v>24639.304196353627</v>
      </c>
      <c r="Q9" s="100">
        <f t="shared" si="9"/>
        <v>2.2333333333333333E-3</v>
      </c>
      <c r="R9" s="100">
        <f>20%</f>
        <v>0.2</v>
      </c>
      <c r="S9" s="108">
        <f t="shared" si="10"/>
        <v>45728.958810461059</v>
      </c>
      <c r="T9" s="108">
        <f t="shared" si="11"/>
        <v>363954.73560713965</v>
      </c>
      <c r="U9" s="108">
        <f t="shared" si="12"/>
        <v>2092.9255563116171</v>
      </c>
      <c r="V9" s="108">
        <f t="shared" si="13"/>
        <v>3618.0021654154302</v>
      </c>
      <c r="W9" s="108">
        <f t="shared" si="14"/>
        <v>369665.66332886671</v>
      </c>
      <c r="X9" s="108">
        <f t="shared" si="15"/>
        <v>-8770.0025159306242</v>
      </c>
      <c r="Y9" s="108">
        <f t="shared" si="16"/>
        <v>-2367.9006793012686</v>
      </c>
      <c r="Z9" s="108">
        <f t="shared" si="17"/>
        <v>-6402.1018366293556</v>
      </c>
      <c r="AA9" s="108">
        <f t="shared" si="18"/>
        <v>4424.6759763473019</v>
      </c>
      <c r="AB9" s="108">
        <f t="shared" si="19"/>
        <v>-10826.777812976658</v>
      </c>
      <c r="AC9" s="109">
        <f t="shared" si="20"/>
        <v>0.9530334685821108</v>
      </c>
      <c r="AD9" s="108">
        <f t="shared" si="21"/>
        <v>-6101.4173195787771</v>
      </c>
      <c r="AE9" s="108">
        <f t="shared" si="22"/>
        <v>352303.74933801661</v>
      </c>
      <c r="AF9" s="48">
        <f t="shared" si="23"/>
        <v>-1.7318627267076833E-2</v>
      </c>
      <c r="AG9" s="110"/>
    </row>
    <row r="10" spans="2:33" x14ac:dyDescent="0.4">
      <c r="B10" s="111" t="s">
        <v>83</v>
      </c>
      <c r="C10" s="140">
        <v>0.11749999999999999</v>
      </c>
      <c r="E10" s="107">
        <v>6</v>
      </c>
      <c r="F10" s="107">
        <v>1</v>
      </c>
      <c r="G10" s="141">
        <f t="shared" si="24"/>
        <v>97826421.923533872</v>
      </c>
      <c r="H10" s="141">
        <f t="shared" si="0"/>
        <v>1454988.8889545999</v>
      </c>
      <c r="I10" s="141">
        <f t="shared" si="1"/>
        <v>1006760.3098605961</v>
      </c>
      <c r="J10" s="141">
        <f t="shared" si="2"/>
        <v>448228.57909400377</v>
      </c>
      <c r="K10" s="108">
        <f t="shared" si="3"/>
        <v>97378193.344439864</v>
      </c>
      <c r="L10" s="108">
        <f t="shared" si="4"/>
        <v>101916055.95524649</v>
      </c>
      <c r="M10" s="108">
        <f t="shared" si="5"/>
        <v>48876.595192660403</v>
      </c>
      <c r="N10" s="108">
        <f t="shared" si="6"/>
        <v>12500</v>
      </c>
      <c r="O10" s="108">
        <f t="shared" si="7"/>
        <v>61376.595192660403</v>
      </c>
      <c r="P10" s="108">
        <f t="shared" si="8"/>
        <v>24550.638077064163</v>
      </c>
      <c r="Q10" s="100">
        <f t="shared" si="9"/>
        <v>2.2333333333333333E-3</v>
      </c>
      <c r="R10" s="100">
        <f>20%</f>
        <v>0.2</v>
      </c>
      <c r="S10" s="108">
        <f t="shared" si="10"/>
        <v>45522.504993343435</v>
      </c>
      <c r="T10" s="108">
        <f t="shared" si="11"/>
        <v>362311.57892090129</v>
      </c>
      <c r="U10" s="108">
        <f t="shared" si="12"/>
        <v>2085.3940292213611</v>
      </c>
      <c r="V10" s="108">
        <f t="shared" si="13"/>
        <v>3604.9825521572061</v>
      </c>
      <c r="W10" s="108">
        <f t="shared" si="14"/>
        <v>368001.95550227986</v>
      </c>
      <c r="X10" s="108">
        <f t="shared" si="15"/>
        <v>-8696.5478777471944</v>
      </c>
      <c r="Y10" s="108">
        <f t="shared" si="16"/>
        <v>-2348.0679269917428</v>
      </c>
      <c r="Z10" s="108">
        <f t="shared" si="17"/>
        <v>-6348.4799507554517</v>
      </c>
      <c r="AA10" s="108">
        <f t="shared" si="18"/>
        <v>4404.7623928522316</v>
      </c>
      <c r="AB10" s="108">
        <f t="shared" si="19"/>
        <v>-10753.242343607682</v>
      </c>
      <c r="AC10" s="109">
        <f t="shared" si="20"/>
        <v>0.94390825211789409</v>
      </c>
      <c r="AD10" s="108">
        <f t="shared" si="21"/>
        <v>-5992.3826139230723</v>
      </c>
      <c r="AE10" s="108">
        <f t="shared" si="22"/>
        <v>347360.08259412402</v>
      </c>
      <c r="AF10" s="48">
        <f t="shared" si="23"/>
        <v>-1.7251212543396718E-2</v>
      </c>
      <c r="AG10" s="110"/>
    </row>
    <row r="11" spans="2:33" x14ac:dyDescent="0.4">
      <c r="B11" s="111" t="s">
        <v>84</v>
      </c>
      <c r="C11" s="140">
        <v>0.1234955084810357</v>
      </c>
      <c r="E11" s="107">
        <v>7</v>
      </c>
      <c r="F11" s="107">
        <v>1</v>
      </c>
      <c r="G11" s="141">
        <f t="shared" si="24"/>
        <v>97378193.344439864</v>
      </c>
      <c r="H11" s="141">
        <f t="shared" si="0"/>
        <v>1454988.8889545999</v>
      </c>
      <c r="I11" s="141">
        <f t="shared" si="1"/>
        <v>1002147.4585030172</v>
      </c>
      <c r="J11" s="141">
        <f t="shared" si="2"/>
        <v>452841.43045158265</v>
      </c>
      <c r="K11" s="108">
        <f t="shared" si="3"/>
        <v>96925351.913988277</v>
      </c>
      <c r="L11" s="108">
        <f t="shared" si="4"/>
        <v>101449089.17828114</v>
      </c>
      <c r="M11" s="108">
        <f t="shared" si="5"/>
        <v>48652.648672043673</v>
      </c>
      <c r="N11" s="108">
        <f t="shared" si="6"/>
        <v>12500</v>
      </c>
      <c r="O11" s="108">
        <f t="shared" si="7"/>
        <v>61152.648672043673</v>
      </c>
      <c r="P11" s="108">
        <f t="shared" si="8"/>
        <v>24461.059468817471</v>
      </c>
      <c r="Q11" s="100">
        <f t="shared" si="9"/>
        <v>2.2333333333333333E-3</v>
      </c>
      <c r="R11" s="100">
        <f>20%</f>
        <v>0.2</v>
      </c>
      <c r="S11" s="108">
        <f t="shared" si="10"/>
        <v>45313.926499632245</v>
      </c>
      <c r="T11" s="108">
        <f t="shared" si="11"/>
        <v>360651.51202878944</v>
      </c>
      <c r="U11" s="108">
        <f t="shared" si="12"/>
        <v>2077.7849929838007</v>
      </c>
      <c r="V11" s="108">
        <f t="shared" si="13"/>
        <v>3591.8289502523521</v>
      </c>
      <c r="W11" s="108">
        <f t="shared" si="14"/>
        <v>366321.12597202556</v>
      </c>
      <c r="X11" s="108">
        <f t="shared" si="15"/>
        <v>-8622.33729640604</v>
      </c>
      <c r="Y11" s="108">
        <f t="shared" si="16"/>
        <v>-2328.0310700296309</v>
      </c>
      <c r="Z11" s="108">
        <f t="shared" si="17"/>
        <v>-6294.3062263764095</v>
      </c>
      <c r="AA11" s="108">
        <f t="shared" si="18"/>
        <v>4384.6438728472103</v>
      </c>
      <c r="AB11" s="108">
        <f t="shared" si="19"/>
        <v>-10678.950099223621</v>
      </c>
      <c r="AC11" s="109">
        <f t="shared" si="20"/>
        <v>0.93487040884492822</v>
      </c>
      <c r="AD11" s="108">
        <f t="shared" si="21"/>
        <v>-5884.3606352476909</v>
      </c>
      <c r="AE11" s="108">
        <f t="shared" si="22"/>
        <v>342462.78080600197</v>
      </c>
      <c r="AF11" s="48">
        <f t="shared" si="23"/>
        <v>-1.7182482199667292E-2</v>
      </c>
      <c r="AG11" s="110"/>
    </row>
    <row r="12" spans="2:33" x14ac:dyDescent="0.4">
      <c r="E12" s="107">
        <v>8</v>
      </c>
      <c r="F12" s="107">
        <v>1</v>
      </c>
      <c r="G12" s="141">
        <f t="shared" si="24"/>
        <v>96925351.913988277</v>
      </c>
      <c r="H12" s="141">
        <f t="shared" si="0"/>
        <v>1454988.8889545999</v>
      </c>
      <c r="I12" s="141">
        <f t="shared" si="1"/>
        <v>997487.13494344242</v>
      </c>
      <c r="J12" s="141">
        <f t="shared" si="2"/>
        <v>457501.75401115743</v>
      </c>
      <c r="K12" s="108">
        <f t="shared" si="3"/>
        <v>96467850.159977123</v>
      </c>
      <c r="L12" s="108">
        <f t="shared" si="4"/>
        <v>100977316.70968537</v>
      </c>
      <c r="M12" s="108">
        <f t="shared" si="5"/>
        <v>48426.397452307276</v>
      </c>
      <c r="N12" s="108">
        <f t="shared" si="6"/>
        <v>12500</v>
      </c>
      <c r="O12" s="108">
        <f t="shared" si="7"/>
        <v>60926.397452307276</v>
      </c>
      <c r="P12" s="108">
        <f t="shared" si="8"/>
        <v>24370.558980922913</v>
      </c>
      <c r="Q12" s="100">
        <f t="shared" si="9"/>
        <v>2.2333333333333333E-3</v>
      </c>
      <c r="R12" s="100">
        <f>20%</f>
        <v>0.2</v>
      </c>
      <c r="S12" s="108">
        <f t="shared" si="10"/>
        <v>45103.201463659469</v>
      </c>
      <c r="T12" s="108">
        <f t="shared" si="11"/>
        <v>358974.36090293148</v>
      </c>
      <c r="U12" s="108">
        <f t="shared" si="12"/>
        <v>2070.0976499296398</v>
      </c>
      <c r="V12" s="108">
        <f t="shared" si="13"/>
        <v>3578.539980784532</v>
      </c>
      <c r="W12" s="108">
        <f t="shared" si="14"/>
        <v>364622.99853364564</v>
      </c>
      <c r="X12" s="108">
        <f t="shared" si="15"/>
        <v>-8547.3629922751061</v>
      </c>
      <c r="Y12" s="108">
        <f t="shared" si="16"/>
        <v>-2307.7880079142788</v>
      </c>
      <c r="Z12" s="108">
        <f t="shared" si="17"/>
        <v>-6239.5749843608273</v>
      </c>
      <c r="AA12" s="108">
        <f t="shared" si="18"/>
        <v>4364.3183072706979</v>
      </c>
      <c r="AB12" s="108">
        <f t="shared" si="19"/>
        <v>-10603.893291631524</v>
      </c>
      <c r="AC12" s="109">
        <f t="shared" si="20"/>
        <v>0.92591910217214912</v>
      </c>
      <c r="AD12" s="108">
        <f t="shared" si="21"/>
        <v>-5777.341667455179</v>
      </c>
      <c r="AE12" s="108">
        <f t="shared" si="22"/>
        <v>337611.39943359001</v>
      </c>
      <c r="AF12" s="48">
        <f t="shared" si="23"/>
        <v>-1.711240105383827E-2</v>
      </c>
      <c r="AG12" s="110"/>
    </row>
    <row r="13" spans="2:33" x14ac:dyDescent="0.4">
      <c r="B13" s="111" t="s">
        <v>85</v>
      </c>
      <c r="C13" s="142">
        <v>1250000</v>
      </c>
      <c r="E13" s="107">
        <v>9</v>
      </c>
      <c r="F13" s="107">
        <v>1</v>
      </c>
      <c r="G13" s="141">
        <f t="shared" si="24"/>
        <v>96467850.159977123</v>
      </c>
      <c r="H13" s="141">
        <f t="shared" si="0"/>
        <v>1454988.8889545999</v>
      </c>
      <c r="I13" s="141">
        <f t="shared" si="1"/>
        <v>992778.85063156125</v>
      </c>
      <c r="J13" s="141">
        <f t="shared" si="2"/>
        <v>462210.03832303861</v>
      </c>
      <c r="K13" s="108">
        <f t="shared" si="3"/>
        <v>96005640.121654078</v>
      </c>
      <c r="L13" s="108">
        <f t="shared" si="4"/>
        <v>100500689.09268154</v>
      </c>
      <c r="M13" s="108">
        <f t="shared" si="5"/>
        <v>48197.817815118724</v>
      </c>
      <c r="N13" s="108">
        <f t="shared" si="6"/>
        <v>12500</v>
      </c>
      <c r="O13" s="108">
        <f t="shared" si="7"/>
        <v>60697.817815118724</v>
      </c>
      <c r="P13" s="108">
        <f t="shared" si="8"/>
        <v>24279.12712604749</v>
      </c>
      <c r="Q13" s="100">
        <f t="shared" si="9"/>
        <v>2.2333333333333333E-3</v>
      </c>
      <c r="R13" s="100">
        <f>20%</f>
        <v>0.2</v>
      </c>
      <c r="S13" s="108">
        <f t="shared" si="10"/>
        <v>44890.307794731089</v>
      </c>
      <c r="T13" s="108">
        <f t="shared" si="11"/>
        <v>357279.94972448284</v>
      </c>
      <c r="U13" s="108">
        <f t="shared" si="12"/>
        <v>2062.3311941805341</v>
      </c>
      <c r="V13" s="108">
        <f t="shared" si="13"/>
        <v>3565.1142506465771</v>
      </c>
      <c r="W13" s="108">
        <f t="shared" si="14"/>
        <v>362907.39516930992</v>
      </c>
      <c r="X13" s="108">
        <f t="shared" si="15"/>
        <v>-8471.6171056598541</v>
      </c>
      <c r="Y13" s="108">
        <f t="shared" si="16"/>
        <v>-2287.3366185281607</v>
      </c>
      <c r="Z13" s="108">
        <f t="shared" si="17"/>
        <v>-6184.280487131693</v>
      </c>
      <c r="AA13" s="108">
        <f t="shared" si="18"/>
        <v>4343.7835653561815</v>
      </c>
      <c r="AB13" s="108">
        <f t="shared" si="19"/>
        <v>-10528.064052487875</v>
      </c>
      <c r="AC13" s="109">
        <f t="shared" si="20"/>
        <v>0.91705350351878334</v>
      </c>
      <c r="AD13" s="108">
        <f t="shared" si="21"/>
        <v>-5671.3160874669675</v>
      </c>
      <c r="AE13" s="108">
        <f t="shared" si="22"/>
        <v>332805.49819289125</v>
      </c>
      <c r="AF13" s="48">
        <f t="shared" si="23"/>
        <v>-1.7040932671670946E-2</v>
      </c>
      <c r="AG13" s="110"/>
    </row>
    <row r="14" spans="2:33" x14ac:dyDescent="0.4">
      <c r="B14" s="111" t="s">
        <v>86</v>
      </c>
      <c r="C14" s="142">
        <v>12500</v>
      </c>
      <c r="E14" s="107">
        <v>10</v>
      </c>
      <c r="F14" s="107">
        <v>1</v>
      </c>
      <c r="G14" s="141">
        <f t="shared" si="24"/>
        <v>96005640.121654078</v>
      </c>
      <c r="H14" s="141">
        <f t="shared" si="0"/>
        <v>1454988.8889545999</v>
      </c>
      <c r="I14" s="141">
        <f t="shared" si="1"/>
        <v>988022.11198924936</v>
      </c>
      <c r="J14" s="141">
        <f t="shared" si="2"/>
        <v>466966.77696535049</v>
      </c>
      <c r="K14" s="108">
        <f t="shared" si="3"/>
        <v>95538673.344688728</v>
      </c>
      <c r="L14" s="108">
        <f t="shared" si="4"/>
        <v>100019156.36151788</v>
      </c>
      <c r="M14" s="108">
        <f t="shared" si="5"/>
        <v>47966.885798053256</v>
      </c>
      <c r="N14" s="108">
        <f t="shared" si="6"/>
        <v>12500</v>
      </c>
      <c r="O14" s="108">
        <f t="shared" si="7"/>
        <v>60466.885798053256</v>
      </c>
      <c r="P14" s="108">
        <f t="shared" si="8"/>
        <v>24186.754319221305</v>
      </c>
      <c r="Q14" s="100">
        <f t="shared" si="9"/>
        <v>2.2333333333333333E-3</v>
      </c>
      <c r="R14" s="100">
        <f>20%</f>
        <v>0.2</v>
      </c>
      <c r="S14" s="108">
        <f t="shared" si="10"/>
        <v>44675.223174811319</v>
      </c>
      <c r="T14" s="108">
        <f t="shared" si="11"/>
        <v>355568.10086519603</v>
      </c>
      <c r="U14" s="108">
        <f t="shared" si="12"/>
        <v>2054.4848115646087</v>
      </c>
      <c r="V14" s="108">
        <f t="shared" si="13"/>
        <v>3551.5503523944462</v>
      </c>
      <c r="W14" s="108">
        <f t="shared" si="14"/>
        <v>361174.13602915511</v>
      </c>
      <c r="X14" s="108">
        <f t="shared" si="15"/>
        <v>-8395.0916959793685</v>
      </c>
      <c r="Y14" s="108">
        <f t="shared" si="16"/>
        <v>-2266.6747579144298</v>
      </c>
      <c r="Z14" s="108">
        <f t="shared" si="17"/>
        <v>-6128.4169380649382</v>
      </c>
      <c r="AA14" s="108">
        <f t="shared" si="18"/>
        <v>4323.0374944088107</v>
      </c>
      <c r="AB14" s="108">
        <f t="shared" si="19"/>
        <v>-10451.454432473749</v>
      </c>
      <c r="AC14" s="109">
        <f t="shared" si="20"/>
        <v>0.90827279223764934</v>
      </c>
      <c r="AD14" s="108">
        <f t="shared" si="21"/>
        <v>-5566.2743643327467</v>
      </c>
      <c r="AE14" s="108">
        <f t="shared" si="22"/>
        <v>328044.64101522131</v>
      </c>
      <c r="AF14" s="48">
        <f t="shared" si="23"/>
        <v>-1.6968039310462233E-2</v>
      </c>
      <c r="AG14" s="110"/>
    </row>
    <row r="15" spans="2:33" x14ac:dyDescent="0.4">
      <c r="E15" s="107">
        <v>11</v>
      </c>
      <c r="F15" s="107">
        <v>1</v>
      </c>
      <c r="G15" s="141">
        <f t="shared" si="24"/>
        <v>95538673.344688728</v>
      </c>
      <c r="H15" s="141">
        <f t="shared" si="0"/>
        <v>1454988.8889545999</v>
      </c>
      <c r="I15" s="141">
        <f t="shared" si="1"/>
        <v>983216.42035882547</v>
      </c>
      <c r="J15" s="141">
        <f t="shared" si="2"/>
        <v>471772.46859577438</v>
      </c>
      <c r="K15" s="108">
        <f t="shared" si="3"/>
        <v>95066900.876092955</v>
      </c>
      <c r="L15" s="108">
        <f t="shared" si="4"/>
        <v>99532668.036230445</v>
      </c>
      <c r="M15" s="108">
        <f t="shared" si="5"/>
        <v>47733.577192081779</v>
      </c>
      <c r="N15" s="108">
        <f t="shared" si="6"/>
        <v>12500</v>
      </c>
      <c r="O15" s="108">
        <f t="shared" si="7"/>
        <v>60233.577192081779</v>
      </c>
      <c r="P15" s="108">
        <f t="shared" si="8"/>
        <v>24093.430876832714</v>
      </c>
      <c r="Q15" s="100">
        <f t="shared" si="9"/>
        <v>2.2333333333333333E-3</v>
      </c>
      <c r="R15" s="100">
        <f>20%</f>
        <v>0.2</v>
      </c>
      <c r="S15" s="108">
        <f t="shared" si="10"/>
        <v>44457.925056182932</v>
      </c>
      <c r="T15" s="108">
        <f t="shared" si="11"/>
        <v>353838.63486879918</v>
      </c>
      <c r="U15" s="108">
        <f t="shared" si="12"/>
        <v>2046.557679531109</v>
      </c>
      <c r="V15" s="108">
        <f t="shared" si="13"/>
        <v>3537.8468640996789</v>
      </c>
      <c r="W15" s="108">
        <f t="shared" si="14"/>
        <v>359423.03941242996</v>
      </c>
      <c r="X15" s="108">
        <f t="shared" si="15"/>
        <v>-8317.7787409338707</v>
      </c>
      <c r="Y15" s="108">
        <f t="shared" si="16"/>
        <v>-2245.8002600521454</v>
      </c>
      <c r="Z15" s="108">
        <f t="shared" si="17"/>
        <v>-6071.9784808817258</v>
      </c>
      <c r="AA15" s="108">
        <f t="shared" si="18"/>
        <v>4302.0779195797204</v>
      </c>
      <c r="AB15" s="108">
        <f t="shared" si="19"/>
        <v>-10374.056400461446</v>
      </c>
      <c r="AC15" s="109">
        <f t="shared" si="20"/>
        <v>0.89957615553919423</v>
      </c>
      <c r="AD15" s="108">
        <f t="shared" si="21"/>
        <v>-5462.2070583483001</v>
      </c>
      <c r="AE15" s="108">
        <f t="shared" si="22"/>
        <v>323328.39600684604</v>
      </c>
      <c r="AF15" s="48">
        <f t="shared" si="23"/>
        <v>-1.6893681859704784E-2</v>
      </c>
      <c r="AG15" s="110"/>
    </row>
    <row r="16" spans="2:33" x14ac:dyDescent="0.4">
      <c r="B16" s="106" t="s">
        <v>87</v>
      </c>
      <c r="C16" s="106"/>
      <c r="E16" s="107">
        <v>12</v>
      </c>
      <c r="F16" s="107">
        <v>1</v>
      </c>
      <c r="G16" s="141">
        <f t="shared" si="24"/>
        <v>95066900.876092955</v>
      </c>
      <c r="H16" s="141">
        <f t="shared" si="0"/>
        <v>1454988.8889545999</v>
      </c>
      <c r="I16" s="141">
        <f t="shared" si="1"/>
        <v>978361.27195077646</v>
      </c>
      <c r="J16" s="141">
        <f t="shared" si="2"/>
        <v>476627.6170038234</v>
      </c>
      <c r="K16" s="108">
        <f t="shared" si="3"/>
        <v>94590273.259089127</v>
      </c>
      <c r="L16" s="108">
        <f t="shared" si="4"/>
        <v>99041173.117351234</v>
      </c>
      <c r="M16" s="108">
        <f t="shared" si="5"/>
        <v>47497.867539033025</v>
      </c>
      <c r="N16" s="108">
        <f t="shared" si="6"/>
        <v>12500</v>
      </c>
      <c r="O16" s="108">
        <f t="shared" si="7"/>
        <v>59997.867539033025</v>
      </c>
      <c r="P16" s="108">
        <f t="shared" si="8"/>
        <v>23999.147015613213</v>
      </c>
      <c r="Q16" s="100">
        <f t="shared" si="9"/>
        <v>2.2333333333333333E-3</v>
      </c>
      <c r="R16" s="100">
        <f>20%</f>
        <v>0.2</v>
      </c>
      <c r="S16" s="108">
        <f t="shared" si="10"/>
        <v>44238.390659083554</v>
      </c>
      <c r="T16" s="108">
        <f t="shared" si="11"/>
        <v>352091.37043218361</v>
      </c>
      <c r="U16" s="108">
        <f t="shared" si="12"/>
        <v>2038.5489670641703</v>
      </c>
      <c r="V16" s="108">
        <f t="shared" si="13"/>
        <v>3524.0023492003352</v>
      </c>
      <c r="W16" s="108">
        <f t="shared" si="14"/>
        <v>357653.92174844811</v>
      </c>
      <c r="X16" s="108">
        <f t="shared" si="15"/>
        <v>-8239.6701356637423</v>
      </c>
      <c r="Y16" s="108">
        <f t="shared" si="16"/>
        <v>-2224.7109366292107</v>
      </c>
      <c r="Z16" s="108">
        <f t="shared" si="17"/>
        <v>-6014.9591990345316</v>
      </c>
      <c r="AA16" s="108">
        <f t="shared" si="18"/>
        <v>4280.9026436380427</v>
      </c>
      <c r="AB16" s="108">
        <f t="shared" si="19"/>
        <v>-10295.861842672573</v>
      </c>
      <c r="AC16" s="109">
        <f t="shared" si="20"/>
        <v>0.89096278841625787</v>
      </c>
      <c r="AD16" s="108">
        <f t="shared" si="21"/>
        <v>-5359.1048201818276</v>
      </c>
      <c r="AE16" s="108">
        <f t="shared" si="22"/>
        <v>318656.33540900744</v>
      </c>
      <c r="AF16" s="48">
        <f t="shared" si="23"/>
        <v>-1.6817819778487109E-2</v>
      </c>
      <c r="AG16" s="110"/>
    </row>
    <row r="17" spans="2:33" x14ac:dyDescent="0.4">
      <c r="E17" s="107">
        <v>13</v>
      </c>
      <c r="F17" s="107">
        <v>2</v>
      </c>
      <c r="G17" s="141">
        <f t="shared" si="24"/>
        <v>94590273.259089127</v>
      </c>
      <c r="H17" s="141">
        <f t="shared" si="0"/>
        <v>1454988.8889545999</v>
      </c>
      <c r="I17" s="141">
        <f t="shared" si="1"/>
        <v>973456.15779094375</v>
      </c>
      <c r="J17" s="141">
        <f t="shared" si="2"/>
        <v>481532.73116365611</v>
      </c>
      <c r="K17" s="108">
        <f t="shared" si="3"/>
        <v>94108740.527925476</v>
      </c>
      <c r="L17" s="108">
        <f t="shared" si="4"/>
        <v>98544620.080561772</v>
      </c>
      <c r="M17" s="108">
        <f t="shared" si="5"/>
        <v>47259.7321290295</v>
      </c>
      <c r="N17" s="108">
        <f t="shared" si="6"/>
        <v>12500</v>
      </c>
      <c r="O17" s="108">
        <f t="shared" si="7"/>
        <v>59759.7321290295</v>
      </c>
      <c r="P17" s="108">
        <f t="shared" si="8"/>
        <v>23903.892851611803</v>
      </c>
      <c r="Q17" s="100">
        <f t="shared" si="9"/>
        <v>2.2333333333333333E-3</v>
      </c>
      <c r="R17" s="100">
        <f>20%</f>
        <v>0.2</v>
      </c>
      <c r="S17" s="108">
        <f t="shared" si="10"/>
        <v>44016.596969317594</v>
      </c>
      <c r="T17" s="108">
        <f t="shared" si="11"/>
        <v>350326.12438639707</v>
      </c>
      <c r="U17" s="108">
        <f t="shared" si="12"/>
        <v>2030.4578345956995</v>
      </c>
      <c r="V17" s="108">
        <f t="shared" si="13"/>
        <v>3510.0153563503932</v>
      </c>
      <c r="W17" s="108">
        <f t="shared" si="14"/>
        <v>355866.59757734317</v>
      </c>
      <c r="X17" s="108">
        <f t="shared" si="15"/>
        <v>-8160.7576918998966</v>
      </c>
      <c r="Y17" s="108">
        <f t="shared" si="16"/>
        <v>-2203.4045768129722</v>
      </c>
      <c r="Z17" s="108">
        <f t="shared" si="17"/>
        <v>-5957.3531150869239</v>
      </c>
      <c r="AA17" s="108">
        <f t="shared" si="18"/>
        <v>4259.5094467405606</v>
      </c>
      <c r="AB17" s="108">
        <f t="shared" si="19"/>
        <v>-10216.862561827485</v>
      </c>
      <c r="AC17" s="109">
        <f t="shared" si="20"/>
        <v>0.88243189356955709</v>
      </c>
      <c r="AD17" s="108">
        <f t="shared" si="21"/>
        <v>-5256.9583900086536</v>
      </c>
      <c r="AE17" s="108">
        <f t="shared" si="22"/>
        <v>314028.03555833048</v>
      </c>
      <c r="AF17" s="48">
        <f t="shared" si="23"/>
        <v>-1.6740411029422808E-2</v>
      </c>
      <c r="AG17" s="110"/>
    </row>
    <row r="18" spans="2:33" x14ac:dyDescent="0.4">
      <c r="B18" s="111" t="s">
        <v>88</v>
      </c>
      <c r="C18" s="112"/>
      <c r="E18" s="107">
        <v>14</v>
      </c>
      <c r="F18" s="107">
        <v>2</v>
      </c>
      <c r="G18" s="141">
        <f t="shared" si="24"/>
        <v>94108740.527925476</v>
      </c>
      <c r="H18" s="141">
        <f t="shared" si="0"/>
        <v>1454988.8889545999</v>
      </c>
      <c r="I18" s="141">
        <f t="shared" si="1"/>
        <v>968500.56366716733</v>
      </c>
      <c r="J18" s="141">
        <f t="shared" si="2"/>
        <v>486488.32528743253</v>
      </c>
      <c r="K18" s="108">
        <f t="shared" si="3"/>
        <v>93622252.202638045</v>
      </c>
      <c r="L18" s="108">
        <f t="shared" si="4"/>
        <v>98042956.871291801</v>
      </c>
      <c r="M18" s="108">
        <f t="shared" si="5"/>
        <v>47019.145997897169</v>
      </c>
      <c r="N18" s="108">
        <f t="shared" si="6"/>
        <v>12500</v>
      </c>
      <c r="O18" s="108">
        <f t="shared" si="7"/>
        <v>59519.145997897169</v>
      </c>
      <c r="P18" s="108">
        <f t="shared" si="8"/>
        <v>23807.65839915887</v>
      </c>
      <c r="Q18" s="100">
        <f t="shared" si="9"/>
        <v>2.2333333333333333E-3</v>
      </c>
      <c r="R18" s="100">
        <f>20%</f>
        <v>0.2</v>
      </c>
      <c r="S18" s="108">
        <f t="shared" si="10"/>
        <v>43792.520735843667</v>
      </c>
      <c r="T18" s="108">
        <f t="shared" si="11"/>
        <v>348542.7116774423</v>
      </c>
      <c r="U18" s="108">
        <f t="shared" si="12"/>
        <v>2022.2834339173635</v>
      </c>
      <c r="V18" s="108">
        <f t="shared" si="13"/>
        <v>3495.8844192676083</v>
      </c>
      <c r="W18" s="108">
        <f t="shared" si="14"/>
        <v>354060.87953062728</v>
      </c>
      <c r="X18" s="108">
        <f t="shared" si="15"/>
        <v>-8081.033137105369</v>
      </c>
      <c r="Y18" s="108">
        <f t="shared" si="16"/>
        <v>-2181.8789470184497</v>
      </c>
      <c r="Z18" s="108">
        <f t="shared" si="17"/>
        <v>-5899.1541900869197</v>
      </c>
      <c r="AA18" s="108">
        <f t="shared" si="18"/>
        <v>4237.8960861990035</v>
      </c>
      <c r="AB18" s="108">
        <f t="shared" si="19"/>
        <v>-10137.050276285923</v>
      </c>
      <c r="AC18" s="109">
        <f t="shared" si="20"/>
        <v>0.87398268133388302</v>
      </c>
      <c r="AD18" s="108">
        <f t="shared" si="21"/>
        <v>-5155.7585966541774</v>
      </c>
      <c r="AE18" s="108">
        <f t="shared" si="22"/>
        <v>309443.07684761059</v>
      </c>
      <c r="AF18" s="48">
        <f t="shared" si="23"/>
        <v>-1.666141200888201E-2</v>
      </c>
      <c r="AG18" s="110"/>
    </row>
    <row r="19" spans="2:33" x14ac:dyDescent="0.4">
      <c r="E19" s="107">
        <v>15</v>
      </c>
      <c r="F19" s="107">
        <v>2</v>
      </c>
      <c r="G19" s="141">
        <f t="shared" si="24"/>
        <v>93622252.202638045</v>
      </c>
      <c r="H19" s="141">
        <f t="shared" si="0"/>
        <v>1454988.8889545999</v>
      </c>
      <c r="I19" s="141">
        <f t="shared" si="1"/>
        <v>963493.97007537913</v>
      </c>
      <c r="J19" s="141">
        <f t="shared" si="2"/>
        <v>491494.91887922073</v>
      </c>
      <c r="K19" s="108">
        <f t="shared" si="3"/>
        <v>93130757.283758819</v>
      </c>
      <c r="L19" s="108">
        <f t="shared" si="4"/>
        <v>97536130.899262249</v>
      </c>
      <c r="M19" s="108">
        <f t="shared" si="5"/>
        <v>46776.083924548358</v>
      </c>
      <c r="N19" s="108">
        <f t="shared" si="6"/>
        <v>12500</v>
      </c>
      <c r="O19" s="108">
        <f t="shared" si="7"/>
        <v>59276.083924548358</v>
      </c>
      <c r="P19" s="108">
        <f t="shared" si="8"/>
        <v>23710.433569819346</v>
      </c>
      <c r="Q19" s="100">
        <f t="shared" si="9"/>
        <v>2.2333333333333333E-3</v>
      </c>
      <c r="R19" s="100">
        <f>20%</f>
        <v>0.2</v>
      </c>
      <c r="S19" s="108">
        <f t="shared" si="10"/>
        <v>43566.138468337136</v>
      </c>
      <c r="T19" s="108">
        <f t="shared" si="11"/>
        <v>346740.94534687727</v>
      </c>
      <c r="U19" s="108">
        <f t="shared" si="12"/>
        <v>2014.0249080916692</v>
      </c>
      <c r="V19" s="108">
        <f t="shared" si="13"/>
        <v>3481.6080565797934</v>
      </c>
      <c r="W19" s="108">
        <f t="shared" si="14"/>
        <v>352236.57831154874</v>
      </c>
      <c r="X19" s="108">
        <f t="shared" si="15"/>
        <v>-8000.488113608124</v>
      </c>
      <c r="Y19" s="108">
        <f t="shared" si="16"/>
        <v>-2160.1317906741938</v>
      </c>
      <c r="Z19" s="108">
        <f t="shared" si="17"/>
        <v>-5840.3563229339306</v>
      </c>
      <c r="AA19" s="108">
        <f t="shared" si="18"/>
        <v>4216.060296244942</v>
      </c>
      <c r="AB19" s="108">
        <f t="shared" si="19"/>
        <v>-10056.416619178872</v>
      </c>
      <c r="AC19" s="109">
        <f t="shared" si="20"/>
        <v>0.86561436960500604</v>
      </c>
      <c r="AD19" s="108">
        <f t="shared" si="21"/>
        <v>-5055.4963567450659</v>
      </c>
      <c r="AE19" s="108">
        <f t="shared" si="22"/>
        <v>304901.04368697561</v>
      </c>
      <c r="AF19" s="48">
        <f t="shared" si="23"/>
        <v>-1.6580777473281638E-2</v>
      </c>
      <c r="AG19" s="110"/>
    </row>
    <row r="20" spans="2:33" x14ac:dyDescent="0.4">
      <c r="B20" s="106" t="s">
        <v>89</v>
      </c>
      <c r="C20" s="106"/>
      <c r="E20" s="107">
        <v>16</v>
      </c>
      <c r="F20" s="107">
        <v>2</v>
      </c>
      <c r="G20" s="141">
        <f t="shared" si="24"/>
        <v>93130757.283758819</v>
      </c>
      <c r="H20" s="141">
        <f t="shared" si="0"/>
        <v>1454988.8889545999</v>
      </c>
      <c r="I20" s="141">
        <f t="shared" si="1"/>
        <v>958435.85216514289</v>
      </c>
      <c r="J20" s="141">
        <f t="shared" si="2"/>
        <v>496553.03678945696</v>
      </c>
      <c r="K20" s="108">
        <f t="shared" si="3"/>
        <v>92634204.246969357</v>
      </c>
      <c r="L20" s="108">
        <f t="shared" si="4"/>
        <v>97024089.032972097</v>
      </c>
      <c r="M20" s="108">
        <f t="shared" si="5"/>
        <v>46530.520428337833</v>
      </c>
      <c r="N20" s="108">
        <f t="shared" si="6"/>
        <v>12500</v>
      </c>
      <c r="O20" s="108">
        <f t="shared" si="7"/>
        <v>59030.520428337833</v>
      </c>
      <c r="P20" s="108">
        <f t="shared" si="8"/>
        <v>23612.208171335136</v>
      </c>
      <c r="Q20" s="100">
        <f t="shared" si="9"/>
        <v>2.2333333333333333E-3</v>
      </c>
      <c r="R20" s="100">
        <f>20%</f>
        <v>0.2</v>
      </c>
      <c r="S20" s="108">
        <f t="shared" si="10"/>
        <v>43337.426434727538</v>
      </c>
      <c r="T20" s="108">
        <f t="shared" si="11"/>
        <v>344920.63651221577</v>
      </c>
      <c r="U20" s="108">
        <f t="shared" si="12"/>
        <v>2005.6813913621295</v>
      </c>
      <c r="V20" s="108">
        <f t="shared" si="13"/>
        <v>3467.1847716695297</v>
      </c>
      <c r="W20" s="108">
        <f t="shared" si="14"/>
        <v>350393.50267524738</v>
      </c>
      <c r="X20" s="108">
        <f t="shared" si="15"/>
        <v>-7919.1141777248413</v>
      </c>
      <c r="Y20" s="108">
        <f t="shared" si="16"/>
        <v>-2138.1608279857073</v>
      </c>
      <c r="Z20" s="108">
        <f t="shared" si="17"/>
        <v>-5780.953349739134</v>
      </c>
      <c r="AA20" s="108">
        <f t="shared" si="18"/>
        <v>4193.9997877922578</v>
      </c>
      <c r="AB20" s="108">
        <f t="shared" si="19"/>
        <v>-9974.9531375313927</v>
      </c>
      <c r="AC20" s="109">
        <f t="shared" si="20"/>
        <v>0.85732618376727865</v>
      </c>
      <c r="AD20" s="108">
        <f t="shared" si="21"/>
        <v>-4956.1626738685181</v>
      </c>
      <c r="AE20" s="108">
        <f t="shared" si="22"/>
        <v>300401.52446541958</v>
      </c>
      <c r="AF20" s="48">
        <f t="shared" si="23"/>
        <v>-1.6498460461171999E-2</v>
      </c>
      <c r="AG20" s="110"/>
    </row>
    <row r="21" spans="2:33" x14ac:dyDescent="0.4">
      <c r="E21" s="107">
        <v>17</v>
      </c>
      <c r="F21" s="107">
        <v>2</v>
      </c>
      <c r="G21" s="141">
        <f t="shared" si="24"/>
        <v>92634204.246969357</v>
      </c>
      <c r="H21" s="141">
        <f t="shared" si="0"/>
        <v>1454988.8889545999</v>
      </c>
      <c r="I21" s="141">
        <f t="shared" si="1"/>
        <v>953325.67968463304</v>
      </c>
      <c r="J21" s="141">
        <f t="shared" si="2"/>
        <v>501663.20926996681</v>
      </c>
      <c r="K21" s="108">
        <f t="shared" si="3"/>
        <v>92132541.037699386</v>
      </c>
      <c r="L21" s="108">
        <f t="shared" si="4"/>
        <v>96506777.594128519</v>
      </c>
      <c r="M21" s="108">
        <f t="shared" si="5"/>
        <v>46282.429766391571</v>
      </c>
      <c r="N21" s="108">
        <f t="shared" si="6"/>
        <v>12500</v>
      </c>
      <c r="O21" s="108">
        <f t="shared" si="7"/>
        <v>58782.429766391571</v>
      </c>
      <c r="P21" s="108">
        <f t="shared" si="8"/>
        <v>23512.971906556631</v>
      </c>
      <c r="Q21" s="100">
        <f t="shared" si="9"/>
        <v>2.2333333333333333E-3</v>
      </c>
      <c r="R21" s="100">
        <f>20%</f>
        <v>0.2</v>
      </c>
      <c r="S21" s="108">
        <f t="shared" si="10"/>
        <v>43106.360658710735</v>
      </c>
      <c r="T21" s="108">
        <f t="shared" si="11"/>
        <v>343081.59434712684</v>
      </c>
      <c r="U21" s="108">
        <f t="shared" si="12"/>
        <v>1997.2520090625037</v>
      </c>
      <c r="V21" s="108">
        <f t="shared" si="13"/>
        <v>3452.6130525172694</v>
      </c>
      <c r="W21" s="108">
        <f t="shared" si="14"/>
        <v>348531.45940870664</v>
      </c>
      <c r="X21" s="108">
        <f t="shared" si="15"/>
        <v>-7836.9027988757953</v>
      </c>
      <c r="Y21" s="108">
        <f t="shared" si="16"/>
        <v>-2115.9637556964649</v>
      </c>
      <c r="Z21" s="108">
        <f t="shared" si="17"/>
        <v>-5720.9390431793308</v>
      </c>
      <c r="AA21" s="108">
        <f t="shared" si="18"/>
        <v>4171.7122481971819</v>
      </c>
      <c r="AB21" s="108">
        <f t="shared" si="19"/>
        <v>-9892.6512913765127</v>
      </c>
      <c r="AC21" s="109">
        <f t="shared" si="20"/>
        <v>0.84911735662193566</v>
      </c>
      <c r="AD21" s="108">
        <f t="shared" si="21"/>
        <v>-4857.748637739659</v>
      </c>
      <c r="AE21" s="108">
        <f t="shared" si="22"/>
        <v>295944.11151270644</v>
      </c>
      <c r="AF21" s="48">
        <f t="shared" si="23"/>
        <v>-1.6414412210837621E-2</v>
      </c>
      <c r="AG21" s="110"/>
    </row>
    <row r="22" spans="2:33" x14ac:dyDescent="0.4">
      <c r="B22" s="113" t="s">
        <v>14</v>
      </c>
      <c r="C22" s="114">
        <v>4.4999999999999998E-2</v>
      </c>
      <c r="E22" s="107">
        <v>18</v>
      </c>
      <c r="F22" s="107">
        <v>2</v>
      </c>
      <c r="G22" s="141">
        <f t="shared" si="24"/>
        <v>92132541.037699386</v>
      </c>
      <c r="H22" s="141">
        <f t="shared" si="0"/>
        <v>1454988.8889545999</v>
      </c>
      <c r="I22" s="141">
        <f t="shared" si="1"/>
        <v>948162.91692504776</v>
      </c>
      <c r="J22" s="141">
        <f t="shared" si="2"/>
        <v>506825.9720295521</v>
      </c>
      <c r="K22" s="108">
        <f t="shared" si="3"/>
        <v>91625715.065669835</v>
      </c>
      <c r="L22" s="108">
        <f t="shared" si="4"/>
        <v>95984142.352019683</v>
      </c>
      <c r="M22" s="108">
        <f t="shared" si="5"/>
        <v>46031.785930908089</v>
      </c>
      <c r="N22" s="108">
        <f t="shared" si="6"/>
        <v>12500</v>
      </c>
      <c r="O22" s="108">
        <f t="shared" si="7"/>
        <v>58531.785930908089</v>
      </c>
      <c r="P22" s="108">
        <f t="shared" si="8"/>
        <v>23412.714372363236</v>
      </c>
      <c r="Q22" s="100">
        <f t="shared" si="9"/>
        <v>2.2333333333333333E-3</v>
      </c>
      <c r="R22" s="100">
        <f>20%</f>
        <v>0.2</v>
      </c>
      <c r="S22" s="108">
        <f t="shared" si="10"/>
        <v>42872.91691723546</v>
      </c>
      <c r="T22" s="108">
        <f t="shared" si="11"/>
        <v>341223.62606142997</v>
      </c>
      <c r="U22" s="108">
        <f t="shared" si="12"/>
        <v>1988.7358775251046</v>
      </c>
      <c r="V22" s="108">
        <f t="shared" si="13"/>
        <v>3437.8913715428289</v>
      </c>
      <c r="W22" s="108">
        <f t="shared" si="14"/>
        <v>346650.25331049791</v>
      </c>
      <c r="X22" s="108">
        <f t="shared" si="15"/>
        <v>-7753.8453586906107</v>
      </c>
      <c r="Y22" s="108">
        <f t="shared" si="16"/>
        <v>-2093.538246846465</v>
      </c>
      <c r="Z22" s="108">
        <f t="shared" si="17"/>
        <v>-5660.3071118441458</v>
      </c>
      <c r="AA22" s="108">
        <f t="shared" si="18"/>
        <v>4149.1953410158485</v>
      </c>
      <c r="AB22" s="108">
        <f t="shared" si="19"/>
        <v>-9809.5024528599934</v>
      </c>
      <c r="AC22" s="109">
        <f t="shared" si="20"/>
        <v>0.84098712831607514</v>
      </c>
      <c r="AD22" s="108">
        <f t="shared" si="21"/>
        <v>-4760.2454233768649</v>
      </c>
      <c r="AE22" s="108">
        <f t="shared" si="22"/>
        <v>291528.40106163564</v>
      </c>
      <c r="AF22" s="48">
        <f t="shared" si="23"/>
        <v>-1.6328582073108007E-2</v>
      </c>
      <c r="AG22" s="110"/>
    </row>
    <row r="23" spans="2:33" x14ac:dyDescent="0.4">
      <c r="B23" s="113" t="s">
        <v>17</v>
      </c>
      <c r="C23" s="48">
        <v>3.3977023695682923E-2</v>
      </c>
      <c r="E23" s="107">
        <v>19</v>
      </c>
      <c r="F23" s="107">
        <v>2</v>
      </c>
      <c r="G23" s="141">
        <f t="shared" si="24"/>
        <v>91625715.065669835</v>
      </c>
      <c r="H23" s="141">
        <f t="shared" si="0"/>
        <v>1454988.8889545999</v>
      </c>
      <c r="I23" s="141">
        <f t="shared" si="1"/>
        <v>942947.02266444906</v>
      </c>
      <c r="J23" s="141">
        <f t="shared" si="2"/>
        <v>512041.86629015079</v>
      </c>
      <c r="K23" s="108">
        <f t="shared" si="3"/>
        <v>91113673.199379683</v>
      </c>
      <c r="L23" s="108">
        <f t="shared" si="4"/>
        <v>95456128.517829672</v>
      </c>
      <c r="M23" s="108">
        <f t="shared" si="5"/>
        <v>45778.562646432059</v>
      </c>
      <c r="N23" s="108">
        <f t="shared" si="6"/>
        <v>12500</v>
      </c>
      <c r="O23" s="108">
        <f t="shared" si="7"/>
        <v>58278.562646432059</v>
      </c>
      <c r="P23" s="108">
        <f t="shared" si="8"/>
        <v>23311.425058572826</v>
      </c>
      <c r="Q23" s="100">
        <f t="shared" si="9"/>
        <v>2.2333333333333333E-3</v>
      </c>
      <c r="R23" s="100">
        <f>20%</f>
        <v>0.2</v>
      </c>
      <c r="S23" s="108">
        <f t="shared" si="10"/>
        <v>42637.070737963921</v>
      </c>
      <c r="T23" s="108">
        <f t="shared" si="11"/>
        <v>339346.53688088449</v>
      </c>
      <c r="U23" s="108">
        <f t="shared" si="12"/>
        <v>1980.1321039881639</v>
      </c>
      <c r="V23" s="108">
        <f t="shared" si="13"/>
        <v>3423.018185445253</v>
      </c>
      <c r="W23" s="108">
        <f t="shared" si="14"/>
        <v>344749.68717031786</v>
      </c>
      <c r="X23" s="108">
        <f t="shared" si="15"/>
        <v>-7669.9331501046836</v>
      </c>
      <c r="Y23" s="108">
        <f t="shared" si="16"/>
        <v>-2070.8819505282645</v>
      </c>
      <c r="Z23" s="108">
        <f t="shared" si="17"/>
        <v>-5599.0511995764191</v>
      </c>
      <c r="AA23" s="108">
        <f t="shared" si="18"/>
        <v>4126.4467057593665</v>
      </c>
      <c r="AB23" s="108">
        <f t="shared" si="19"/>
        <v>-9725.4979053357856</v>
      </c>
      <c r="AC23" s="109">
        <f t="shared" si="20"/>
        <v>0.83293474627232422</v>
      </c>
      <c r="AD23" s="108">
        <f t="shared" si="21"/>
        <v>-4663.6442902849376</v>
      </c>
      <c r="AE23" s="108">
        <f t="shared" si="22"/>
        <v>287153.99321067188</v>
      </c>
      <c r="AF23" s="48">
        <f t="shared" si="23"/>
        <v>-1.6240917419049899E-2</v>
      </c>
      <c r="AG23" s="110"/>
    </row>
    <row r="24" spans="2:33" x14ac:dyDescent="0.4">
      <c r="B24" s="113" t="s">
        <v>20</v>
      </c>
      <c r="C24" s="48">
        <v>5.873546000460287E-2</v>
      </c>
      <c r="E24" s="107">
        <v>20</v>
      </c>
      <c r="F24" s="107">
        <v>2</v>
      </c>
      <c r="G24" s="141">
        <f t="shared" si="24"/>
        <v>91113673.199379683</v>
      </c>
      <c r="H24" s="141">
        <f t="shared" si="0"/>
        <v>1454988.8889545999</v>
      </c>
      <c r="I24" s="141">
        <f t="shared" si="1"/>
        <v>937677.45011102571</v>
      </c>
      <c r="J24" s="141">
        <f t="shared" si="2"/>
        <v>517311.43884357414</v>
      </c>
      <c r="K24" s="108">
        <f t="shared" si="3"/>
        <v>90596361.760536104</v>
      </c>
      <c r="L24" s="108">
        <f t="shared" si="4"/>
        <v>94922680.738894776</v>
      </c>
      <c r="M24" s="108">
        <f t="shared" si="5"/>
        <v>45522.733367099725</v>
      </c>
      <c r="N24" s="108">
        <f t="shared" si="6"/>
        <v>12500</v>
      </c>
      <c r="O24" s="108">
        <f t="shared" si="7"/>
        <v>58022.733367099725</v>
      </c>
      <c r="P24" s="108">
        <f t="shared" si="8"/>
        <v>23209.093346839891</v>
      </c>
      <c r="Q24" s="100">
        <f t="shared" si="9"/>
        <v>2.2333333333333333E-3</v>
      </c>
      <c r="R24" s="100">
        <f>20%</f>
        <v>0.2</v>
      </c>
      <c r="S24" s="108">
        <f t="shared" si="10"/>
        <v>42398.79739670633</v>
      </c>
      <c r="T24" s="108">
        <f t="shared" si="11"/>
        <v>337450.13002677087</v>
      </c>
      <c r="U24" s="108">
        <f t="shared" si="12"/>
        <v>1971.4397865022395</v>
      </c>
      <c r="V24" s="108">
        <f t="shared" si="13"/>
        <v>3407.9919350410223</v>
      </c>
      <c r="W24" s="108">
        <f t="shared" si="14"/>
        <v>342829.56174831412</v>
      </c>
      <c r="X24" s="108">
        <f t="shared" si="15"/>
        <v>-7585.1573764464993</v>
      </c>
      <c r="Y24" s="108">
        <f t="shared" si="16"/>
        <v>-2047.992491640555</v>
      </c>
      <c r="Z24" s="108">
        <f t="shared" si="17"/>
        <v>-5537.164884805944</v>
      </c>
      <c r="AA24" s="108">
        <f t="shared" si="18"/>
        <v>4103.4639576463633</v>
      </c>
      <c r="AB24" s="108">
        <f t="shared" si="19"/>
        <v>-9640.6288424523082</v>
      </c>
      <c r="AC24" s="109">
        <f t="shared" si="20"/>
        <v>0.82495946511917606</v>
      </c>
      <c r="AD24" s="108">
        <f t="shared" si="21"/>
        <v>-4567.9365816461959</v>
      </c>
      <c r="AE24" s="108">
        <f t="shared" si="22"/>
        <v>282820.49188693077</v>
      </c>
      <c r="AF24" s="48">
        <f t="shared" si="23"/>
        <v>-1.6151363542187807E-2</v>
      </c>
      <c r="AG24" s="110"/>
    </row>
    <row r="25" spans="2:33" x14ac:dyDescent="0.4">
      <c r="E25" s="107">
        <v>21</v>
      </c>
      <c r="F25" s="107">
        <v>2</v>
      </c>
      <c r="G25" s="141">
        <f t="shared" si="24"/>
        <v>90596361.760536104</v>
      </c>
      <c r="H25" s="141">
        <f t="shared" si="0"/>
        <v>1454988.8889545999</v>
      </c>
      <c r="I25" s="141">
        <f t="shared" si="1"/>
        <v>932353.64684577205</v>
      </c>
      <c r="J25" s="141">
        <f t="shared" si="2"/>
        <v>522635.24210882781</v>
      </c>
      <c r="K25" s="108">
        <f t="shared" si="3"/>
        <v>90073726.518427283</v>
      </c>
      <c r="L25" s="108">
        <f t="shared" si="4"/>
        <v>94383743.092900932</v>
      </c>
      <c r="M25" s="108">
        <f t="shared" si="5"/>
        <v>45264.271273856109</v>
      </c>
      <c r="N25" s="108">
        <f t="shared" si="6"/>
        <v>12500</v>
      </c>
      <c r="O25" s="108">
        <f t="shared" si="7"/>
        <v>57764.271273856109</v>
      </c>
      <c r="P25" s="108">
        <f t="shared" si="8"/>
        <v>23105.708509542445</v>
      </c>
      <c r="Q25" s="100">
        <f t="shared" si="9"/>
        <v>2.2333333333333333E-3</v>
      </c>
      <c r="R25" s="100">
        <f>20%</f>
        <v>0.2</v>
      </c>
      <c r="S25" s="108">
        <f t="shared" si="10"/>
        <v>42158.071914829081</v>
      </c>
      <c r="T25" s="108">
        <f t="shared" si="11"/>
        <v>335534.20669526281</v>
      </c>
      <c r="U25" s="108">
        <f t="shared" si="12"/>
        <v>1962.6580138356653</v>
      </c>
      <c r="V25" s="108">
        <f t="shared" si="13"/>
        <v>3392.811045100606</v>
      </c>
      <c r="W25" s="108">
        <f t="shared" si="14"/>
        <v>340889.6757541991</v>
      </c>
      <c r="X25" s="108">
        <f t="shared" si="15"/>
        <v>-7499.5091505154123</v>
      </c>
      <c r="Y25" s="108">
        <f t="shared" si="16"/>
        <v>-2024.8674706391614</v>
      </c>
      <c r="Z25" s="108">
        <f t="shared" si="17"/>
        <v>-5474.6416798762511</v>
      </c>
      <c r="AA25" s="108">
        <f t="shared" si="18"/>
        <v>4080.2446873529861</v>
      </c>
      <c r="AB25" s="108">
        <f t="shared" si="19"/>
        <v>-9554.8863672292373</v>
      </c>
      <c r="AC25" s="109">
        <f t="shared" si="20"/>
        <v>0.81706054662199368</v>
      </c>
      <c r="AD25" s="108">
        <f t="shared" si="21"/>
        <v>-4473.1137235192391</v>
      </c>
      <c r="AE25" s="108">
        <f t="shared" si="22"/>
        <v>278527.50480952009</v>
      </c>
      <c r="AF25" s="48">
        <f t="shared" si="23"/>
        <v>-1.6059863554869817E-2</v>
      </c>
      <c r="AG25" s="110"/>
    </row>
    <row r="26" spans="2:33" x14ac:dyDescent="0.4">
      <c r="B26" s="106" t="s">
        <v>12</v>
      </c>
      <c r="C26" s="106"/>
      <c r="E26" s="107">
        <v>22</v>
      </c>
      <c r="F26" s="107">
        <v>2</v>
      </c>
      <c r="G26" s="141">
        <f t="shared" si="24"/>
        <v>90073726.518427283</v>
      </c>
      <c r="H26" s="141">
        <f t="shared" si="0"/>
        <v>1454988.8889545999</v>
      </c>
      <c r="I26" s="141">
        <f t="shared" si="1"/>
        <v>926975.05476457719</v>
      </c>
      <c r="J26" s="141">
        <f t="shared" si="2"/>
        <v>528013.83419002267</v>
      </c>
      <c r="K26" s="108">
        <f t="shared" si="3"/>
        <v>89545712.684237257</v>
      </c>
      <c r="L26" s="108">
        <f t="shared" si="4"/>
        <v>93839259.082021117</v>
      </c>
      <c r="M26" s="108">
        <f t="shared" si="5"/>
        <v>45003.14927164348</v>
      </c>
      <c r="N26" s="108">
        <f t="shared" si="6"/>
        <v>12500</v>
      </c>
      <c r="O26" s="108">
        <f t="shared" si="7"/>
        <v>57503.14927164348</v>
      </c>
      <c r="P26" s="108">
        <f t="shared" si="8"/>
        <v>23001.259708657395</v>
      </c>
      <c r="Q26" s="100">
        <f t="shared" si="9"/>
        <v>2.2333333333333333E-3</v>
      </c>
      <c r="R26" s="100">
        <f>20%</f>
        <v>0.2</v>
      </c>
      <c r="S26" s="108">
        <f t="shared" si="10"/>
        <v>41914.869056636097</v>
      </c>
      <c r="T26" s="108">
        <f t="shared" si="11"/>
        <v>333598.56603658502</v>
      </c>
      <c r="U26" s="108">
        <f t="shared" si="12"/>
        <v>1953.7858653790227</v>
      </c>
      <c r="V26" s="108">
        <f t="shared" si="13"/>
        <v>3377.4739241833245</v>
      </c>
      <c r="W26" s="108">
        <f t="shared" si="14"/>
        <v>338929.8258261474</v>
      </c>
      <c r="X26" s="108">
        <f t="shared" si="15"/>
        <v>-7412.9794936500111</v>
      </c>
      <c r="Y26" s="108">
        <f t="shared" si="16"/>
        <v>-2001.5044632855031</v>
      </c>
      <c r="Z26" s="108">
        <f t="shared" si="17"/>
        <v>-5411.4750303645078</v>
      </c>
      <c r="AA26" s="108">
        <f t="shared" si="18"/>
        <v>4056.7864607603215</v>
      </c>
      <c r="AB26" s="108">
        <f t="shared" si="19"/>
        <v>-9468.2614911248293</v>
      </c>
      <c r="AC26" s="109">
        <f t="shared" si="20"/>
        <v>0.80923725961467652</v>
      </c>
      <c r="AD26" s="108">
        <f t="shared" si="21"/>
        <v>-4379.1672240454227</v>
      </c>
      <c r="AE26" s="108">
        <f t="shared" si="22"/>
        <v>274274.64345323114</v>
      </c>
      <c r="AF26" s="48">
        <f t="shared" si="23"/>
        <v>-1.5966358278366156E-2</v>
      </c>
      <c r="AG26" s="110"/>
    </row>
    <row r="27" spans="2:33" x14ac:dyDescent="0.4">
      <c r="D27" s="115">
        <v>1.3920062094741E-2</v>
      </c>
      <c r="E27" s="107">
        <v>23</v>
      </c>
      <c r="F27" s="107">
        <v>2</v>
      </c>
      <c r="G27" s="141">
        <f t="shared" si="24"/>
        <v>89545712.684237257</v>
      </c>
      <c r="H27" s="141">
        <f t="shared" si="0"/>
        <v>1454988.8889545999</v>
      </c>
      <c r="I27" s="141">
        <f t="shared" si="1"/>
        <v>921541.11001971725</v>
      </c>
      <c r="J27" s="141">
        <f t="shared" si="2"/>
        <v>533447.7789348826</v>
      </c>
      <c r="K27" s="108">
        <f t="shared" si="3"/>
        <v>89012264.905302376</v>
      </c>
      <c r="L27" s="108">
        <f t="shared" si="4"/>
        <v>93289171.626992673</v>
      </c>
      <c r="M27" s="108">
        <f t="shared" si="5"/>
        <v>44739.339986560932</v>
      </c>
      <c r="N27" s="108">
        <f t="shared" si="6"/>
        <v>12500</v>
      </c>
      <c r="O27" s="108">
        <f t="shared" si="7"/>
        <v>57239.339986560932</v>
      </c>
      <c r="P27" s="108">
        <f t="shared" si="8"/>
        <v>22895.735994624374</v>
      </c>
      <c r="Q27" s="100">
        <f t="shared" si="9"/>
        <v>2.2333333333333333E-3</v>
      </c>
      <c r="R27" s="100">
        <f>20%</f>
        <v>0.2</v>
      </c>
      <c r="S27" s="108">
        <f t="shared" si="10"/>
        <v>41669.163326723392</v>
      </c>
      <c r="T27" s="108">
        <f t="shared" si="11"/>
        <v>331643.00513395888</v>
      </c>
      <c r="U27" s="108">
        <f t="shared" si="12"/>
        <v>1944.8224110486319</v>
      </c>
      <c r="V27" s="108">
        <f t="shared" si="13"/>
        <v>3361.9789644705152</v>
      </c>
      <c r="W27" s="108">
        <f t="shared" si="14"/>
        <v>336949.80650947802</v>
      </c>
      <c r="X27" s="108">
        <f t="shared" si="15"/>
        <v>-7325.5593347868344</v>
      </c>
      <c r="Y27" s="108">
        <f t="shared" si="16"/>
        <v>-1977.9010203924454</v>
      </c>
      <c r="Z27" s="108">
        <f t="shared" si="17"/>
        <v>-5347.658314394389</v>
      </c>
      <c r="AA27" s="108">
        <f t="shared" si="18"/>
        <v>4033.0868186992284</v>
      </c>
      <c r="AB27" s="108">
        <f t="shared" si="19"/>
        <v>-9380.7451330936165</v>
      </c>
      <c r="AC27" s="109">
        <f t="shared" si="20"/>
        <v>0.80148887993197793</v>
      </c>
      <c r="AD27" s="108">
        <f t="shared" si="21"/>
        <v>-4286.0886726628878</v>
      </c>
      <c r="AE27" s="108">
        <f t="shared" si="22"/>
        <v>270061.5230125782</v>
      </c>
      <c r="AF27" s="48">
        <f t="shared" si="23"/>
        <v>-1.5870786126253394E-2</v>
      </c>
      <c r="AG27" s="110"/>
    </row>
    <row r="28" spans="2:33" x14ac:dyDescent="0.4">
      <c r="B28" s="113" t="s">
        <v>15</v>
      </c>
      <c r="C28" s="114">
        <v>0.94799999999999995</v>
      </c>
      <c r="D28" s="115"/>
      <c r="E28" s="107">
        <v>24</v>
      </c>
      <c r="F28" s="107">
        <v>2</v>
      </c>
      <c r="G28" s="141">
        <f t="shared" si="24"/>
        <v>89012264.905302376</v>
      </c>
      <c r="H28" s="141">
        <f t="shared" si="0"/>
        <v>1454988.8889545999</v>
      </c>
      <c r="I28" s="141">
        <f t="shared" si="1"/>
        <v>916051.2429607471</v>
      </c>
      <c r="J28" s="141">
        <f t="shared" si="2"/>
        <v>538937.64599385276</v>
      </c>
      <c r="K28" s="108">
        <f t="shared" si="3"/>
        <v>88473327.259308517</v>
      </c>
      <c r="L28" s="108">
        <f t="shared" si="4"/>
        <v>92733423.061133593</v>
      </c>
      <c r="M28" s="108">
        <f t="shared" si="5"/>
        <v>44472.815762994789</v>
      </c>
      <c r="N28" s="108">
        <f t="shared" si="6"/>
        <v>12500</v>
      </c>
      <c r="O28" s="108">
        <f t="shared" si="7"/>
        <v>56972.815762994789</v>
      </c>
      <c r="P28" s="108">
        <f t="shared" si="8"/>
        <v>22789.126305197919</v>
      </c>
      <c r="Q28" s="100">
        <f t="shared" si="9"/>
        <v>2.2333333333333333E-3</v>
      </c>
      <c r="R28" s="100">
        <f>20%</f>
        <v>0.2</v>
      </c>
      <c r="S28" s="108">
        <f t="shared" si="10"/>
        <v>41420.928967306339</v>
      </c>
      <c r="T28" s="108">
        <f t="shared" si="11"/>
        <v>329667.31898232992</v>
      </c>
      <c r="U28" s="108">
        <f t="shared" si="12"/>
        <v>1935.7667111890514</v>
      </c>
      <c r="V28" s="108">
        <f t="shared" si="13"/>
        <v>3346.3245415969882</v>
      </c>
      <c r="W28" s="108">
        <f t="shared" si="14"/>
        <v>334949.41023511597</v>
      </c>
      <c r="X28" s="108">
        <f t="shared" si="15"/>
        <v>-7237.2395095094689</v>
      </c>
      <c r="Y28" s="108">
        <f t="shared" si="16"/>
        <v>-1954.0546675675566</v>
      </c>
      <c r="Z28" s="108">
        <f t="shared" si="17"/>
        <v>-5283.1848419419121</v>
      </c>
      <c r="AA28" s="108">
        <f t="shared" si="18"/>
        <v>4009.1432766925418</v>
      </c>
      <c r="AB28" s="108">
        <f t="shared" si="19"/>
        <v>-9292.3281186344539</v>
      </c>
      <c r="AC28" s="109">
        <f t="shared" si="20"/>
        <v>0.79381469034247365</v>
      </c>
      <c r="AD28" s="108">
        <f t="shared" si="21"/>
        <v>-4193.8697393281691</v>
      </c>
      <c r="AE28" s="108">
        <f t="shared" si="22"/>
        <v>265887.76236618275</v>
      </c>
      <c r="AF28" s="48">
        <f t="shared" si="23"/>
        <v>-1.5773082980601184E-2</v>
      </c>
      <c r="AG28" s="110"/>
    </row>
    <row r="29" spans="2:33" x14ac:dyDescent="0.4">
      <c r="B29" s="113" t="s">
        <v>18</v>
      </c>
      <c r="C29" s="48">
        <v>0.56399999999999995</v>
      </c>
      <c r="E29" s="107">
        <v>25</v>
      </c>
      <c r="F29" s="107">
        <v>3</v>
      </c>
      <c r="G29" s="141">
        <f t="shared" si="24"/>
        <v>88473327.259308517</v>
      </c>
      <c r="H29" s="141">
        <f t="shared" si="0"/>
        <v>1454988.8889545999</v>
      </c>
      <c r="I29" s="141">
        <f t="shared" si="1"/>
        <v>910504.87807478174</v>
      </c>
      <c r="J29" s="141">
        <f t="shared" si="2"/>
        <v>544484.01087981812</v>
      </c>
      <c r="K29" s="108">
        <f t="shared" si="3"/>
        <v>87928843.248428702</v>
      </c>
      <c r="L29" s="108">
        <f t="shared" si="4"/>
        <v>92171955.124297142</v>
      </c>
      <c r="M29" s="108">
        <f t="shared" si="5"/>
        <v>44203.548660719323</v>
      </c>
      <c r="N29" s="108">
        <f t="shared" si="6"/>
        <v>12500</v>
      </c>
      <c r="O29" s="108">
        <f t="shared" si="7"/>
        <v>56703.548660719323</v>
      </c>
      <c r="P29" s="108">
        <f t="shared" si="8"/>
        <v>22681.41946428773</v>
      </c>
      <c r="Q29" s="100">
        <f t="shared" si="9"/>
        <v>2.2333333333333333E-3</v>
      </c>
      <c r="R29" s="100">
        <f>20%</f>
        <v>0.2</v>
      </c>
      <c r="S29" s="108">
        <f t="shared" si="10"/>
        <v>41170.139955519393</v>
      </c>
      <c r="T29" s="108">
        <f t="shared" si="11"/>
        <v>327671.3004668763</v>
      </c>
      <c r="U29" s="108">
        <f t="shared" si="12"/>
        <v>1926.6178164745702</v>
      </c>
      <c r="V29" s="108">
        <f t="shared" si="13"/>
        <v>3330.5090144807323</v>
      </c>
      <c r="W29" s="108">
        <f t="shared" si="14"/>
        <v>332928.42729783163</v>
      </c>
      <c r="X29" s="108">
        <f t="shared" si="15"/>
        <v>-7148.0107590878033</v>
      </c>
      <c r="Y29" s="108">
        <f t="shared" si="16"/>
        <v>-1929.962904953707</v>
      </c>
      <c r="Z29" s="108">
        <f t="shared" si="17"/>
        <v>-5218.0478541340963</v>
      </c>
      <c r="AA29" s="108">
        <f t="shared" si="18"/>
        <v>3984.9533246946075</v>
      </c>
      <c r="AB29" s="108">
        <f t="shared" si="19"/>
        <v>-9203.0011788287047</v>
      </c>
      <c r="AC29" s="109">
        <f t="shared" si="20"/>
        <v>0.78621398048217117</v>
      </c>
      <c r="AD29" s="108">
        <f t="shared" si="21"/>
        <v>-4102.5021737452198</v>
      </c>
      <c r="AE29" s="108">
        <f t="shared" si="22"/>
        <v>261752.98404149734</v>
      </c>
      <c r="AF29" s="48">
        <f t="shared" si="23"/>
        <v>-1.5673182060437652E-2</v>
      </c>
      <c r="AG29" s="110"/>
    </row>
    <row r="30" spans="2:33" x14ac:dyDescent="0.4">
      <c r="B30" s="113" t="s">
        <v>21</v>
      </c>
      <c r="C30" s="48">
        <v>0.65200000000000002</v>
      </c>
      <c r="E30" s="107">
        <v>26</v>
      </c>
      <c r="F30" s="107">
        <v>3</v>
      </c>
      <c r="G30" s="141">
        <f t="shared" si="24"/>
        <v>87928843.248428702</v>
      </c>
      <c r="H30" s="141">
        <f t="shared" si="0"/>
        <v>1454988.8889545999</v>
      </c>
      <c r="I30" s="141">
        <f t="shared" si="1"/>
        <v>904901.43392616545</v>
      </c>
      <c r="J30" s="141">
        <f t="shared" si="2"/>
        <v>550087.4550284344</v>
      </c>
      <c r="K30" s="108">
        <f t="shared" si="3"/>
        <v>87378755.793400273</v>
      </c>
      <c r="L30" s="108">
        <f t="shared" si="4"/>
        <v>91604708.956764415</v>
      </c>
      <c r="M30" s="108">
        <f t="shared" si="5"/>
        <v>43931.510451967799</v>
      </c>
      <c r="N30" s="108">
        <f t="shared" si="6"/>
        <v>12500</v>
      </c>
      <c r="O30" s="108">
        <f t="shared" si="7"/>
        <v>56431.510451967799</v>
      </c>
      <c r="P30" s="108">
        <f t="shared" si="8"/>
        <v>22572.604180787122</v>
      </c>
      <c r="Q30" s="100">
        <f t="shared" si="9"/>
        <v>2.2333333333333333E-3</v>
      </c>
      <c r="R30" s="100">
        <f>20%</f>
        <v>0.2</v>
      </c>
      <c r="S30" s="108">
        <f t="shared" si="10"/>
        <v>40916.770000688106</v>
      </c>
      <c r="T30" s="108">
        <f t="shared" si="11"/>
        <v>325654.74034129747</v>
      </c>
      <c r="U30" s="108">
        <f t="shared" si="12"/>
        <v>1917.3747678096884</v>
      </c>
      <c r="V30" s="108">
        <f t="shared" si="13"/>
        <v>3314.5307251508834</v>
      </c>
      <c r="W30" s="108">
        <f t="shared" si="14"/>
        <v>330886.64583425806</v>
      </c>
      <c r="X30" s="108">
        <f t="shared" si="15"/>
        <v>-7057.8637295074295</v>
      </c>
      <c r="Y30" s="108">
        <f t="shared" si="16"/>
        <v>-1905.6232069670061</v>
      </c>
      <c r="Z30" s="108">
        <f t="shared" si="17"/>
        <v>-5152.2405225404236</v>
      </c>
      <c r="AA30" s="108">
        <f t="shared" si="18"/>
        <v>3960.5144268281642</v>
      </c>
      <c r="AB30" s="108">
        <f t="shared" si="19"/>
        <v>-9112.7549493685874</v>
      </c>
      <c r="AC30" s="109">
        <f t="shared" si="20"/>
        <v>0.77868604678875442</v>
      </c>
      <c r="AD30" s="108">
        <f t="shared" si="21"/>
        <v>-4011.9778046018287</v>
      </c>
      <c r="AE30" s="108">
        <f t="shared" si="22"/>
        <v>257656.81417986908</v>
      </c>
      <c r="AF30" s="48">
        <f t="shared" si="23"/>
        <v>-1.5571013781925771E-2</v>
      </c>
      <c r="AG30" s="110"/>
    </row>
    <row r="31" spans="2:33" x14ac:dyDescent="0.4">
      <c r="B31" s="116"/>
      <c r="C31" s="117"/>
      <c r="E31" s="107">
        <v>27</v>
      </c>
      <c r="F31" s="107">
        <v>3</v>
      </c>
      <c r="G31" s="141">
        <f t="shared" si="24"/>
        <v>87378755.793400273</v>
      </c>
      <c r="H31" s="141">
        <f t="shared" si="0"/>
        <v>1454988.8889545999</v>
      </c>
      <c r="I31" s="141">
        <f t="shared" si="1"/>
        <v>899240.32309551747</v>
      </c>
      <c r="J31" s="141">
        <f t="shared" si="2"/>
        <v>555748.56585908239</v>
      </c>
      <c r="K31" s="108">
        <f t="shared" si="3"/>
        <v>86823007.227541193</v>
      </c>
      <c r="L31" s="108">
        <f t="shared" si="4"/>
        <v>91031625.093073905</v>
      </c>
      <c r="M31" s="108">
        <f t="shared" si="5"/>
        <v>43656.672618473276</v>
      </c>
      <c r="N31" s="108">
        <f t="shared" si="6"/>
        <v>12500</v>
      </c>
      <c r="O31" s="108">
        <f t="shared" si="7"/>
        <v>56156.672618473276</v>
      </c>
      <c r="P31" s="108">
        <f t="shared" si="8"/>
        <v>22462.66904738931</v>
      </c>
      <c r="Q31" s="100">
        <f t="shared" si="9"/>
        <v>2.2333333333333333E-3</v>
      </c>
      <c r="R31" s="100">
        <f>20%</f>
        <v>0.2</v>
      </c>
      <c r="S31" s="108">
        <f t="shared" si="10"/>
        <v>40660.792541573013</v>
      </c>
      <c r="T31" s="108">
        <f t="shared" si="11"/>
        <v>323617.42720587767</v>
      </c>
      <c r="U31" s="108">
        <f t="shared" si="12"/>
        <v>1908.0365962285748</v>
      </c>
      <c r="V31" s="108">
        <f t="shared" si="13"/>
        <v>3298.387998573914</v>
      </c>
      <c r="W31" s="108">
        <f t="shared" si="14"/>
        <v>328823.85180068016</v>
      </c>
      <c r="X31" s="108">
        <f t="shared" si="15"/>
        <v>-6966.7889704890476</v>
      </c>
      <c r="Y31" s="108">
        <f t="shared" si="16"/>
        <v>-1881.0330220320429</v>
      </c>
      <c r="Z31" s="108">
        <f t="shared" si="17"/>
        <v>-5085.7559484570047</v>
      </c>
      <c r="AA31" s="108">
        <f t="shared" si="18"/>
        <v>3935.8240211184925</v>
      </c>
      <c r="AB31" s="108">
        <f t="shared" si="19"/>
        <v>-9021.5799695754977</v>
      </c>
      <c r="AC31" s="109">
        <f t="shared" si="20"/>
        <v>0.7712301924364573</v>
      </c>
      <c r="AD31" s="108">
        <f t="shared" si="21"/>
        <v>-3922.2885388133532</v>
      </c>
      <c r="AE31" s="108">
        <f t="shared" si="22"/>
        <v>253598.88250193567</v>
      </c>
      <c r="AF31" s="48">
        <f t="shared" si="23"/>
        <v>-1.5466505609634992E-2</v>
      </c>
      <c r="AG31" s="110"/>
    </row>
    <row r="32" spans="2:33" x14ac:dyDescent="0.4">
      <c r="B32" s="106" t="s">
        <v>90</v>
      </c>
      <c r="C32" s="106"/>
      <c r="E32" s="107">
        <v>28</v>
      </c>
      <c r="F32" s="107">
        <v>3</v>
      </c>
      <c r="G32" s="141">
        <f t="shared" si="24"/>
        <v>86823007.227541193</v>
      </c>
      <c r="H32" s="141">
        <f t="shared" si="0"/>
        <v>1454988.8889545999</v>
      </c>
      <c r="I32" s="141">
        <f t="shared" si="1"/>
        <v>893520.9521181531</v>
      </c>
      <c r="J32" s="141">
        <f t="shared" si="2"/>
        <v>561467.93683644675</v>
      </c>
      <c r="K32" s="108">
        <f t="shared" si="3"/>
        <v>86261539.290704742</v>
      </c>
      <c r="L32" s="108">
        <f t="shared" si="4"/>
        <v>90452643.455787674</v>
      </c>
      <c r="M32" s="108">
        <f t="shared" si="5"/>
        <v>43379.006348478979</v>
      </c>
      <c r="N32" s="108">
        <f t="shared" si="6"/>
        <v>12500</v>
      </c>
      <c r="O32" s="108">
        <f t="shared" si="7"/>
        <v>55879.006348478979</v>
      </c>
      <c r="P32" s="108">
        <f t="shared" si="8"/>
        <v>22351.602539391592</v>
      </c>
      <c r="Q32" s="100">
        <f t="shared" si="9"/>
        <v>2.2333333333333333E-3</v>
      </c>
      <c r="R32" s="100">
        <f>20%</f>
        <v>0.2</v>
      </c>
      <c r="S32" s="108">
        <f t="shared" si="10"/>
        <v>40402.180743585159</v>
      </c>
      <c r="T32" s="108">
        <f t="shared" si="11"/>
        <v>321559.14748532517</v>
      </c>
      <c r="U32" s="108">
        <f t="shared" si="12"/>
        <v>1898.6023227934868</v>
      </c>
      <c r="V32" s="108">
        <f t="shared" si="13"/>
        <v>3282.0791424780368</v>
      </c>
      <c r="W32" s="108">
        <f t="shared" si="14"/>
        <v>326739.82895059674</v>
      </c>
      <c r="X32" s="108">
        <f t="shared" si="15"/>
        <v>-6874.7769344977714</v>
      </c>
      <c r="Y32" s="108">
        <f t="shared" si="16"/>
        <v>-1856.1897723143984</v>
      </c>
      <c r="Z32" s="108">
        <f t="shared" si="17"/>
        <v>-5018.587162183373</v>
      </c>
      <c r="AA32" s="108">
        <f t="shared" si="18"/>
        <v>3910.8795192248458</v>
      </c>
      <c r="AB32" s="108">
        <f t="shared" si="19"/>
        <v>-8929.4666814082193</v>
      </c>
      <c r="AC32" s="109">
        <f t="shared" si="20"/>
        <v>0.76384572727156386</v>
      </c>
      <c r="AD32" s="108">
        <f t="shared" si="21"/>
        <v>-3833.4263607736925</v>
      </c>
      <c r="AE32" s="108">
        <f t="shared" si="22"/>
        <v>249578.82227335495</v>
      </c>
      <c r="AF32" s="48">
        <f t="shared" si="23"/>
        <v>-1.5359581898239246E-2</v>
      </c>
      <c r="AG32" s="110"/>
    </row>
    <row r="33" spans="2:33" x14ac:dyDescent="0.4">
      <c r="E33" s="107">
        <v>29</v>
      </c>
      <c r="F33" s="107">
        <v>3</v>
      </c>
      <c r="G33" s="141">
        <f t="shared" si="24"/>
        <v>86261539.290704742</v>
      </c>
      <c r="H33" s="141">
        <f t="shared" si="0"/>
        <v>1454988.8889545999</v>
      </c>
      <c r="I33" s="141">
        <f t="shared" si="1"/>
        <v>887742.72142186842</v>
      </c>
      <c r="J33" s="141">
        <f t="shared" si="2"/>
        <v>567246.16753273143</v>
      </c>
      <c r="K33" s="108">
        <f t="shared" si="3"/>
        <v>85694293.123172015</v>
      </c>
      <c r="L33" s="108">
        <f t="shared" si="4"/>
        <v>89867703.349193275</v>
      </c>
      <c r="M33" s="108">
        <f t="shared" si="5"/>
        <v>43098.482533717935</v>
      </c>
      <c r="N33" s="108">
        <f t="shared" si="6"/>
        <v>12500</v>
      </c>
      <c r="O33" s="108">
        <f t="shared" si="7"/>
        <v>55598.482533717935</v>
      </c>
      <c r="P33" s="108">
        <f t="shared" si="8"/>
        <v>22239.393013487177</v>
      </c>
      <c r="Q33" s="100">
        <f t="shared" si="9"/>
        <v>2.2333333333333333E-3</v>
      </c>
      <c r="R33" s="100">
        <f>20%</f>
        <v>0.2</v>
      </c>
      <c r="S33" s="108">
        <f t="shared" si="10"/>
        <v>40140.907495972999</v>
      </c>
      <c r="T33" s="108">
        <f t="shared" si="11"/>
        <v>319479.68540638208</v>
      </c>
      <c r="U33" s="108">
        <f t="shared" si="12"/>
        <v>1889.0709584921474</v>
      </c>
      <c r="V33" s="108">
        <f t="shared" si="13"/>
        <v>3265.602447175801</v>
      </c>
      <c r="W33" s="108">
        <f t="shared" si="14"/>
        <v>324634.35881205008</v>
      </c>
      <c r="X33" s="108">
        <f t="shared" si="15"/>
        <v>-6781.8179757422404</v>
      </c>
      <c r="Y33" s="108">
        <f t="shared" si="16"/>
        <v>-1831.0908534504051</v>
      </c>
      <c r="Z33" s="108">
        <f t="shared" si="17"/>
        <v>-4950.7271222918353</v>
      </c>
      <c r="AA33" s="108">
        <f t="shared" si="18"/>
        <v>3885.6783061691012</v>
      </c>
      <c r="AB33" s="108">
        <f t="shared" si="19"/>
        <v>-8836.4054284609374</v>
      </c>
      <c r="AC33" s="109">
        <f t="shared" si="20"/>
        <v>0.75653196774852183</v>
      </c>
      <c r="AD33" s="108">
        <f t="shared" si="21"/>
        <v>-3745.3833316134192</v>
      </c>
      <c r="AE33" s="108">
        <f t="shared" si="22"/>
        <v>245596.27027085994</v>
      </c>
      <c r="AF33" s="48">
        <f t="shared" si="23"/>
        <v>-1.5250163723914701E-2</v>
      </c>
      <c r="AG33" s="110"/>
    </row>
    <row r="34" spans="2:33" x14ac:dyDescent="0.4">
      <c r="B34" s="111" t="s">
        <v>16</v>
      </c>
      <c r="C34" s="118">
        <v>0.27</v>
      </c>
      <c r="E34" s="107">
        <v>30</v>
      </c>
      <c r="F34" s="107">
        <v>3</v>
      </c>
      <c r="G34" s="141">
        <f t="shared" si="24"/>
        <v>85694293.123172015</v>
      </c>
      <c r="H34" s="141">
        <f t="shared" si="0"/>
        <v>1454988.8889545999</v>
      </c>
      <c r="I34" s="141">
        <f t="shared" si="1"/>
        <v>881905.02526408737</v>
      </c>
      <c r="J34" s="141">
        <f t="shared" si="2"/>
        <v>573083.86369051249</v>
      </c>
      <c r="K34" s="108">
        <f t="shared" si="3"/>
        <v>85121209.259481505</v>
      </c>
      <c r="L34" s="108">
        <f t="shared" si="4"/>
        <v>89276743.452940971</v>
      </c>
      <c r="M34" s="108">
        <f t="shared" si="5"/>
        <v>42815.071766361478</v>
      </c>
      <c r="N34" s="108">
        <f t="shared" si="6"/>
        <v>12500</v>
      </c>
      <c r="O34" s="108">
        <f t="shared" si="7"/>
        <v>55315.071766361478</v>
      </c>
      <c r="P34" s="108">
        <f t="shared" si="8"/>
        <v>22126.028706544592</v>
      </c>
      <c r="Q34" s="100">
        <f t="shared" si="9"/>
        <v>2.2333333333333333E-3</v>
      </c>
      <c r="R34" s="100">
        <f>20%</f>
        <v>0.2</v>
      </c>
      <c r="S34" s="108">
        <f t="shared" si="10"/>
        <v>39876.945408980297</v>
      </c>
      <c r="T34" s="108">
        <f t="shared" si="11"/>
        <v>317378.82297520514</v>
      </c>
      <c r="U34" s="108">
        <f t="shared" si="12"/>
        <v>1879.4415041340653</v>
      </c>
      <c r="V34" s="108">
        <f t="shared" si="13"/>
        <v>3248.9561853848618</v>
      </c>
      <c r="W34" s="108">
        <f t="shared" si="14"/>
        <v>322507.22066472407</v>
      </c>
      <c r="X34" s="108">
        <f t="shared" si="15"/>
        <v>-6687.9023491634071</v>
      </c>
      <c r="Y34" s="108">
        <f t="shared" si="16"/>
        <v>-1805.73363427412</v>
      </c>
      <c r="Z34" s="108">
        <f t="shared" si="17"/>
        <v>-4882.168714889287</v>
      </c>
      <c r="AA34" s="108">
        <f t="shared" si="18"/>
        <v>3860.2177400616338</v>
      </c>
      <c r="AB34" s="108">
        <f t="shared" si="19"/>
        <v>-8742.3864549509199</v>
      </c>
      <c r="AC34" s="109">
        <f t="shared" si="20"/>
        <v>0.74928823686667168</v>
      </c>
      <c r="AD34" s="108">
        <f t="shared" si="21"/>
        <v>-3658.151588465018</v>
      </c>
      <c r="AE34" s="108">
        <f t="shared" si="22"/>
        <v>241650.86674864171</v>
      </c>
      <c r="AF34" s="48">
        <f t="shared" si="23"/>
        <v>-1.5138168704646618E-2</v>
      </c>
      <c r="AG34" s="110"/>
    </row>
    <row r="35" spans="2:33" x14ac:dyDescent="0.4">
      <c r="B35" s="111" t="s">
        <v>19</v>
      </c>
      <c r="C35" s="119">
        <v>0.14799999999999999</v>
      </c>
      <c r="E35" s="107">
        <v>31</v>
      </c>
      <c r="F35" s="107">
        <v>3</v>
      </c>
      <c r="G35" s="141">
        <f t="shared" si="24"/>
        <v>85121209.259481505</v>
      </c>
      <c r="H35" s="141">
        <f t="shared" si="0"/>
        <v>1454988.8889545999</v>
      </c>
      <c r="I35" s="141">
        <f t="shared" si="1"/>
        <v>876007.25166835939</v>
      </c>
      <c r="J35" s="141">
        <f t="shared" si="2"/>
        <v>578981.63728624047</v>
      </c>
      <c r="K35" s="108">
        <f t="shared" si="3"/>
        <v>84542227.622195259</v>
      </c>
      <c r="L35" s="108">
        <f t="shared" si="4"/>
        <v>88679701.815615386</v>
      </c>
      <c r="M35" s="108">
        <f t="shared" si="5"/>
        <v>42528.744335936382</v>
      </c>
      <c r="N35" s="108">
        <f t="shared" si="6"/>
        <v>12500</v>
      </c>
      <c r="O35" s="108">
        <f t="shared" si="7"/>
        <v>55028.744335936382</v>
      </c>
      <c r="P35" s="108">
        <f t="shared" si="8"/>
        <v>22011.497734374556</v>
      </c>
      <c r="Q35" s="100">
        <f t="shared" si="9"/>
        <v>2.2333333333333333E-3</v>
      </c>
      <c r="R35" s="100">
        <f>20%</f>
        <v>0.2</v>
      </c>
      <c r="S35" s="108">
        <f t="shared" si="10"/>
        <v>39610.26681097487</v>
      </c>
      <c r="T35" s="108">
        <f t="shared" si="11"/>
        <v>315256.33995451266</v>
      </c>
      <c r="U35" s="108">
        <f t="shared" si="12"/>
        <v>1869.7129502457879</v>
      </c>
      <c r="V35" s="108">
        <f t="shared" si="13"/>
        <v>3232.1386120469083</v>
      </c>
      <c r="W35" s="108">
        <f t="shared" si="14"/>
        <v>320358.19151680532</v>
      </c>
      <c r="X35" s="108">
        <f t="shared" si="15"/>
        <v>-6593.0202094130436</v>
      </c>
      <c r="Y35" s="108">
        <f t="shared" si="16"/>
        <v>-1780.115456541522</v>
      </c>
      <c r="Z35" s="108">
        <f t="shared" si="17"/>
        <v>-4812.9047528715219</v>
      </c>
      <c r="AA35" s="108">
        <f t="shared" si="18"/>
        <v>3834.4951518243629</v>
      </c>
      <c r="AB35" s="108">
        <f t="shared" si="19"/>
        <v>-8647.3999046958852</v>
      </c>
      <c r="AC35" s="109">
        <f t="shared" si="20"/>
        <v>0.74211386410757851</v>
      </c>
      <c r="AD35" s="108">
        <f t="shared" si="21"/>
        <v>-3571.7233437352152</v>
      </c>
      <c r="AE35" s="108">
        <f t="shared" si="22"/>
        <v>237742.25540505207</v>
      </c>
      <c r="AF35" s="48">
        <f t="shared" si="23"/>
        <v>-1.5023510808585168E-2</v>
      </c>
      <c r="AG35" s="110"/>
    </row>
    <row r="36" spans="2:33" x14ac:dyDescent="0.4">
      <c r="B36" s="111" t="s">
        <v>22</v>
      </c>
      <c r="C36" s="119">
        <f>12*((1+C35/2)^(2/12)-1)</f>
        <v>0.14363279304340359</v>
      </c>
      <c r="E36" s="107">
        <v>32</v>
      </c>
      <c r="F36" s="107">
        <v>3</v>
      </c>
      <c r="G36" s="141">
        <f t="shared" si="24"/>
        <v>84542227.622195259</v>
      </c>
      <c r="H36" s="141">
        <f t="shared" si="0"/>
        <v>1454988.8889545999</v>
      </c>
      <c r="I36" s="141">
        <f t="shared" si="1"/>
        <v>870048.78236020543</v>
      </c>
      <c r="J36" s="141">
        <f t="shared" si="2"/>
        <v>584940.10659439443</v>
      </c>
      <c r="K36" s="108">
        <f t="shared" si="3"/>
        <v>83957287.51560086</v>
      </c>
      <c r="L36" s="108">
        <f t="shared" si="4"/>
        <v>88076515.848240957</v>
      </c>
      <c r="M36" s="108">
        <f t="shared" si="5"/>
        <v>42239.470226210244</v>
      </c>
      <c r="N36" s="108">
        <f t="shared" si="6"/>
        <v>12500</v>
      </c>
      <c r="O36" s="108">
        <f t="shared" si="7"/>
        <v>54739.470226210244</v>
      </c>
      <c r="P36" s="108">
        <f t="shared" si="8"/>
        <v>21895.7880904841</v>
      </c>
      <c r="Q36" s="100">
        <f t="shared" si="9"/>
        <v>2.2333333333333333E-3</v>
      </c>
      <c r="R36" s="100">
        <f>20%</f>
        <v>0.2</v>
      </c>
      <c r="S36" s="108">
        <f t="shared" si="10"/>
        <v>39340.843745547631</v>
      </c>
      <c r="T36" s="108">
        <f t="shared" si="11"/>
        <v>313112.0138404966</v>
      </c>
      <c r="U36" s="108">
        <f t="shared" si="12"/>
        <v>1859.8842769650753</v>
      </c>
      <c r="V36" s="108">
        <f t="shared" si="13"/>
        <v>3215.1479641447213</v>
      </c>
      <c r="W36" s="108">
        <f t="shared" si="14"/>
        <v>318187.04608160636</v>
      </c>
      <c r="X36" s="108">
        <f t="shared" si="15"/>
        <v>-6497.1616098214872</v>
      </c>
      <c r="Y36" s="108">
        <f t="shared" si="16"/>
        <v>-1754.2336346518016</v>
      </c>
      <c r="Z36" s="108">
        <f t="shared" si="17"/>
        <v>-4742.9279751696859</v>
      </c>
      <c r="AA36" s="108">
        <f t="shared" si="18"/>
        <v>3808.5078449109405</v>
      </c>
      <c r="AB36" s="108">
        <f t="shared" si="19"/>
        <v>-8551.4358200806273</v>
      </c>
      <c r="AC36" s="109">
        <f t="shared" si="20"/>
        <v>0.73500818537296575</v>
      </c>
      <c r="AD36" s="108">
        <f t="shared" si="21"/>
        <v>-3486.0908843841457</v>
      </c>
      <c r="AE36" s="108">
        <f t="shared" si="22"/>
        <v>233870.08334962573</v>
      </c>
      <c r="AF36" s="48">
        <f t="shared" si="23"/>
        <v>-1.4906100149511596E-2</v>
      </c>
      <c r="AG36" s="110"/>
    </row>
    <row r="37" spans="2:33" x14ac:dyDescent="0.4">
      <c r="B37" s="111" t="s">
        <v>23</v>
      </c>
      <c r="C37" s="120">
        <v>0.116009789431234</v>
      </c>
      <c r="E37" s="107">
        <v>33</v>
      </c>
      <c r="F37" s="107">
        <v>3</v>
      </c>
      <c r="G37" s="141">
        <f t="shared" si="24"/>
        <v>83957287.51560086</v>
      </c>
      <c r="H37" s="141">
        <f t="shared" si="0"/>
        <v>1454988.8889545999</v>
      </c>
      <c r="I37" s="141">
        <f t="shared" si="1"/>
        <v>864028.99270230322</v>
      </c>
      <c r="J37" s="141">
        <f t="shared" si="2"/>
        <v>590959.89625229663</v>
      </c>
      <c r="K37" s="108">
        <f t="shared" si="3"/>
        <v>83366327.619348571</v>
      </c>
      <c r="L37" s="108">
        <f t="shared" si="4"/>
        <v>87467122.317720741</v>
      </c>
      <c r="M37" s="108">
        <f t="shared" si="5"/>
        <v>41947.219112044862</v>
      </c>
      <c r="N37" s="108">
        <f t="shared" si="6"/>
        <v>12500</v>
      </c>
      <c r="O37" s="108">
        <f t="shared" si="7"/>
        <v>54447.219112044862</v>
      </c>
      <c r="P37" s="108">
        <f t="shared" si="8"/>
        <v>21778.887644817947</v>
      </c>
      <c r="Q37" s="100">
        <f t="shared" si="9"/>
        <v>2.2333333333333333E-3</v>
      </c>
      <c r="R37" s="100">
        <f>20%</f>
        <v>0.2</v>
      </c>
      <c r="S37" s="108">
        <f t="shared" si="10"/>
        <v>39068.647968581929</v>
      </c>
      <c r="T37" s="108">
        <f t="shared" si="11"/>
        <v>310945.6198394972</v>
      </c>
      <c r="U37" s="108">
        <f t="shared" si="12"/>
        <v>1849.9544539339884</v>
      </c>
      <c r="V37" s="108">
        <f t="shared" si="13"/>
        <v>3197.9824605173599</v>
      </c>
      <c r="W37" s="108">
        <f t="shared" si="14"/>
        <v>315993.55675394856</v>
      </c>
      <c r="X37" s="108">
        <f t="shared" si="15"/>
        <v>-6400.3165013550133</v>
      </c>
      <c r="Y37" s="108">
        <f t="shared" si="16"/>
        <v>-1728.0854553658537</v>
      </c>
      <c r="Z37" s="108">
        <f t="shared" si="17"/>
        <v>-4672.2310459891596</v>
      </c>
      <c r="AA37" s="108">
        <f t="shared" si="18"/>
        <v>3782.2530950240753</v>
      </c>
      <c r="AB37" s="108">
        <f t="shared" si="19"/>
        <v>-8454.4841410132358</v>
      </c>
      <c r="AC37" s="109">
        <f t="shared" si="20"/>
        <v>0.72797054292324348</v>
      </c>
      <c r="AD37" s="108">
        <f t="shared" si="21"/>
        <v>-3401.2465712115622</v>
      </c>
      <c r="AE37" s="108">
        <f t="shared" si="22"/>
        <v>230034.00107041869</v>
      </c>
      <c r="AF37" s="48">
        <f t="shared" si="23"/>
        <v>-1.478584276839302E-2</v>
      </c>
      <c r="AG37" s="110"/>
    </row>
    <row r="38" spans="2:33" x14ac:dyDescent="0.4">
      <c r="B38" s="121"/>
      <c r="C38" s="117"/>
      <c r="E38" s="107">
        <v>34</v>
      </c>
      <c r="F38" s="107">
        <v>3</v>
      </c>
      <c r="G38" s="141">
        <f t="shared" si="24"/>
        <v>83366327.619348571</v>
      </c>
      <c r="H38" s="141">
        <f t="shared" si="0"/>
        <v>1454988.8889545999</v>
      </c>
      <c r="I38" s="141">
        <f t="shared" si="1"/>
        <v>857947.25162900519</v>
      </c>
      <c r="J38" s="141">
        <f t="shared" si="2"/>
        <v>597041.63732559467</v>
      </c>
      <c r="K38" s="108">
        <f t="shared" si="3"/>
        <v>82769285.982022971</v>
      </c>
      <c r="L38" s="108">
        <f t="shared" si="4"/>
        <v>86851457.340207487</v>
      </c>
      <c r="M38" s="108">
        <f t="shared" si="5"/>
        <v>41651.960356217147</v>
      </c>
      <c r="N38" s="108">
        <f t="shared" si="6"/>
        <v>12500</v>
      </c>
      <c r="O38" s="108">
        <f t="shared" si="7"/>
        <v>54151.960356217147</v>
      </c>
      <c r="P38" s="108">
        <f t="shared" si="8"/>
        <v>21660.78414248686</v>
      </c>
      <c r="Q38" s="100">
        <f t="shared" si="9"/>
        <v>2.2333333333333333E-3</v>
      </c>
      <c r="R38" s="100">
        <f>20%</f>
        <v>0.2</v>
      </c>
      <c r="S38" s="108">
        <f t="shared" si="10"/>
        <v>38793.650945292677</v>
      </c>
      <c r="T38" s="108">
        <f t="shared" si="11"/>
        <v>308756.93084443756</v>
      </c>
      <c r="U38" s="108">
        <f t="shared" si="12"/>
        <v>1839.9224401908723</v>
      </c>
      <c r="V38" s="108">
        <f t="shared" si="13"/>
        <v>3180.6403016734325</v>
      </c>
      <c r="W38" s="108">
        <f t="shared" si="14"/>
        <v>313777.49358630186</v>
      </c>
      <c r="X38" s="108">
        <f t="shared" si="15"/>
        <v>-6302.4747315623899</v>
      </c>
      <c r="Y38" s="108">
        <f t="shared" si="16"/>
        <v>-1701.6681775218453</v>
      </c>
      <c r="Z38" s="108">
        <f t="shared" si="17"/>
        <v>-4600.8065540405441</v>
      </c>
      <c r="AA38" s="108">
        <f t="shared" si="18"/>
        <v>3755.728149829933</v>
      </c>
      <c r="AB38" s="108">
        <f t="shared" si="19"/>
        <v>-8356.5347038704767</v>
      </c>
      <c r="AC38" s="109">
        <f t="shared" si="20"/>
        <v>0.72100028531662341</v>
      </c>
      <c r="AD38" s="108">
        <f t="shared" si="21"/>
        <v>-3317.1828381498235</v>
      </c>
      <c r="AE38" s="108">
        <f t="shared" si="22"/>
        <v>226233.66240165863</v>
      </c>
      <c r="AF38" s="48">
        <f t="shared" si="23"/>
        <v>-1.4662640399908514E-2</v>
      </c>
      <c r="AG38" s="110"/>
    </row>
    <row r="39" spans="2:33" x14ac:dyDescent="0.4">
      <c r="B39" s="106" t="s">
        <v>91</v>
      </c>
      <c r="C39" s="106"/>
      <c r="E39" s="107">
        <v>35</v>
      </c>
      <c r="F39" s="107">
        <v>3</v>
      </c>
      <c r="G39" s="141">
        <f t="shared" si="24"/>
        <v>82769285.982022971</v>
      </c>
      <c r="H39" s="141">
        <f t="shared" si="0"/>
        <v>1454988.8889545999</v>
      </c>
      <c r="I39" s="141">
        <f t="shared" si="1"/>
        <v>851802.92158018227</v>
      </c>
      <c r="J39" s="141">
        <f t="shared" si="2"/>
        <v>603185.96737441758</v>
      </c>
      <c r="K39" s="108">
        <f t="shared" si="3"/>
        <v>82166100.014648557</v>
      </c>
      <c r="L39" s="108">
        <f t="shared" si="4"/>
        <v>86229456.374406546</v>
      </c>
      <c r="M39" s="108">
        <f t="shared" si="5"/>
        <v>41353.663006207389</v>
      </c>
      <c r="N39" s="108">
        <f t="shared" si="6"/>
        <v>12500</v>
      </c>
      <c r="O39" s="108">
        <f t="shared" si="7"/>
        <v>53853.663006207389</v>
      </c>
      <c r="P39" s="108">
        <f t="shared" si="8"/>
        <v>21541.465202482956</v>
      </c>
      <c r="Q39" s="100">
        <f t="shared" si="9"/>
        <v>2.2333333333333333E-3</v>
      </c>
      <c r="R39" s="100">
        <f>20%</f>
        <v>0.2</v>
      </c>
      <c r="S39" s="108">
        <f t="shared" si="10"/>
        <v>38515.823847234926</v>
      </c>
      <c r="T39" s="108">
        <f t="shared" si="11"/>
        <v>306545.7174110153</v>
      </c>
      <c r="U39" s="108">
        <f t="shared" si="12"/>
        <v>1829.7871840612313</v>
      </c>
      <c r="V39" s="108">
        <f t="shared" si="13"/>
        <v>3163.1196696024554</v>
      </c>
      <c r="W39" s="108">
        <f t="shared" si="14"/>
        <v>311538.62426467898</v>
      </c>
      <c r="X39" s="108">
        <f t="shared" si="15"/>
        <v>-6203.6260435104923</v>
      </c>
      <c r="Y39" s="108">
        <f t="shared" si="16"/>
        <v>-1674.979031747833</v>
      </c>
      <c r="Z39" s="108">
        <f t="shared" si="17"/>
        <v>-4528.6470117626595</v>
      </c>
      <c r="AA39" s="108">
        <f t="shared" si="18"/>
        <v>3728.9302286696093</v>
      </c>
      <c r="AB39" s="108">
        <f t="shared" si="19"/>
        <v>-8257.5772404322688</v>
      </c>
      <c r="AC39" s="109">
        <f t="shared" si="20"/>
        <v>0.71409676734881833</v>
      </c>
      <c r="AD39" s="108">
        <f t="shared" si="21"/>
        <v>-3233.892191563601</v>
      </c>
      <c r="AE39" s="108">
        <f t="shared" si="22"/>
        <v>222468.72449170539</v>
      </c>
      <c r="AF39" s="48">
        <f t="shared" si="23"/>
        <v>-1.4536390222726228E-2</v>
      </c>
      <c r="AG39" s="110"/>
    </row>
    <row r="40" spans="2:33" x14ac:dyDescent="0.4">
      <c r="E40" s="107">
        <v>36</v>
      </c>
      <c r="F40" s="107">
        <v>3</v>
      </c>
      <c r="G40" s="141">
        <f t="shared" si="24"/>
        <v>82166100.014648557</v>
      </c>
      <c r="H40" s="141">
        <f t="shared" si="0"/>
        <v>1454988.8889545999</v>
      </c>
      <c r="I40" s="141">
        <f t="shared" si="1"/>
        <v>845595.35843438818</v>
      </c>
      <c r="J40" s="141">
        <f t="shared" si="2"/>
        <v>609393.53052021167</v>
      </c>
      <c r="K40" s="108">
        <f t="shared" si="3"/>
        <v>81556706.484128341</v>
      </c>
      <c r="L40" s="108">
        <f t="shared" si="4"/>
        <v>85601054.214810014</v>
      </c>
      <c r="M40" s="108">
        <f t="shared" si="5"/>
        <v>41052.295790954471</v>
      </c>
      <c r="N40" s="108">
        <f t="shared" si="6"/>
        <v>12500</v>
      </c>
      <c r="O40" s="108">
        <f t="shared" si="7"/>
        <v>53552.295790954471</v>
      </c>
      <c r="P40" s="108">
        <f t="shared" si="8"/>
        <v>21420.918316381791</v>
      </c>
      <c r="Q40" s="100">
        <f t="shared" si="9"/>
        <v>2.2333333333333333E-3</v>
      </c>
      <c r="R40" s="100">
        <f>20%</f>
        <v>0.2</v>
      </c>
      <c r="S40" s="108">
        <f t="shared" si="10"/>
        <v>38235.137549281804</v>
      </c>
      <c r="T40" s="108">
        <f t="shared" si="11"/>
        <v>304311.74773364956</v>
      </c>
      <c r="U40" s="108">
        <f t="shared" si="12"/>
        <v>1819.547623047481</v>
      </c>
      <c r="V40" s="108">
        <f t="shared" si="13"/>
        <v>3145.4187275842692</v>
      </c>
      <c r="W40" s="108">
        <f t="shared" si="14"/>
        <v>309276.7140842813</v>
      </c>
      <c r="X40" s="108">
        <f t="shared" si="15"/>
        <v>-6103.7600747091237</v>
      </c>
      <c r="Y40" s="108">
        <f t="shared" si="16"/>
        <v>-1648.0152201714636</v>
      </c>
      <c r="Z40" s="108">
        <f t="shared" si="17"/>
        <v>-4455.7448545376601</v>
      </c>
      <c r="AA40" s="108">
        <f t="shared" si="18"/>
        <v>3701.8565222676234</v>
      </c>
      <c r="AB40" s="108">
        <f t="shared" si="19"/>
        <v>-8157.6013768052835</v>
      </c>
      <c r="AC40" s="109">
        <f t="shared" si="20"/>
        <v>0.70725934999331863</v>
      </c>
      <c r="AD40" s="108">
        <f t="shared" si="21"/>
        <v>-3151.3672095563797</v>
      </c>
      <c r="AE40" s="108">
        <f t="shared" si="22"/>
        <v>218738.84777131825</v>
      </c>
      <c r="AF40" s="48">
        <f t="shared" si="23"/>
        <v>-1.4406984592197332E-2</v>
      </c>
      <c r="AG40" s="110"/>
    </row>
    <row r="41" spans="2:33" x14ac:dyDescent="0.4">
      <c r="E41" s="107">
        <v>37</v>
      </c>
      <c r="F41" s="107">
        <v>4</v>
      </c>
      <c r="G41" s="141">
        <f t="shared" si="24"/>
        <v>81556706.484128341</v>
      </c>
      <c r="H41" s="141">
        <f t="shared" si="0"/>
        <v>1454988.8889545999</v>
      </c>
      <c r="I41" s="141">
        <f t="shared" si="1"/>
        <v>839323.91144133417</v>
      </c>
      <c r="J41" s="141">
        <f t="shared" si="2"/>
        <v>615664.97751326568</v>
      </c>
      <c r="K41" s="108">
        <f t="shared" si="3"/>
        <v>80941041.506615072</v>
      </c>
      <c r="L41" s="108">
        <f t="shared" si="4"/>
        <v>84966184.984860986</v>
      </c>
      <c r="M41" s="108">
        <f t="shared" si="5"/>
        <v>40747.827117577617</v>
      </c>
      <c r="N41" s="108">
        <f t="shared" si="6"/>
        <v>12500</v>
      </c>
      <c r="O41" s="108">
        <f t="shared" si="7"/>
        <v>53247.827117577617</v>
      </c>
      <c r="P41" s="108">
        <f t="shared" si="8"/>
        <v>21299.130847031047</v>
      </c>
      <c r="Q41" s="100">
        <f t="shared" si="9"/>
        <v>2.2333333333333333E-3</v>
      </c>
      <c r="R41" s="100">
        <f>20%</f>
        <v>0.2</v>
      </c>
      <c r="S41" s="108">
        <f t="shared" si="10"/>
        <v>37951.562626571242</v>
      </c>
      <c r="T41" s="108">
        <f t="shared" si="11"/>
        <v>302054.78762118082</v>
      </c>
      <c r="U41" s="108">
        <f t="shared" si="12"/>
        <v>1809.2026837175624</v>
      </c>
      <c r="V41" s="108">
        <f t="shared" si="13"/>
        <v>3127.5356199964881</v>
      </c>
      <c r="W41" s="108">
        <f t="shared" si="14"/>
        <v>306991.52592489484</v>
      </c>
      <c r="X41" s="108">
        <f t="shared" si="15"/>
        <v>-6002.8663560246714</v>
      </c>
      <c r="Y41" s="108">
        <f t="shared" si="16"/>
        <v>-1620.7739161266613</v>
      </c>
      <c r="Z41" s="108">
        <f t="shared" si="17"/>
        <v>-4382.0924398980096</v>
      </c>
      <c r="AA41" s="108">
        <f t="shared" si="18"/>
        <v>3674.5041924374241</v>
      </c>
      <c r="AB41" s="108">
        <f t="shared" si="19"/>
        <v>-8056.5966323354332</v>
      </c>
      <c r="AC41" s="109">
        <f t="shared" si="20"/>
        <v>0.70048740034224055</v>
      </c>
      <c r="AD41" s="108">
        <f t="shared" si="21"/>
        <v>-3069.600541283543</v>
      </c>
      <c r="AE41" s="108">
        <f t="shared" si="22"/>
        <v>215043.69592222714</v>
      </c>
      <c r="AF41" s="48">
        <f t="shared" si="23"/>
        <v>-1.4274310754004604E-2</v>
      </c>
      <c r="AG41" s="110"/>
    </row>
    <row r="42" spans="2:33" x14ac:dyDescent="0.4">
      <c r="B42" s="111" t="s">
        <v>92</v>
      </c>
      <c r="C42" s="114">
        <v>0.17</v>
      </c>
      <c r="E42" s="107">
        <v>38</v>
      </c>
      <c r="F42" s="107">
        <v>4</v>
      </c>
      <c r="G42" s="141">
        <f t="shared" si="24"/>
        <v>80941041.506615072</v>
      </c>
      <c r="H42" s="141">
        <f t="shared" si="0"/>
        <v>1454988.8889545999</v>
      </c>
      <c r="I42" s="141">
        <f t="shared" si="1"/>
        <v>832987.92315367027</v>
      </c>
      <c r="J42" s="141">
        <f t="shared" si="2"/>
        <v>622000.96580092958</v>
      </c>
      <c r="K42" s="108">
        <f t="shared" si="3"/>
        <v>80319040.540814146</v>
      </c>
      <c r="L42" s="108">
        <f t="shared" si="4"/>
        <v>84324782.130047649</v>
      </c>
      <c r="M42" s="108">
        <f t="shared" si="5"/>
        <v>40440.225068064494</v>
      </c>
      <c r="N42" s="108">
        <f t="shared" si="6"/>
        <v>12500</v>
      </c>
      <c r="O42" s="108">
        <f t="shared" si="7"/>
        <v>52940.225068064494</v>
      </c>
      <c r="P42" s="108">
        <f t="shared" si="8"/>
        <v>21176.0900272258</v>
      </c>
      <c r="Q42" s="100">
        <f t="shared" si="9"/>
        <v>2.2333333333333333E-3</v>
      </c>
      <c r="R42" s="100">
        <f>20%</f>
        <v>0.2</v>
      </c>
      <c r="S42" s="108">
        <f t="shared" si="10"/>
        <v>37665.069351421283</v>
      </c>
      <c r="T42" s="108">
        <f t="shared" si="11"/>
        <v>299774.60047231935</v>
      </c>
      <c r="U42" s="108">
        <f t="shared" si="12"/>
        <v>1798.7512815924144</v>
      </c>
      <c r="V42" s="108">
        <f t="shared" si="13"/>
        <v>3109.4684721199765</v>
      </c>
      <c r="W42" s="108">
        <f t="shared" si="14"/>
        <v>304682.82022603176</v>
      </c>
      <c r="X42" s="108">
        <f t="shared" si="15"/>
        <v>-5900.9343105825901</v>
      </c>
      <c r="Y42" s="108">
        <f t="shared" si="16"/>
        <v>-1593.2522638572993</v>
      </c>
      <c r="Z42" s="108">
        <f t="shared" si="17"/>
        <v>-4307.682046725291</v>
      </c>
      <c r="AA42" s="108">
        <f t="shared" si="18"/>
        <v>3646.8703717838471</v>
      </c>
      <c r="AB42" s="108">
        <f t="shared" si="19"/>
        <v>-7954.5524185091381</v>
      </c>
      <c r="AC42" s="109">
        <f t="shared" si="20"/>
        <v>0.69378029154774112</v>
      </c>
      <c r="AD42" s="108">
        <f t="shared" si="21"/>
        <v>-2988.5849062720426</v>
      </c>
      <c r="AE42" s="108">
        <f t="shared" si="22"/>
        <v>211382.93584600431</v>
      </c>
      <c r="AF42" s="48">
        <f t="shared" si="23"/>
        <v>-1.4138250537163853E-2</v>
      </c>
      <c r="AG42" s="110"/>
    </row>
    <row r="43" spans="2:33" x14ac:dyDescent="0.4">
      <c r="B43" s="111" t="s">
        <v>93</v>
      </c>
      <c r="C43" s="122">
        <f>SUM(AD5:AD124)/SUM(AE5:AE124)</f>
        <v>1.807770721484811E-2</v>
      </c>
      <c r="E43" s="107">
        <v>39</v>
      </c>
      <c r="F43" s="107">
        <v>4</v>
      </c>
      <c r="G43" s="141">
        <f t="shared" si="24"/>
        <v>80319040.540814146</v>
      </c>
      <c r="H43" s="141">
        <f t="shared" si="0"/>
        <v>1454988.8889545999</v>
      </c>
      <c r="I43" s="141">
        <f t="shared" si="1"/>
        <v>826586.72935806355</v>
      </c>
      <c r="J43" s="141">
        <f t="shared" si="2"/>
        <v>628402.15959653631</v>
      </c>
      <c r="K43" s="108">
        <f t="shared" si="3"/>
        <v>79690638.381217614</v>
      </c>
      <c r="L43" s="108">
        <f t="shared" si="4"/>
        <v>83676778.410926297</v>
      </c>
      <c r="M43" s="108">
        <f t="shared" si="5"/>
        <v>40129.457395925172</v>
      </c>
      <c r="N43" s="108">
        <f t="shared" si="6"/>
        <v>12500</v>
      </c>
      <c r="O43" s="108">
        <f t="shared" si="7"/>
        <v>52629.457395925172</v>
      </c>
      <c r="P43" s="108">
        <f t="shared" si="8"/>
        <v>21051.78295837007</v>
      </c>
      <c r="Q43" s="100">
        <f t="shared" si="9"/>
        <v>2.2333333333333333E-3</v>
      </c>
      <c r="R43" s="100">
        <f>20%</f>
        <v>0.2</v>
      </c>
      <c r="S43" s="108">
        <f t="shared" si="10"/>
        <v>37375.627690213747</v>
      </c>
      <c r="T43" s="108">
        <f t="shared" si="11"/>
        <v>297470.94725084293</v>
      </c>
      <c r="U43" s="108">
        <f t="shared" si="12"/>
        <v>1788.1923210322843</v>
      </c>
      <c r="V43" s="108">
        <f t="shared" si="13"/>
        <v>3091.2153899423138</v>
      </c>
      <c r="W43" s="108">
        <f t="shared" si="14"/>
        <v>302350.3549618175</v>
      </c>
      <c r="X43" s="108">
        <f t="shared" si="15"/>
        <v>-5797.9532526586445</v>
      </c>
      <c r="Y43" s="108">
        <f t="shared" si="16"/>
        <v>-1565.4473782178341</v>
      </c>
      <c r="Z43" s="108">
        <f t="shared" si="17"/>
        <v>-4232.5058744408107</v>
      </c>
      <c r="AA43" s="108">
        <f t="shared" si="18"/>
        <v>3618.9521634025291</v>
      </c>
      <c r="AB43" s="108">
        <f t="shared" si="19"/>
        <v>-7851.4580378433402</v>
      </c>
      <c r="AC43" s="109">
        <f t="shared" si="20"/>
        <v>0.68713740276399327</v>
      </c>
      <c r="AD43" s="108">
        <f t="shared" si="21"/>
        <v>-2908.313093746603</v>
      </c>
      <c r="AE43" s="108">
        <f t="shared" si="22"/>
        <v>207756.23763323473</v>
      </c>
      <c r="AF43" s="48">
        <f t="shared" si="23"/>
        <v>-1.3998680024620163E-2</v>
      </c>
      <c r="AG43" s="110"/>
    </row>
    <row r="44" spans="2:33" x14ac:dyDescent="0.4">
      <c r="B44" s="111" t="s">
        <v>94</v>
      </c>
      <c r="C44" s="123">
        <f>SUM(AD5:AD124)-$C$36*SUM(AE5:AE124)</f>
        <v>-2337054.2533579818</v>
      </c>
      <c r="E44" s="107">
        <v>40</v>
      </c>
      <c r="F44" s="107">
        <v>4</v>
      </c>
      <c r="G44" s="141">
        <f t="shared" si="24"/>
        <v>79690638.381217614</v>
      </c>
      <c r="H44" s="141">
        <f t="shared" si="0"/>
        <v>1454988.8889545999</v>
      </c>
      <c r="I44" s="141">
        <f t="shared" si="1"/>
        <v>820119.65900556732</v>
      </c>
      <c r="J44" s="141">
        <f t="shared" si="2"/>
        <v>634869.22994903254</v>
      </c>
      <c r="K44" s="108">
        <f t="shared" si="3"/>
        <v>79055769.151268587</v>
      </c>
      <c r="L44" s="108">
        <f t="shared" si="4"/>
        <v>83022105.896072403</v>
      </c>
      <c r="M44" s="108">
        <f t="shared" si="5"/>
        <v>39815.491522811659</v>
      </c>
      <c r="N44" s="108">
        <f t="shared" si="6"/>
        <v>12500</v>
      </c>
      <c r="O44" s="108">
        <f t="shared" si="7"/>
        <v>52315.491522811659</v>
      </c>
      <c r="P44" s="108">
        <f t="shared" si="8"/>
        <v>20926.196609124665</v>
      </c>
      <c r="Q44" s="100">
        <f t="shared" si="9"/>
        <v>2.2333333333333333E-3</v>
      </c>
      <c r="R44" s="100">
        <f>20%</f>
        <v>0.2</v>
      </c>
      <c r="S44" s="108">
        <f t="shared" si="10"/>
        <v>37083.207300245675</v>
      </c>
      <c r="T44" s="108">
        <f t="shared" si="11"/>
        <v>295143.58646053739</v>
      </c>
      <c r="U44" s="108">
        <f t="shared" si="12"/>
        <v>1777.5246951218708</v>
      </c>
      <c r="V44" s="108">
        <f t="shared" si="13"/>
        <v>3072.7744599592447</v>
      </c>
      <c r="W44" s="108">
        <f t="shared" si="14"/>
        <v>299993.88561561849</v>
      </c>
      <c r="X44" s="108">
        <f t="shared" si="15"/>
        <v>-5693.9123865586807</v>
      </c>
      <c r="Y44" s="108">
        <f t="shared" si="16"/>
        <v>-1537.356344370844</v>
      </c>
      <c r="Z44" s="108">
        <f t="shared" si="17"/>
        <v>-4156.5560421878363</v>
      </c>
      <c r="AA44" s="108">
        <f t="shared" si="18"/>
        <v>3590.7466405762184</v>
      </c>
      <c r="AB44" s="108">
        <f t="shared" si="19"/>
        <v>-7747.3026827640551</v>
      </c>
      <c r="AC44" s="109">
        <f t="shared" si="20"/>
        <v>0.68055811908971697</v>
      </c>
      <c r="AD44" s="108">
        <f t="shared" si="21"/>
        <v>-2828.777961962352</v>
      </c>
      <c r="AE44" s="108">
        <f t="shared" si="22"/>
        <v>204163.27453298101</v>
      </c>
      <c r="AF44" s="48">
        <f t="shared" si="23"/>
        <v>-1.3855469199507694E-2</v>
      </c>
      <c r="AG44" s="110"/>
    </row>
    <row r="45" spans="2:33" x14ac:dyDescent="0.4">
      <c r="E45" s="107">
        <v>41</v>
      </c>
      <c r="F45" s="107">
        <v>4</v>
      </c>
      <c r="G45" s="141">
        <f t="shared" si="24"/>
        <v>79055769.151268587</v>
      </c>
      <c r="H45" s="141">
        <f t="shared" si="0"/>
        <v>1454988.8889545999</v>
      </c>
      <c r="I45" s="141">
        <f t="shared" si="1"/>
        <v>813586.03414127417</v>
      </c>
      <c r="J45" s="141">
        <f t="shared" si="2"/>
        <v>641402.85481332568</v>
      </c>
      <c r="K45" s="108">
        <f t="shared" si="3"/>
        <v>78414366.296455264</v>
      </c>
      <c r="L45" s="108">
        <f t="shared" si="4"/>
        <v>82360695.954959318</v>
      </c>
      <c r="M45" s="108">
        <f t="shared" si="5"/>
        <v>39498.294535102657</v>
      </c>
      <c r="N45" s="108">
        <f t="shared" si="6"/>
        <v>12500</v>
      </c>
      <c r="O45" s="108">
        <f t="shared" si="7"/>
        <v>51998.294535102657</v>
      </c>
      <c r="P45" s="108">
        <f t="shared" si="8"/>
        <v>20799.317814041064</v>
      </c>
      <c r="Q45" s="100">
        <f t="shared" si="9"/>
        <v>2.2333333333333333E-3</v>
      </c>
      <c r="R45" s="100">
        <f>20%</f>
        <v>0.2</v>
      </c>
      <c r="S45" s="108">
        <f t="shared" si="10"/>
        <v>36787.777526548496</v>
      </c>
      <c r="T45" s="108">
        <f t="shared" si="11"/>
        <v>292792.27411988034</v>
      </c>
      <c r="U45" s="108">
        <f t="shared" si="12"/>
        <v>1766.7472855542828</v>
      </c>
      <c r="V45" s="108">
        <f t="shared" si="13"/>
        <v>3054.143748974082</v>
      </c>
      <c r="W45" s="108">
        <f t="shared" si="14"/>
        <v>297613.16515440872</v>
      </c>
      <c r="X45" s="108">
        <f t="shared" si="15"/>
        <v>-5588.8008054869024</v>
      </c>
      <c r="Y45" s="108">
        <f t="shared" si="16"/>
        <v>-1508.9762174814637</v>
      </c>
      <c r="Z45" s="108">
        <f t="shared" si="17"/>
        <v>-4079.8245880054387</v>
      </c>
      <c r="AA45" s="108">
        <f t="shared" si="18"/>
        <v>3562.2508464679568</v>
      </c>
      <c r="AB45" s="108">
        <f t="shared" si="19"/>
        <v>-7642.0754344733959</v>
      </c>
      <c r="AC45" s="109">
        <f t="shared" si="20"/>
        <v>0.67404183151126151</v>
      </c>
      <c r="AD45" s="108">
        <f t="shared" si="21"/>
        <v>-2749.9724375438636</v>
      </c>
      <c r="AE45" s="108">
        <f t="shared" si="22"/>
        <v>200603.7229225412</v>
      </c>
      <c r="AF45" s="48">
        <f t="shared" si="23"/>
        <v>-1.3708481564949351E-2</v>
      </c>
      <c r="AG45" s="110"/>
    </row>
    <row r="46" spans="2:33" x14ac:dyDescent="0.4">
      <c r="E46" s="107">
        <v>42</v>
      </c>
      <c r="F46" s="107">
        <v>4</v>
      </c>
      <c r="G46" s="141">
        <f t="shared" si="24"/>
        <v>78414366.296455264</v>
      </c>
      <c r="H46" s="141">
        <f t="shared" si="0"/>
        <v>1454988.8889545999</v>
      </c>
      <c r="I46" s="141">
        <f t="shared" si="1"/>
        <v>806985.16983324417</v>
      </c>
      <c r="J46" s="141">
        <f t="shared" si="2"/>
        <v>648003.71912135568</v>
      </c>
      <c r="K46" s="108">
        <f t="shared" si="3"/>
        <v>77766362.577333912</v>
      </c>
      <c r="L46" s="108">
        <f t="shared" si="4"/>
        <v>81692479.250763535</v>
      </c>
      <c r="M46" s="108">
        <f t="shared" si="5"/>
        <v>39177.833180453177</v>
      </c>
      <c r="N46" s="108">
        <f t="shared" si="6"/>
        <v>12500</v>
      </c>
      <c r="O46" s="108">
        <f t="shared" si="7"/>
        <v>51677.833180453177</v>
      </c>
      <c r="P46" s="108">
        <f t="shared" si="8"/>
        <v>20671.133272181272</v>
      </c>
      <c r="Q46" s="100">
        <f t="shared" si="9"/>
        <v>2.2333333333333333E-3</v>
      </c>
      <c r="R46" s="100">
        <f>20%</f>
        <v>0.2</v>
      </c>
      <c r="S46" s="108">
        <f t="shared" si="10"/>
        <v>36489.307398674377</v>
      </c>
      <c r="T46" s="108">
        <f t="shared" si="11"/>
        <v>290416.76373646432</v>
      </c>
      <c r="U46" s="108">
        <f t="shared" si="12"/>
        <v>1755.8589625138068</v>
      </c>
      <c r="V46" s="108">
        <f t="shared" si="13"/>
        <v>3035.3213038950466</v>
      </c>
      <c r="W46" s="108">
        <f t="shared" si="14"/>
        <v>295207.94400287315</v>
      </c>
      <c r="X46" s="108">
        <f t="shared" si="15"/>
        <v>-5482.6074904024717</v>
      </c>
      <c r="Y46" s="108">
        <f t="shared" si="16"/>
        <v>-1480.3040224086674</v>
      </c>
      <c r="Z46" s="108">
        <f t="shared" si="17"/>
        <v>-4002.3034679938046</v>
      </c>
      <c r="AA46" s="108">
        <f t="shared" si="18"/>
        <v>3533.4617938111132</v>
      </c>
      <c r="AB46" s="108">
        <f t="shared" si="19"/>
        <v>-7535.7652618049178</v>
      </c>
      <c r="AC46" s="109">
        <f t="shared" si="20"/>
        <v>0.66758793684623141</v>
      </c>
      <c r="AD46" s="108">
        <f t="shared" si="21"/>
        <v>-2671.889514830501</v>
      </c>
      <c r="AE46" s="108">
        <f t="shared" si="22"/>
        <v>197077.2622774959</v>
      </c>
      <c r="AF46" s="48">
        <f t="shared" si="23"/>
        <v>-1.3557573735057928E-2</v>
      </c>
      <c r="AG46" s="110"/>
    </row>
    <row r="47" spans="2:33" x14ac:dyDescent="0.4">
      <c r="C47" s="124"/>
      <c r="E47" s="107">
        <v>43</v>
      </c>
      <c r="F47" s="107">
        <v>4</v>
      </c>
      <c r="G47" s="141">
        <f t="shared" si="24"/>
        <v>77766362.577333912</v>
      </c>
      <c r="H47" s="141">
        <f t="shared" si="0"/>
        <v>1454988.8889545999</v>
      </c>
      <c r="I47" s="141">
        <f t="shared" si="1"/>
        <v>800316.37410070305</v>
      </c>
      <c r="J47" s="141">
        <f t="shared" si="2"/>
        <v>654672.51485389681</v>
      </c>
      <c r="K47" s="108">
        <f t="shared" si="3"/>
        <v>77111690.062480018</v>
      </c>
      <c r="L47" s="108">
        <f t="shared" si="4"/>
        <v>81017385.733096078</v>
      </c>
      <c r="M47" s="108">
        <f t="shared" si="5"/>
        <v>38854.073864308615</v>
      </c>
      <c r="N47" s="108">
        <f t="shared" si="6"/>
        <v>12500</v>
      </c>
      <c r="O47" s="108">
        <f t="shared" si="7"/>
        <v>51354.073864308615</v>
      </c>
      <c r="P47" s="108">
        <f t="shared" si="8"/>
        <v>20541.629545723448</v>
      </c>
      <c r="Q47" s="100">
        <f t="shared" si="9"/>
        <v>2.2333333333333333E-3</v>
      </c>
      <c r="R47" s="100">
        <f>20%</f>
        <v>0.2</v>
      </c>
      <c r="S47" s="108">
        <f t="shared" si="10"/>
        <v>36187.765627449582</v>
      </c>
      <c r="T47" s="108">
        <f t="shared" si="11"/>
        <v>288016.80628115649</v>
      </c>
      <c r="U47" s="108">
        <f t="shared" si="12"/>
        <v>1744.8585845574648</v>
      </c>
      <c r="V47" s="108">
        <f t="shared" si="13"/>
        <v>3016.3051515305201</v>
      </c>
      <c r="W47" s="108">
        <f t="shared" si="14"/>
        <v>292777.97001724452</v>
      </c>
      <c r="X47" s="108">
        <f t="shared" si="15"/>
        <v>-5375.3213088644152</v>
      </c>
      <c r="Y47" s="108">
        <f t="shared" si="16"/>
        <v>-1451.3367533933922</v>
      </c>
      <c r="Z47" s="108">
        <f t="shared" si="17"/>
        <v>-3923.9845554710228</v>
      </c>
      <c r="AA47" s="108">
        <f t="shared" si="18"/>
        <v>3504.3764645962256</v>
      </c>
      <c r="AB47" s="108">
        <f t="shared" si="19"/>
        <v>-7428.3610200672483</v>
      </c>
      <c r="AC47" s="109">
        <f t="shared" si="20"/>
        <v>0.66119583768765189</v>
      </c>
      <c r="AD47" s="108">
        <f t="shared" si="21"/>
        <v>-2594.5222552280711</v>
      </c>
      <c r="AE47" s="108">
        <f t="shared" si="22"/>
        <v>193583.57514204222</v>
      </c>
      <c r="AF47" s="48">
        <f t="shared" si="23"/>
        <v>-1.3402594994561584E-2</v>
      </c>
      <c r="AG47" s="110"/>
    </row>
    <row r="48" spans="2:33" x14ac:dyDescent="0.4">
      <c r="C48" s="125"/>
      <c r="E48" s="107">
        <v>44</v>
      </c>
      <c r="F48" s="107">
        <v>4</v>
      </c>
      <c r="G48" s="141">
        <f t="shared" si="24"/>
        <v>77111690.062480018</v>
      </c>
      <c r="H48" s="141">
        <f t="shared" si="0"/>
        <v>1454988.8889545999</v>
      </c>
      <c r="I48" s="141">
        <f t="shared" si="1"/>
        <v>793578.9478414997</v>
      </c>
      <c r="J48" s="141">
        <f t="shared" si="2"/>
        <v>661409.94111310015</v>
      </c>
      <c r="K48" s="108">
        <f t="shared" si="3"/>
        <v>76450280.121366918</v>
      </c>
      <c r="L48" s="108">
        <f t="shared" si="4"/>
        <v>80335344.630658895</v>
      </c>
      <c r="M48" s="108">
        <f t="shared" si="5"/>
        <v>38526.982646382989</v>
      </c>
      <c r="N48" s="108">
        <f t="shared" si="6"/>
        <v>12500</v>
      </c>
      <c r="O48" s="108">
        <f t="shared" si="7"/>
        <v>51026.982646382989</v>
      </c>
      <c r="P48" s="108">
        <f t="shared" si="8"/>
        <v>20410.793058553198</v>
      </c>
      <c r="Q48" s="100">
        <f t="shared" si="9"/>
        <v>2.2333333333333333E-3</v>
      </c>
      <c r="R48" s="100">
        <f>20%</f>
        <v>0.2</v>
      </c>
      <c r="S48" s="108">
        <f t="shared" si="10"/>
        <v>35883.120601694303</v>
      </c>
      <c r="T48" s="108">
        <f t="shared" si="11"/>
        <v>285592.15016199235</v>
      </c>
      <c r="U48" s="108">
        <f t="shared" si="12"/>
        <v>1733.7449984953562</v>
      </c>
      <c r="V48" s="108">
        <f t="shared" si="13"/>
        <v>2997.0932983821926</v>
      </c>
      <c r="W48" s="108">
        <f t="shared" si="14"/>
        <v>290322.98845886986</v>
      </c>
      <c r="X48" s="108">
        <f t="shared" si="15"/>
        <v>-5266.9310138645124</v>
      </c>
      <c r="Y48" s="108">
        <f t="shared" si="16"/>
        <v>-1422.0713737434185</v>
      </c>
      <c r="Z48" s="108">
        <f t="shared" si="17"/>
        <v>-3844.8596401210939</v>
      </c>
      <c r="AA48" s="108">
        <f t="shared" si="18"/>
        <v>3474.9918097546088</v>
      </c>
      <c r="AB48" s="108">
        <f t="shared" si="19"/>
        <v>-7319.8514498757031</v>
      </c>
      <c r="AC48" s="109">
        <f t="shared" si="20"/>
        <v>0.65486494234867132</v>
      </c>
      <c r="AD48" s="108">
        <f t="shared" si="21"/>
        <v>-2517.8637865666333</v>
      </c>
      <c r="AE48" s="108">
        <f t="shared" si="22"/>
        <v>190122.34709961177</v>
      </c>
      <c r="AF48" s="48">
        <f t="shared" si="23"/>
        <v>-1.3243386824208708E-2</v>
      </c>
      <c r="AG48" s="110"/>
    </row>
    <row r="49" spans="5:33" x14ac:dyDescent="0.4">
      <c r="E49" s="107">
        <v>45</v>
      </c>
      <c r="F49" s="107">
        <v>4</v>
      </c>
      <c r="G49" s="141">
        <f t="shared" si="24"/>
        <v>76450280.121366918</v>
      </c>
      <c r="H49" s="141">
        <f t="shared" si="0"/>
        <v>1454988.8889545999</v>
      </c>
      <c r="I49" s="141">
        <f t="shared" si="1"/>
        <v>786772.18475881859</v>
      </c>
      <c r="J49" s="141">
        <f t="shared" si="2"/>
        <v>668216.70419578126</v>
      </c>
      <c r="K49" s="108">
        <f t="shared" si="3"/>
        <v>75782063.417171136</v>
      </c>
      <c r="L49" s="108">
        <f t="shared" si="4"/>
        <v>79646284.443825856</v>
      </c>
      <c r="M49" s="108">
        <f t="shared" si="5"/>
        <v>38196.525237100912</v>
      </c>
      <c r="N49" s="108">
        <f t="shared" si="6"/>
        <v>12500</v>
      </c>
      <c r="O49" s="108">
        <f t="shared" si="7"/>
        <v>50696.525237100912</v>
      </c>
      <c r="P49" s="108">
        <f t="shared" si="8"/>
        <v>20278.610094840365</v>
      </c>
      <c r="Q49" s="100">
        <f t="shared" si="9"/>
        <v>2.2333333333333333E-3</v>
      </c>
      <c r="R49" s="100">
        <f>20%</f>
        <v>0.2</v>
      </c>
      <c r="S49" s="108">
        <f t="shared" si="10"/>
        <v>35575.340384908879</v>
      </c>
      <c r="T49" s="108">
        <f t="shared" si="11"/>
        <v>283142.54119780089</v>
      </c>
      <c r="U49" s="108">
        <f t="shared" si="12"/>
        <v>1722.5170392697651</v>
      </c>
      <c r="V49" s="108">
        <f t="shared" si="13"/>
        <v>2977.6837304360806</v>
      </c>
      <c r="W49" s="108">
        <f t="shared" si="14"/>
        <v>287842.74196750676</v>
      </c>
      <c r="X49" s="108">
        <f t="shared" si="15"/>
        <v>-5157.4252426483326</v>
      </c>
      <c r="Y49" s="108">
        <f t="shared" si="16"/>
        <v>-1392.5048155150498</v>
      </c>
      <c r="Z49" s="108">
        <f t="shared" si="17"/>
        <v>-3764.9204271332828</v>
      </c>
      <c r="AA49" s="108">
        <f t="shared" si="18"/>
        <v>3445.3047488387269</v>
      </c>
      <c r="AB49" s="108">
        <f t="shared" si="19"/>
        <v>-7210.2251759720093</v>
      </c>
      <c r="AC49" s="109">
        <f t="shared" si="20"/>
        <v>0.64859466480779016</v>
      </c>
      <c r="AD49" s="108">
        <f t="shared" si="21"/>
        <v>-2441.9073024645136</v>
      </c>
      <c r="AE49" s="108">
        <f t="shared" si="22"/>
        <v>186693.26674377028</v>
      </c>
      <c r="AF49" s="48">
        <f t="shared" si="23"/>
        <v>-1.3079782388809675E-2</v>
      </c>
      <c r="AG49" s="110"/>
    </row>
    <row r="50" spans="5:33" x14ac:dyDescent="0.4">
      <c r="E50" s="107">
        <v>46</v>
      </c>
      <c r="F50" s="107">
        <v>4</v>
      </c>
      <c r="G50" s="141">
        <f t="shared" si="24"/>
        <v>75782063.417171136</v>
      </c>
      <c r="H50" s="141">
        <f t="shared" si="0"/>
        <v>1454988.8889545999</v>
      </c>
      <c r="I50" s="141">
        <f t="shared" si="1"/>
        <v>779895.37128713692</v>
      </c>
      <c r="J50" s="141">
        <f t="shared" si="2"/>
        <v>675093.51766746293</v>
      </c>
      <c r="K50" s="108">
        <f t="shared" si="3"/>
        <v>75106969.899503678</v>
      </c>
      <c r="L50" s="108">
        <f t="shared" si="4"/>
        <v>78950132.937147215</v>
      </c>
      <c r="M50" s="108">
        <f t="shared" si="5"/>
        <v>37862.666994002946</v>
      </c>
      <c r="N50" s="108">
        <f t="shared" si="6"/>
        <v>12500</v>
      </c>
      <c r="O50" s="108">
        <f t="shared" si="7"/>
        <v>50362.666994002946</v>
      </c>
      <c r="P50" s="108">
        <f t="shared" si="8"/>
        <v>20145.066797601179</v>
      </c>
      <c r="Q50" s="100">
        <f t="shared" si="9"/>
        <v>2.2333333333333333E-3</v>
      </c>
      <c r="R50" s="100">
        <f>20%</f>
        <v>0.2</v>
      </c>
      <c r="S50" s="108">
        <f t="shared" si="10"/>
        <v>35264.392711925757</v>
      </c>
      <c r="T50" s="108">
        <f t="shared" si="11"/>
        <v>280667.7225915583</v>
      </c>
      <c r="U50" s="108">
        <f t="shared" si="12"/>
        <v>1711.1735298330264</v>
      </c>
      <c r="V50" s="108">
        <f t="shared" si="13"/>
        <v>2958.0744129513932</v>
      </c>
      <c r="W50" s="108">
        <f t="shared" si="14"/>
        <v>285336.97053434275</v>
      </c>
      <c r="X50" s="108">
        <f t="shared" si="15"/>
        <v>-5046.79251552399</v>
      </c>
      <c r="Y50" s="108">
        <f t="shared" si="16"/>
        <v>-1362.6339791914775</v>
      </c>
      <c r="Z50" s="108">
        <f t="shared" si="17"/>
        <v>-3684.1585363325125</v>
      </c>
      <c r="AA50" s="108">
        <f t="shared" si="18"/>
        <v>3415.3121696992503</v>
      </c>
      <c r="AB50" s="108">
        <f t="shared" si="19"/>
        <v>-7099.4707060317633</v>
      </c>
      <c r="AC50" s="109">
        <f t="shared" si="20"/>
        <v>0.64238442465461632</v>
      </c>
      <c r="AD50" s="108">
        <f t="shared" si="21"/>
        <v>-2366.6460616983545</v>
      </c>
      <c r="AE50" s="108">
        <f t="shared" si="22"/>
        <v>183296.02564939499</v>
      </c>
      <c r="AF50" s="48">
        <f t="shared" si="23"/>
        <v>-1.2911605984437592E-2</v>
      </c>
      <c r="AG50" s="110"/>
    </row>
    <row r="51" spans="5:33" x14ac:dyDescent="0.4">
      <c r="E51" s="107">
        <v>47</v>
      </c>
      <c r="F51" s="107">
        <v>4</v>
      </c>
      <c r="G51" s="141">
        <f t="shared" si="24"/>
        <v>75106969.899503678</v>
      </c>
      <c r="H51" s="141">
        <f t="shared" si="0"/>
        <v>1454988.8889545999</v>
      </c>
      <c r="I51" s="141">
        <f t="shared" si="1"/>
        <v>772947.78651742078</v>
      </c>
      <c r="J51" s="141">
        <f t="shared" si="2"/>
        <v>682041.10243717907</v>
      </c>
      <c r="K51" s="108">
        <f t="shared" si="3"/>
        <v>74424928.797066495</v>
      </c>
      <c r="L51" s="108">
        <f t="shared" si="4"/>
        <v>78246817.131777167</v>
      </c>
      <c r="M51" s="108">
        <f t="shared" si="5"/>
        <v>37525.372918113993</v>
      </c>
      <c r="N51" s="108">
        <f t="shared" si="6"/>
        <v>12500</v>
      </c>
      <c r="O51" s="108">
        <f t="shared" si="7"/>
        <v>50025.372918113993</v>
      </c>
      <c r="P51" s="108">
        <f t="shared" si="8"/>
        <v>20010.1491672456</v>
      </c>
      <c r="Q51" s="100">
        <f t="shared" si="9"/>
        <v>2.2333333333333333E-3</v>
      </c>
      <c r="R51" s="100">
        <f>20%</f>
        <v>0.2</v>
      </c>
      <c r="S51" s="108">
        <f t="shared" si="10"/>
        <v>34950.244985527133</v>
      </c>
      <c r="T51" s="108">
        <f t="shared" si="11"/>
        <v>278167.43490346783</v>
      </c>
      <c r="U51" s="108">
        <f t="shared" si="12"/>
        <v>1699.7132810241339</v>
      </c>
      <c r="V51" s="108">
        <f t="shared" si="13"/>
        <v>2938.2632902472278</v>
      </c>
      <c r="W51" s="108">
        <f t="shared" si="14"/>
        <v>282805.4114747392</v>
      </c>
      <c r="X51" s="108">
        <f t="shared" si="15"/>
        <v>-4935.0212346587396</v>
      </c>
      <c r="Y51" s="108">
        <f t="shared" si="16"/>
        <v>-1332.4557333578598</v>
      </c>
      <c r="Z51" s="108">
        <f t="shared" si="17"/>
        <v>-3602.56550130088</v>
      </c>
      <c r="AA51" s="108">
        <f t="shared" si="18"/>
        <v>3385.0109281588175</v>
      </c>
      <c r="AB51" s="108">
        <f t="shared" si="19"/>
        <v>-6987.5764294596975</v>
      </c>
      <c r="AC51" s="109">
        <f t="shared" si="20"/>
        <v>0.63623364703613916</v>
      </c>
      <c r="AD51" s="108">
        <f t="shared" si="21"/>
        <v>-2292.0733875792357</v>
      </c>
      <c r="AE51" s="108">
        <f t="shared" si="22"/>
        <v>179930.31834412931</v>
      </c>
      <c r="AF51" s="48">
        <f t="shared" si="23"/>
        <v>-1.2738672440936192E-2</v>
      </c>
      <c r="AG51" s="110"/>
    </row>
    <row r="52" spans="5:33" x14ac:dyDescent="0.4">
      <c r="E52" s="107">
        <v>48</v>
      </c>
      <c r="F52" s="107">
        <v>4</v>
      </c>
      <c r="G52" s="141">
        <f t="shared" si="24"/>
        <v>74424928.797066495</v>
      </c>
      <c r="H52" s="141">
        <f t="shared" si="0"/>
        <v>1454988.8889545999</v>
      </c>
      <c r="I52" s="141">
        <f t="shared" si="1"/>
        <v>765928.70212155022</v>
      </c>
      <c r="J52" s="141">
        <f t="shared" si="2"/>
        <v>689060.18683304964</v>
      </c>
      <c r="K52" s="108">
        <f t="shared" si="3"/>
        <v>73735868.610233441</v>
      </c>
      <c r="L52" s="108">
        <f t="shared" si="4"/>
        <v>77536263.297823191</v>
      </c>
      <c r="M52" s="108">
        <f t="shared" si="5"/>
        <v>37184.607650274236</v>
      </c>
      <c r="N52" s="108">
        <f t="shared" si="6"/>
        <v>12500</v>
      </c>
      <c r="O52" s="108">
        <f t="shared" si="7"/>
        <v>49684.607650274236</v>
      </c>
      <c r="P52" s="108">
        <f t="shared" si="8"/>
        <v>19873.843060109695</v>
      </c>
      <c r="Q52" s="100">
        <f t="shared" si="9"/>
        <v>2.2333333333333333E-3</v>
      </c>
      <c r="R52" s="100">
        <f>20%</f>
        <v>0.2</v>
      </c>
      <c r="S52" s="108">
        <f t="shared" si="10"/>
        <v>34632.864273027692</v>
      </c>
      <c r="T52" s="108">
        <f t="shared" si="11"/>
        <v>275641.41602376138</v>
      </c>
      <c r="U52" s="108">
        <f t="shared" si="12"/>
        <v>1688.1350914440768</v>
      </c>
      <c r="V52" s="108">
        <f t="shared" si="13"/>
        <v>2918.2482854870682</v>
      </c>
      <c r="W52" s="108">
        <f t="shared" si="14"/>
        <v>280247.79940069251</v>
      </c>
      <c r="X52" s="108">
        <f t="shared" si="15"/>
        <v>-4822.0996828631505</v>
      </c>
      <c r="Y52" s="108">
        <f t="shared" si="16"/>
        <v>-1301.9669143730507</v>
      </c>
      <c r="Z52" s="108">
        <f t="shared" si="17"/>
        <v>-3520.1327684900998</v>
      </c>
      <c r="AA52" s="108">
        <f t="shared" si="18"/>
        <v>3354.3978476824127</v>
      </c>
      <c r="AB52" s="108">
        <f t="shared" si="19"/>
        <v>-6874.530616172513</v>
      </c>
      <c r="AC52" s="109">
        <f t="shared" si="20"/>
        <v>0.63014176260351717</v>
      </c>
      <c r="AD52" s="108">
        <f t="shared" si="21"/>
        <v>-2218.18266733475</v>
      </c>
      <c r="AE52" s="108">
        <f t="shared" si="22"/>
        <v>176595.8422801093</v>
      </c>
      <c r="AF52" s="48">
        <f t="shared" si="23"/>
        <v>-1.2560786475461621E-2</v>
      </c>
      <c r="AG52" s="110"/>
    </row>
    <row r="53" spans="5:33" x14ac:dyDescent="0.4">
      <c r="E53" s="107">
        <v>49</v>
      </c>
      <c r="F53" s="107">
        <v>5</v>
      </c>
      <c r="G53" s="141">
        <f t="shared" si="24"/>
        <v>73735868.610233441</v>
      </c>
      <c r="H53" s="141">
        <f t="shared" si="0"/>
        <v>1454988.8889545999</v>
      </c>
      <c r="I53" s="141">
        <f t="shared" si="1"/>
        <v>758837.38227596809</v>
      </c>
      <c r="J53" s="141">
        <f t="shared" si="2"/>
        <v>696151.50667863176</v>
      </c>
      <c r="K53" s="108">
        <f t="shared" si="3"/>
        <v>73039717.103554815</v>
      </c>
      <c r="L53" s="108">
        <f t="shared" si="4"/>
        <v>76818396.946616948</v>
      </c>
      <c r="M53" s="108">
        <f t="shared" si="5"/>
        <v>36840.335467432436</v>
      </c>
      <c r="N53" s="108">
        <f t="shared" si="6"/>
        <v>12500</v>
      </c>
      <c r="O53" s="108">
        <f t="shared" si="7"/>
        <v>49340.335467432436</v>
      </c>
      <c r="P53" s="108">
        <f t="shared" si="8"/>
        <v>19736.134186972977</v>
      </c>
      <c r="Q53" s="100">
        <f t="shared" si="9"/>
        <v>2.2333333333333333E-3</v>
      </c>
      <c r="R53" s="100">
        <f>20%</f>
        <v>0.2</v>
      </c>
      <c r="S53" s="108">
        <f t="shared" si="10"/>
        <v>34312.217302822239</v>
      </c>
      <c r="T53" s="108">
        <f t="shared" si="11"/>
        <v>273089.40114522324</v>
      </c>
      <c r="U53" s="108">
        <f t="shared" si="12"/>
        <v>1676.4377473298964</v>
      </c>
      <c r="V53" s="108">
        <f t="shared" si="13"/>
        <v>2898.0273004610663</v>
      </c>
      <c r="W53" s="108">
        <f t="shared" si="14"/>
        <v>277663.8661930142</v>
      </c>
      <c r="X53" s="108">
        <f t="shared" si="15"/>
        <v>-4708.016022362779</v>
      </c>
      <c r="Y53" s="108">
        <f t="shared" si="16"/>
        <v>-1271.1643260379503</v>
      </c>
      <c r="Z53" s="108">
        <f t="shared" si="17"/>
        <v>-3436.8516963248285</v>
      </c>
      <c r="AA53" s="108">
        <f t="shared" si="18"/>
        <v>3323.4697190443762</v>
      </c>
      <c r="AB53" s="108">
        <f t="shared" si="19"/>
        <v>-6760.3214153692043</v>
      </c>
      <c r="AC53" s="109">
        <f t="shared" si="20"/>
        <v>0.62410820745937834</v>
      </c>
      <c r="AD53" s="108">
        <f t="shared" si="21"/>
        <v>-2144.9673514970123</v>
      </c>
      <c r="AE53" s="108">
        <f t="shared" si="22"/>
        <v>173292.29780596276</v>
      </c>
      <c r="AF53" s="48">
        <f t="shared" si="23"/>
        <v>-1.2377741992311482E-2</v>
      </c>
      <c r="AG53" s="110"/>
    </row>
    <row r="54" spans="5:33" x14ac:dyDescent="0.4">
      <c r="E54" s="107">
        <v>50</v>
      </c>
      <c r="F54" s="107">
        <v>5</v>
      </c>
      <c r="G54" s="141">
        <f t="shared" si="24"/>
        <v>73039717.103554815</v>
      </c>
      <c r="H54" s="141">
        <f t="shared" si="0"/>
        <v>1454988.8889545999</v>
      </c>
      <c r="I54" s="141">
        <f t="shared" si="1"/>
        <v>751673.0835845418</v>
      </c>
      <c r="J54" s="141">
        <f t="shared" si="2"/>
        <v>703315.80537005805</v>
      </c>
      <c r="K54" s="108">
        <f t="shared" si="3"/>
        <v>72336401.298184752</v>
      </c>
      <c r="L54" s="108">
        <f t="shared" si="4"/>
        <v>76093142.822905406</v>
      </c>
      <c r="M54" s="108">
        <f t="shared" si="5"/>
        <v>36492.520278900978</v>
      </c>
      <c r="N54" s="108">
        <f t="shared" si="6"/>
        <v>12500</v>
      </c>
      <c r="O54" s="108">
        <f t="shared" si="7"/>
        <v>48992.520278900978</v>
      </c>
      <c r="P54" s="108">
        <f t="shared" si="8"/>
        <v>19597.008111560393</v>
      </c>
      <c r="Q54" s="100">
        <f t="shared" si="9"/>
        <v>2.2333333333333333E-3</v>
      </c>
      <c r="R54" s="100">
        <f>20%</f>
        <v>0.2</v>
      </c>
      <c r="S54" s="108">
        <f t="shared" si="10"/>
        <v>33988.270460897751</v>
      </c>
      <c r="T54" s="108">
        <f t="shared" si="11"/>
        <v>270511.12273542868</v>
      </c>
      <c r="U54" s="108">
        <f t="shared" si="12"/>
        <v>1664.6200224274446</v>
      </c>
      <c r="V54" s="108">
        <f t="shared" si="13"/>
        <v>2877.5982153660834</v>
      </c>
      <c r="W54" s="108">
        <f t="shared" si="14"/>
        <v>275053.34097322222</v>
      </c>
      <c r="X54" s="108">
        <f t="shared" si="15"/>
        <v>-4592.7582935571663</v>
      </c>
      <c r="Y54" s="108">
        <f t="shared" si="16"/>
        <v>-1240.0447392604349</v>
      </c>
      <c r="Z54" s="108">
        <f t="shared" si="17"/>
        <v>-3352.7135542967317</v>
      </c>
      <c r="AA54" s="108">
        <f t="shared" si="18"/>
        <v>3292.2232999919624</v>
      </c>
      <c r="AB54" s="108">
        <f t="shared" si="19"/>
        <v>-6644.9368542886941</v>
      </c>
      <c r="AC54" s="109">
        <f t="shared" si="20"/>
        <v>0.61813242310561989</v>
      </c>
      <c r="AD54" s="108">
        <f t="shared" si="21"/>
        <v>-2072.4209532964942</v>
      </c>
      <c r="AE54" s="108">
        <f t="shared" si="22"/>
        <v>170019.38813907414</v>
      </c>
      <c r="AF54" s="48">
        <f t="shared" si="23"/>
        <v>-1.2189321323761469E-2</v>
      </c>
      <c r="AG54" s="110"/>
    </row>
    <row r="55" spans="5:33" x14ac:dyDescent="0.4">
      <c r="E55" s="107">
        <v>51</v>
      </c>
      <c r="F55" s="107">
        <v>5</v>
      </c>
      <c r="G55" s="141">
        <f t="shared" si="24"/>
        <v>72336401.298184752</v>
      </c>
      <c r="H55" s="141">
        <f t="shared" si="0"/>
        <v>1454988.8889545999</v>
      </c>
      <c r="I55" s="141">
        <f t="shared" si="1"/>
        <v>744435.05500063137</v>
      </c>
      <c r="J55" s="141">
        <f t="shared" si="2"/>
        <v>710553.83395396848</v>
      </c>
      <c r="K55" s="108">
        <f t="shared" si="3"/>
        <v>71625847.464230791</v>
      </c>
      <c r="L55" s="108">
        <f t="shared" si="4"/>
        <v>75360424.896961704</v>
      </c>
      <c r="M55" s="108">
        <f t="shared" si="5"/>
        <v>36141.125622572421</v>
      </c>
      <c r="N55" s="108">
        <f t="shared" si="6"/>
        <v>12500</v>
      </c>
      <c r="O55" s="108">
        <f t="shared" si="7"/>
        <v>48641.125622572421</v>
      </c>
      <c r="P55" s="108">
        <f t="shared" si="8"/>
        <v>19456.450249028971</v>
      </c>
      <c r="Q55" s="100">
        <f t="shared" si="9"/>
        <v>2.2333333333333333E-3</v>
      </c>
      <c r="R55" s="100">
        <f>20%</f>
        <v>0.2</v>
      </c>
      <c r="S55" s="108">
        <f t="shared" si="10"/>
        <v>33660.989787309562</v>
      </c>
      <c r="T55" s="108">
        <f t="shared" si="11"/>
        <v>267906.31050869881</v>
      </c>
      <c r="U55" s="108">
        <f t="shared" si="12"/>
        <v>1652.6806778628329</v>
      </c>
      <c r="V55" s="108">
        <f t="shared" si="13"/>
        <v>2856.9588885834664</v>
      </c>
      <c r="W55" s="108">
        <f t="shared" si="14"/>
        <v>272415.95007514511</v>
      </c>
      <c r="X55" s="108">
        <f t="shared" si="15"/>
        <v>-4476.3144137661111</v>
      </c>
      <c r="Y55" s="108">
        <f t="shared" si="16"/>
        <v>-1208.60489171685</v>
      </c>
      <c r="Z55" s="108">
        <f t="shared" si="17"/>
        <v>-3267.7095220492611</v>
      </c>
      <c r="AA55" s="108">
        <f t="shared" si="18"/>
        <v>3260.6553149054571</v>
      </c>
      <c r="AB55" s="108">
        <f t="shared" si="19"/>
        <v>-6528.3648369547182</v>
      </c>
      <c r="AC55" s="109">
        <f t="shared" si="20"/>
        <v>0.61221385639171266</v>
      </c>
      <c r="AD55" s="108">
        <f t="shared" si="21"/>
        <v>-2000.5370480616984</v>
      </c>
      <c r="AE55" s="108">
        <f t="shared" si="22"/>
        <v>166776.81933811685</v>
      </c>
      <c r="AF55" s="48">
        <f t="shared" si="23"/>
        <v>-1.1995294406028256E-2</v>
      </c>
      <c r="AG55" s="110"/>
    </row>
    <row r="56" spans="5:33" x14ac:dyDescent="0.4">
      <c r="E56" s="107">
        <v>52</v>
      </c>
      <c r="F56" s="107">
        <v>5</v>
      </c>
      <c r="G56" s="141">
        <f t="shared" si="24"/>
        <v>71625847.464230791</v>
      </c>
      <c r="H56" s="141">
        <f t="shared" si="0"/>
        <v>1454988.8889545999</v>
      </c>
      <c r="I56" s="141">
        <f t="shared" si="1"/>
        <v>737122.53774835693</v>
      </c>
      <c r="J56" s="141">
        <f t="shared" si="2"/>
        <v>717866.35120624292</v>
      </c>
      <c r="K56" s="108">
        <f t="shared" si="3"/>
        <v>70907981.113024548</v>
      </c>
      <c r="L56" s="108">
        <f t="shared" si="4"/>
        <v>74620166.356614888</v>
      </c>
      <c r="M56" s="108">
        <f t="shared" si="5"/>
        <v>35786.114661097141</v>
      </c>
      <c r="N56" s="108">
        <f t="shared" si="6"/>
        <v>12500</v>
      </c>
      <c r="O56" s="108">
        <f t="shared" si="7"/>
        <v>48286.114661097141</v>
      </c>
      <c r="P56" s="108">
        <f t="shared" si="8"/>
        <v>19314.445864438858</v>
      </c>
      <c r="Q56" s="100">
        <f t="shared" si="9"/>
        <v>2.2333333333333333E-3</v>
      </c>
      <c r="R56" s="100">
        <f>20%</f>
        <v>0.2</v>
      </c>
      <c r="S56" s="108">
        <f t="shared" si="10"/>
        <v>33330.340972621314</v>
      </c>
      <c r="T56" s="108">
        <f t="shared" si="11"/>
        <v>265274.69139776588</v>
      </c>
      <c r="U56" s="108">
        <f t="shared" si="12"/>
        <v>1640.6184620125603</v>
      </c>
      <c r="V56" s="108">
        <f t="shared" si="13"/>
        <v>2836.1071564545396</v>
      </c>
      <c r="W56" s="108">
        <f t="shared" si="14"/>
        <v>269751.41701623297</v>
      </c>
      <c r="X56" s="108">
        <f t="shared" si="15"/>
        <v>-4358.6721759630309</v>
      </c>
      <c r="Y56" s="108">
        <f t="shared" si="16"/>
        <v>-1176.8414875100184</v>
      </c>
      <c r="Z56" s="108">
        <f t="shared" si="17"/>
        <v>-3181.8306884530125</v>
      </c>
      <c r="AA56" s="108">
        <f t="shared" si="18"/>
        <v>3228.7624544547875</v>
      </c>
      <c r="AB56" s="108">
        <f t="shared" si="19"/>
        <v>-6410.5931429078</v>
      </c>
      <c r="AC56" s="109">
        <f t="shared" si="20"/>
        <v>0.60635195946349796</v>
      </c>
      <c r="AD56" s="108">
        <f t="shared" si="21"/>
        <v>-1929.3092726245748</v>
      </c>
      <c r="AE56" s="108">
        <f t="shared" si="22"/>
        <v>163564.30027584801</v>
      </c>
      <c r="AF56" s="48">
        <f t="shared" si="23"/>
        <v>-1.1795417883797578E-2</v>
      </c>
      <c r="AG56" s="110"/>
    </row>
    <row r="57" spans="5:33" x14ac:dyDescent="0.4">
      <c r="E57" s="107">
        <v>53</v>
      </c>
      <c r="F57" s="107">
        <v>5</v>
      </c>
      <c r="G57" s="141">
        <f t="shared" si="24"/>
        <v>70907981.113024548</v>
      </c>
      <c r="H57" s="141">
        <f t="shared" si="0"/>
        <v>1454988.8889545999</v>
      </c>
      <c r="I57" s="141">
        <f t="shared" si="1"/>
        <v>729734.76524305344</v>
      </c>
      <c r="J57" s="141">
        <f t="shared" si="2"/>
        <v>725254.12371154642</v>
      </c>
      <c r="K57" s="108">
        <f t="shared" si="3"/>
        <v>70182726.989313006</v>
      </c>
      <c r="L57" s="108">
        <f t="shared" si="4"/>
        <v>73872289.599197447</v>
      </c>
      <c r="M57" s="108">
        <f t="shared" si="5"/>
        <v>35427.450178021543</v>
      </c>
      <c r="N57" s="108">
        <f t="shared" si="6"/>
        <v>12500</v>
      </c>
      <c r="O57" s="108">
        <f t="shared" si="7"/>
        <v>47927.450178021543</v>
      </c>
      <c r="P57" s="108">
        <f t="shared" si="8"/>
        <v>19170.980071208618</v>
      </c>
      <c r="Q57" s="100">
        <f t="shared" si="9"/>
        <v>2.2333333333333333E-3</v>
      </c>
      <c r="R57" s="100">
        <f>20%</f>
        <v>0.2</v>
      </c>
      <c r="S57" s="108">
        <f t="shared" si="10"/>
        <v>32996.289354308195</v>
      </c>
      <c r="T57" s="108">
        <f t="shared" si="11"/>
        <v>262615.9895251469</v>
      </c>
      <c r="U57" s="108">
        <f t="shared" si="12"/>
        <v>1628.4321103723007</v>
      </c>
      <c r="V57" s="108">
        <f t="shared" si="13"/>
        <v>2815.0408330537812</v>
      </c>
      <c r="W57" s="108">
        <f t="shared" si="14"/>
        <v>267059.46246857295</v>
      </c>
      <c r="X57" s="108">
        <f t="shared" si="15"/>
        <v>-4239.8192474952702</v>
      </c>
      <c r="Y57" s="108">
        <f t="shared" si="16"/>
        <v>-1144.7511968237231</v>
      </c>
      <c r="Z57" s="108">
        <f t="shared" si="17"/>
        <v>-3095.0680506715471</v>
      </c>
      <c r="AA57" s="108">
        <f t="shared" si="18"/>
        <v>3196.5413752525956</v>
      </c>
      <c r="AB57" s="108">
        <f t="shared" si="19"/>
        <v>-6291.6094259241427</v>
      </c>
      <c r="AC57" s="109">
        <f t="shared" si="20"/>
        <v>0.60054618971247498</v>
      </c>
      <c r="AD57" s="108">
        <f t="shared" si="21"/>
        <v>-1858.7313247316151</v>
      </c>
      <c r="AE57" s="108">
        <f t="shared" si="22"/>
        <v>160381.5426121632</v>
      </c>
      <c r="AF57" s="48">
        <f t="shared" si="23"/>
        <v>-1.1589434135986733E-2</v>
      </c>
      <c r="AG57" s="110"/>
    </row>
    <row r="58" spans="5:33" x14ac:dyDescent="0.4">
      <c r="E58" s="107">
        <v>54</v>
      </c>
      <c r="F58" s="107">
        <v>5</v>
      </c>
      <c r="G58" s="141">
        <f t="shared" si="24"/>
        <v>70182726.989313006</v>
      </c>
      <c r="H58" s="141">
        <f t="shared" si="0"/>
        <v>1454988.8889545999</v>
      </c>
      <c r="I58" s="141">
        <f t="shared" si="1"/>
        <v>722270.96301090973</v>
      </c>
      <c r="J58" s="141">
        <f t="shared" si="2"/>
        <v>732717.92594369012</v>
      </c>
      <c r="K58" s="108">
        <f t="shared" si="3"/>
        <v>69450009.063369319</v>
      </c>
      <c r="L58" s="108">
        <f t="shared" si="4"/>
        <v>73116716.22341013</v>
      </c>
      <c r="M58" s="108">
        <f t="shared" si="5"/>
        <v>35065.09457388665</v>
      </c>
      <c r="N58" s="108">
        <f t="shared" si="6"/>
        <v>12500</v>
      </c>
      <c r="O58" s="108">
        <f t="shared" si="7"/>
        <v>47565.09457388665</v>
      </c>
      <c r="P58" s="108">
        <f t="shared" si="8"/>
        <v>19026.037829554662</v>
      </c>
      <c r="Q58" s="100">
        <f t="shared" si="9"/>
        <v>2.2333333333333333E-3</v>
      </c>
      <c r="R58" s="100">
        <f>20%</f>
        <v>0.2</v>
      </c>
      <c r="S58" s="108">
        <f t="shared" si="10"/>
        <v>32658.799913123192</v>
      </c>
      <c r="T58" s="108">
        <f t="shared" si="11"/>
        <v>259929.92617422299</v>
      </c>
      <c r="U58" s="108">
        <f t="shared" si="12"/>
        <v>1616.1203454243459</v>
      </c>
      <c r="V58" s="108">
        <f t="shared" si="13"/>
        <v>2793.7577099596724</v>
      </c>
      <c r="W58" s="108">
        <f t="shared" si="14"/>
        <v>264339.80422960699</v>
      </c>
      <c r="X58" s="108">
        <f t="shared" si="15"/>
        <v>-4119.7431687912031</v>
      </c>
      <c r="Y58" s="108">
        <f t="shared" si="16"/>
        <v>-1112.3306555736249</v>
      </c>
      <c r="Z58" s="108">
        <f t="shared" si="17"/>
        <v>-3007.4125132175782</v>
      </c>
      <c r="AA58" s="108">
        <f t="shared" si="18"/>
        <v>3163.9886995037468</v>
      </c>
      <c r="AB58" s="108">
        <f t="shared" si="19"/>
        <v>-6171.4012127213246</v>
      </c>
      <c r="AC58" s="109">
        <f t="shared" si="20"/>
        <v>0.594796009725575</v>
      </c>
      <c r="AD58" s="108">
        <f t="shared" si="21"/>
        <v>-1788.7969624605787</v>
      </c>
      <c r="AE58" s="108">
        <f t="shared" si="22"/>
        <v>157228.2607674099</v>
      </c>
      <c r="AF58" s="48">
        <f t="shared" si="23"/>
        <v>-1.1377070214538418E-2</v>
      </c>
      <c r="AG58" s="110"/>
    </row>
    <row r="59" spans="5:33" x14ac:dyDescent="0.4">
      <c r="E59" s="107">
        <v>55</v>
      </c>
      <c r="F59" s="107">
        <v>5</v>
      </c>
      <c r="G59" s="141">
        <f t="shared" si="24"/>
        <v>69450009.063369319</v>
      </c>
      <c r="H59" s="141">
        <f t="shared" si="0"/>
        <v>1454988.8889545999</v>
      </c>
      <c r="I59" s="141">
        <f t="shared" si="1"/>
        <v>714730.34860777762</v>
      </c>
      <c r="J59" s="141">
        <f t="shared" si="2"/>
        <v>740258.54034682224</v>
      </c>
      <c r="K59" s="108">
        <f t="shared" si="3"/>
        <v>68709750.523022503</v>
      </c>
      <c r="L59" s="108">
        <f t="shared" si="4"/>
        <v>72353367.02110301</v>
      </c>
      <c r="M59" s="108">
        <f t="shared" si="5"/>
        <v>34699.009862286461</v>
      </c>
      <c r="N59" s="108">
        <f t="shared" si="6"/>
        <v>12500</v>
      </c>
      <c r="O59" s="108">
        <f t="shared" si="7"/>
        <v>47199.009862286461</v>
      </c>
      <c r="P59" s="108">
        <f t="shared" si="8"/>
        <v>18879.603944914586</v>
      </c>
      <c r="Q59" s="100">
        <f t="shared" si="9"/>
        <v>2.2333333333333333E-3</v>
      </c>
      <c r="R59" s="100">
        <f>20%</f>
        <v>0.2</v>
      </c>
      <c r="S59" s="108">
        <f t="shared" si="10"/>
        <v>32317.837269426011</v>
      </c>
      <c r="T59" s="108">
        <f t="shared" si="11"/>
        <v>257216.21976002117</v>
      </c>
      <c r="U59" s="108">
        <f t="shared" si="12"/>
        <v>1603.681876503679</v>
      </c>
      <c r="V59" s="108">
        <f t="shared" si="13"/>
        <v>2772.2555560231826</v>
      </c>
      <c r="W59" s="108">
        <f t="shared" si="14"/>
        <v>261592.15719254804</v>
      </c>
      <c r="X59" s="108">
        <f t="shared" si="15"/>
        <v>-3998.4313520541364</v>
      </c>
      <c r="Y59" s="108">
        <f t="shared" si="16"/>
        <v>-1079.5764650546168</v>
      </c>
      <c r="Z59" s="108">
        <f t="shared" si="17"/>
        <v>-2918.8548869995193</v>
      </c>
      <c r="AA59" s="108">
        <f t="shared" si="18"/>
        <v>3131.1010146512294</v>
      </c>
      <c r="AB59" s="108">
        <f t="shared" si="19"/>
        <v>-6049.9559016507483</v>
      </c>
      <c r="AC59" s="109">
        <f t="shared" si="20"/>
        <v>0.58910088723541387</v>
      </c>
      <c r="AD59" s="108">
        <f t="shared" si="21"/>
        <v>-1719.5000036428405</v>
      </c>
      <c r="AE59" s="108">
        <f t="shared" si="22"/>
        <v>154104.17189595589</v>
      </c>
      <c r="AF59" s="48">
        <f t="shared" si="23"/>
        <v>-1.1158036687051979E-2</v>
      </c>
      <c r="AG59" s="110"/>
    </row>
    <row r="60" spans="5:33" x14ac:dyDescent="0.4">
      <c r="E60" s="107">
        <v>56</v>
      </c>
      <c r="F60" s="107">
        <v>5</v>
      </c>
      <c r="G60" s="141">
        <f t="shared" si="24"/>
        <v>68709750.523022503</v>
      </c>
      <c r="H60" s="141">
        <f t="shared" si="0"/>
        <v>1454988.8889545999</v>
      </c>
      <c r="I60" s="141">
        <f t="shared" si="1"/>
        <v>707112.13153714768</v>
      </c>
      <c r="J60" s="141">
        <f t="shared" si="2"/>
        <v>747876.75741745217</v>
      </c>
      <c r="K60" s="108">
        <f t="shared" si="3"/>
        <v>67961873.765605047</v>
      </c>
      <c r="L60" s="108">
        <f t="shared" si="4"/>
        <v>71582161.968971938</v>
      </c>
      <c r="M60" s="108">
        <f t="shared" si="5"/>
        <v>34329.157665885759</v>
      </c>
      <c r="N60" s="108">
        <f t="shared" si="6"/>
        <v>12500</v>
      </c>
      <c r="O60" s="108">
        <f t="shared" si="7"/>
        <v>46829.157665885759</v>
      </c>
      <c r="P60" s="108">
        <f t="shared" si="8"/>
        <v>18731.663066354304</v>
      </c>
      <c r="Q60" s="100">
        <f t="shared" si="9"/>
        <v>2.2333333333333333E-3</v>
      </c>
      <c r="R60" s="100">
        <f>20%</f>
        <v>0.2</v>
      </c>
      <c r="S60" s="108">
        <f t="shared" si="10"/>
        <v>31973.365679474133</v>
      </c>
      <c r="T60" s="108">
        <f t="shared" si="11"/>
        <v>254474.5857996952</v>
      </c>
      <c r="U60" s="108">
        <f t="shared" si="12"/>
        <v>1591.115399662672</v>
      </c>
      <c r="V60" s="108">
        <f t="shared" si="13"/>
        <v>2750.5321171338751</v>
      </c>
      <c r="W60" s="108">
        <f t="shared" si="14"/>
        <v>258816.23331649174</v>
      </c>
      <c r="X60" s="108">
        <f t="shared" si="15"/>
        <v>-3875.8710799426772</v>
      </c>
      <c r="Y60" s="108">
        <f t="shared" si="16"/>
        <v>-1046.4851915845229</v>
      </c>
      <c r="Z60" s="108">
        <f t="shared" si="17"/>
        <v>-2829.3858883581543</v>
      </c>
      <c r="AA60" s="108">
        <f t="shared" si="18"/>
        <v>3097.8748730184097</v>
      </c>
      <c r="AB60" s="108">
        <f t="shared" si="19"/>
        <v>-5927.260761376564</v>
      </c>
      <c r="AC60" s="109">
        <f t="shared" si="20"/>
        <v>0.58346029507102426</v>
      </c>
      <c r="AD60" s="108">
        <f t="shared" si="21"/>
        <v>-1650.8343252912407</v>
      </c>
      <c r="AE60" s="108">
        <f t="shared" si="22"/>
        <v>151008.99586001132</v>
      </c>
      <c r="AF60" s="48">
        <f t="shared" si="23"/>
        <v>-1.0932026372929469E-2</v>
      </c>
      <c r="AG60" s="110"/>
    </row>
    <row r="61" spans="5:33" x14ac:dyDescent="0.4">
      <c r="E61" s="107">
        <v>57</v>
      </c>
      <c r="F61" s="107">
        <v>5</v>
      </c>
      <c r="G61" s="141">
        <f t="shared" si="24"/>
        <v>67961873.765605047</v>
      </c>
      <c r="H61" s="141">
        <f t="shared" si="0"/>
        <v>1454988.8889545999</v>
      </c>
      <c r="I61" s="141">
        <f t="shared" si="1"/>
        <v>699415.51316727966</v>
      </c>
      <c r="J61" s="141">
        <f t="shared" si="2"/>
        <v>755573.3757873202</v>
      </c>
      <c r="K61" s="108">
        <f t="shared" si="3"/>
        <v>67206300.38981773</v>
      </c>
      <c r="L61" s="108">
        <f t="shared" si="4"/>
        <v>70803020.220169514</v>
      </c>
      <c r="M61" s="108">
        <f t="shared" si="5"/>
        <v>33955.499212396935</v>
      </c>
      <c r="N61" s="108">
        <f t="shared" si="6"/>
        <v>12500</v>
      </c>
      <c r="O61" s="108">
        <f t="shared" si="7"/>
        <v>46455.499212396935</v>
      </c>
      <c r="P61" s="108">
        <f t="shared" si="8"/>
        <v>18582.199684958774</v>
      </c>
      <c r="Q61" s="100">
        <f t="shared" si="9"/>
        <v>2.2333333333333333E-3</v>
      </c>
      <c r="R61" s="100">
        <f>20%</f>
        <v>0.2</v>
      </c>
      <c r="S61" s="108">
        <f t="shared" si="10"/>
        <v>31625.349031675716</v>
      </c>
      <c r="T61" s="108">
        <f t="shared" si="11"/>
        <v>251704.73688270262</v>
      </c>
      <c r="U61" s="108">
        <f t="shared" si="12"/>
        <v>1578.41959753439</v>
      </c>
      <c r="V61" s="108">
        <f t="shared" si="13"/>
        <v>2728.5851159836002</v>
      </c>
      <c r="W61" s="108">
        <f t="shared" si="14"/>
        <v>256011.74159622061</v>
      </c>
      <c r="X61" s="108">
        <f t="shared" si="15"/>
        <v>-3752.0495042375551</v>
      </c>
      <c r="Y61" s="108">
        <f t="shared" si="16"/>
        <v>-1013.0533661441399</v>
      </c>
      <c r="Z61" s="108">
        <f t="shared" si="17"/>
        <v>-2738.9961380934151</v>
      </c>
      <c r="AA61" s="108">
        <f t="shared" si="18"/>
        <v>3064.3067914476064</v>
      </c>
      <c r="AB61" s="108">
        <f t="shared" si="19"/>
        <v>-5803.3029295410215</v>
      </c>
      <c r="AC61" s="109">
        <f t="shared" si="20"/>
        <v>0.57787371110905694</v>
      </c>
      <c r="AD61" s="108">
        <f t="shared" si="21"/>
        <v>-1582.7938630334168</v>
      </c>
      <c r="AE61" s="108">
        <f t="shared" si="22"/>
        <v>147942.45520370093</v>
      </c>
      <c r="AF61" s="48">
        <f t="shared" si="23"/>
        <v>-1.0698712961428679E-2</v>
      </c>
      <c r="AG61" s="110"/>
    </row>
    <row r="62" spans="5:33" x14ac:dyDescent="0.4">
      <c r="E62" s="107">
        <v>58</v>
      </c>
      <c r="F62" s="107">
        <v>5</v>
      </c>
      <c r="G62" s="141">
        <f t="shared" si="24"/>
        <v>67206300.38981773</v>
      </c>
      <c r="H62" s="141">
        <f t="shared" si="0"/>
        <v>1454988.8889545999</v>
      </c>
      <c r="I62" s="141">
        <f t="shared" si="1"/>
        <v>691639.6866474807</v>
      </c>
      <c r="J62" s="141">
        <f t="shared" si="2"/>
        <v>763349.20230711915</v>
      </c>
      <c r="K62" s="108">
        <f t="shared" si="3"/>
        <v>66442951.18751061</v>
      </c>
      <c r="L62" s="108">
        <f t="shared" si="4"/>
        <v>70015860.09582983</v>
      </c>
      <c r="M62" s="108">
        <f t="shared" si="5"/>
        <v>33577.99533051547</v>
      </c>
      <c r="N62" s="108">
        <f t="shared" si="6"/>
        <v>12500</v>
      </c>
      <c r="O62" s="108">
        <f t="shared" si="7"/>
        <v>46077.99533051547</v>
      </c>
      <c r="P62" s="108">
        <f t="shared" si="8"/>
        <v>18431.198132206187</v>
      </c>
      <c r="Q62" s="100">
        <f t="shared" si="9"/>
        <v>2.2333333333333333E-3</v>
      </c>
      <c r="R62" s="100">
        <f>20%</f>
        <v>0.2</v>
      </c>
      <c r="S62" s="108">
        <f t="shared" si="10"/>
        <v>31273.750842803991</v>
      </c>
      <c r="T62" s="108">
        <f t="shared" si="11"/>
        <v>248906.38264067503</v>
      </c>
      <c r="U62" s="108">
        <f t="shared" si="12"/>
        <v>1565.5931391944912</v>
      </c>
      <c r="V62" s="108">
        <f t="shared" si="13"/>
        <v>2706.4122518277691</v>
      </c>
      <c r="W62" s="108">
        <f t="shared" si="14"/>
        <v>253178.38803169731</v>
      </c>
      <c r="X62" s="108">
        <f t="shared" si="15"/>
        <v>-3626.953644494708</v>
      </c>
      <c r="Y62" s="108">
        <f t="shared" si="16"/>
        <v>-979.27748401357121</v>
      </c>
      <c r="Z62" s="108">
        <f t="shared" si="17"/>
        <v>-2647.6761604811368</v>
      </c>
      <c r="AA62" s="108">
        <f t="shared" si="18"/>
        <v>3030.3932509349424</v>
      </c>
      <c r="AB62" s="108">
        <f t="shared" si="19"/>
        <v>-5678.0694114160797</v>
      </c>
      <c r="AC62" s="109">
        <f t="shared" si="20"/>
        <v>0.57234061822545068</v>
      </c>
      <c r="AD62" s="108">
        <f t="shared" si="21"/>
        <v>-1515.3726105505614</v>
      </c>
      <c r="AE62" s="108">
        <f t="shared" si="22"/>
        <v>144904.2751273847</v>
      </c>
      <c r="AF62" s="48">
        <f t="shared" si="23"/>
        <v>-1.045774949854588E-2</v>
      </c>
      <c r="AG62" s="110"/>
    </row>
    <row r="63" spans="5:33" x14ac:dyDescent="0.4">
      <c r="E63" s="107">
        <v>59</v>
      </c>
      <c r="F63" s="107">
        <v>5</v>
      </c>
      <c r="G63" s="141">
        <f t="shared" si="24"/>
        <v>66442951.18751061</v>
      </c>
      <c r="H63" s="141">
        <f t="shared" si="0"/>
        <v>1454988.8889545999</v>
      </c>
      <c r="I63" s="141">
        <f t="shared" si="1"/>
        <v>683783.83682352141</v>
      </c>
      <c r="J63" s="141">
        <f t="shared" si="2"/>
        <v>771205.05213107844</v>
      </c>
      <c r="K63" s="108">
        <f t="shared" si="3"/>
        <v>65671746.13537953</v>
      </c>
      <c r="L63" s="108">
        <f t="shared" si="4"/>
        <v>69220599.076505885</v>
      </c>
      <c r="M63" s="108">
        <f t="shared" si="5"/>
        <v>33196.60644581345</v>
      </c>
      <c r="N63" s="108">
        <f t="shared" si="6"/>
        <v>12500</v>
      </c>
      <c r="O63" s="108">
        <f t="shared" si="7"/>
        <v>45696.60644581345</v>
      </c>
      <c r="P63" s="108">
        <f t="shared" si="8"/>
        <v>18278.64257832538</v>
      </c>
      <c r="Q63" s="100">
        <f t="shared" si="9"/>
        <v>2.2333333333333333E-3</v>
      </c>
      <c r="R63" s="100">
        <f>20%</f>
        <v>0.2</v>
      </c>
      <c r="S63" s="108">
        <f t="shared" si="10"/>
        <v>30918.534254172628</v>
      </c>
      <c r="T63" s="108">
        <f t="shared" si="11"/>
        <v>246079.22971697841</v>
      </c>
      <c r="U63" s="108">
        <f t="shared" si="12"/>
        <v>1552.6346800217007</v>
      </c>
      <c r="V63" s="108">
        <f t="shared" si="13"/>
        <v>2684.0112002441538</v>
      </c>
      <c r="W63" s="108">
        <f t="shared" si="14"/>
        <v>250315.87559724427</v>
      </c>
      <c r="X63" s="108">
        <f t="shared" si="15"/>
        <v>-3500.5703866845579</v>
      </c>
      <c r="Y63" s="108">
        <f t="shared" si="16"/>
        <v>-945.15400440483074</v>
      </c>
      <c r="Z63" s="108">
        <f t="shared" si="17"/>
        <v>-2555.4163822797273</v>
      </c>
      <c r="AA63" s="108">
        <f t="shared" si="18"/>
        <v>2996.1306962614458</v>
      </c>
      <c r="AB63" s="108">
        <f t="shared" si="19"/>
        <v>-5551.5470785411726</v>
      </c>
      <c r="AC63" s="109">
        <f t="shared" si="20"/>
        <v>0.56686050424756362</v>
      </c>
      <c r="AD63" s="108">
        <f t="shared" si="21"/>
        <v>-1448.5646190215709</v>
      </c>
      <c r="AE63" s="108">
        <f t="shared" si="22"/>
        <v>141894.18346222429</v>
      </c>
      <c r="AF63" s="48">
        <f t="shared" si="23"/>
        <v>-1.0208766727969609E-2</v>
      </c>
      <c r="AG63" s="110"/>
    </row>
    <row r="64" spans="5:33" x14ac:dyDescent="0.4">
      <c r="E64" s="107">
        <v>60</v>
      </c>
      <c r="F64" s="107">
        <v>5</v>
      </c>
      <c r="G64" s="141">
        <f t="shared" si="24"/>
        <v>65671746.13537953</v>
      </c>
      <c r="H64" s="141">
        <f t="shared" si="0"/>
        <v>1454988.8889545999</v>
      </c>
      <c r="I64" s="141">
        <f t="shared" si="1"/>
        <v>675847.1401521822</v>
      </c>
      <c r="J64" s="141">
        <f t="shared" si="2"/>
        <v>779141.74880241766</v>
      </c>
      <c r="K64" s="108">
        <f t="shared" si="3"/>
        <v>64892604.386577114</v>
      </c>
      <c r="L64" s="108">
        <f t="shared" si="4"/>
        <v>68417153.793518871</v>
      </c>
      <c r="M64" s="108">
        <f t="shared" si="5"/>
        <v>32811.292576590997</v>
      </c>
      <c r="N64" s="108">
        <f t="shared" si="6"/>
        <v>12500</v>
      </c>
      <c r="O64" s="108">
        <f t="shared" si="7"/>
        <v>45311.292576590997</v>
      </c>
      <c r="P64" s="108">
        <f t="shared" si="8"/>
        <v>18124.517030636398</v>
      </c>
      <c r="Q64" s="100">
        <f t="shared" si="9"/>
        <v>2.2333333333333333E-3</v>
      </c>
      <c r="R64" s="100">
        <f>20%</f>
        <v>0.2</v>
      </c>
      <c r="S64" s="108">
        <f t="shared" si="10"/>
        <v>30559.662027771763</v>
      </c>
      <c r="T64" s="108">
        <f t="shared" si="11"/>
        <v>243222.98173595956</v>
      </c>
      <c r="U64" s="108">
        <f t="shared" si="12"/>
        <v>1539.5428615568539</v>
      </c>
      <c r="V64" s="108">
        <f t="shared" si="13"/>
        <v>2661.3796128892195</v>
      </c>
      <c r="W64" s="108">
        <f t="shared" si="14"/>
        <v>247423.90421040566</v>
      </c>
      <c r="X64" s="108">
        <f t="shared" si="15"/>
        <v>-3372.8864818171642</v>
      </c>
      <c r="Y64" s="108">
        <f t="shared" si="16"/>
        <v>-910.67935009063433</v>
      </c>
      <c r="Z64" s="108">
        <f t="shared" si="17"/>
        <v>-2462.20713172653</v>
      </c>
      <c r="AA64" s="108">
        <f t="shared" si="18"/>
        <v>2961.5155356203427</v>
      </c>
      <c r="AB64" s="108">
        <f t="shared" si="19"/>
        <v>-5423.7226673468722</v>
      </c>
      <c r="AC64" s="109">
        <f t="shared" si="20"/>
        <v>0.56143286190676533</v>
      </c>
      <c r="AD64" s="108">
        <f t="shared" si="21"/>
        <v>-1382.3639965724738</v>
      </c>
      <c r="AE64" s="108">
        <f t="shared" si="22"/>
        <v>138911.91064499342</v>
      </c>
      <c r="AF64" s="48">
        <f t="shared" si="23"/>
        <v>-9.9513712694174663E-3</v>
      </c>
      <c r="AG64" s="110"/>
    </row>
    <row r="65" spans="5:33" x14ac:dyDescent="0.4">
      <c r="E65" s="107">
        <v>61</v>
      </c>
      <c r="F65" s="107">
        <v>6</v>
      </c>
      <c r="G65" s="141">
        <f t="shared" si="24"/>
        <v>64892604.386577114</v>
      </c>
      <c r="H65" s="141">
        <f t="shared" si="0"/>
        <v>1454988.8889545999</v>
      </c>
      <c r="I65" s="141">
        <f t="shared" si="1"/>
        <v>667828.76461491897</v>
      </c>
      <c r="J65" s="141">
        <f t="shared" si="2"/>
        <v>787160.12433968089</v>
      </c>
      <c r="K65" s="108">
        <f t="shared" si="3"/>
        <v>64105444.262237437</v>
      </c>
      <c r="L65" s="108">
        <f t="shared" si="4"/>
        <v>67605440.020218611</v>
      </c>
      <c r="M65" s="108">
        <f t="shared" si="5"/>
        <v>32422.01332968484</v>
      </c>
      <c r="N65" s="108">
        <f t="shared" si="6"/>
        <v>12500</v>
      </c>
      <c r="O65" s="108">
        <f t="shared" si="7"/>
        <v>44922.013329684836</v>
      </c>
      <c r="P65" s="108">
        <f t="shared" si="8"/>
        <v>17968.805331873937</v>
      </c>
      <c r="Q65" s="100">
        <f t="shared" si="9"/>
        <v>2.2333333333333333E-3</v>
      </c>
      <c r="R65" s="100">
        <f>20%</f>
        <v>0.2</v>
      </c>
      <c r="S65" s="108">
        <f t="shared" si="10"/>
        <v>30197.096542364314</v>
      </c>
      <c r="T65" s="108">
        <f t="shared" si="11"/>
        <v>240337.33927187714</v>
      </c>
      <c r="U65" s="108">
        <f t="shared" si="12"/>
        <v>1526.3163113604858</v>
      </c>
      <c r="V65" s="108">
        <f t="shared" si="13"/>
        <v>2638.5151172519409</v>
      </c>
      <c r="W65" s="108">
        <f t="shared" si="14"/>
        <v>244502.17070048957</v>
      </c>
      <c r="X65" s="108">
        <f t="shared" si="15"/>
        <v>-3243.8885445534142</v>
      </c>
      <c r="Y65" s="108">
        <f t="shared" si="16"/>
        <v>-875.84990702942196</v>
      </c>
      <c r="Z65" s="108">
        <f t="shared" si="17"/>
        <v>-2368.0386375239923</v>
      </c>
      <c r="AA65" s="108">
        <f t="shared" si="18"/>
        <v>2926.5441402405299</v>
      </c>
      <c r="AB65" s="108">
        <f t="shared" si="19"/>
        <v>-5294.5827777645227</v>
      </c>
      <c r="AC65" s="109">
        <f t="shared" si="20"/>
        <v>0.55605718879148003</v>
      </c>
      <c r="AD65" s="108">
        <f t="shared" si="21"/>
        <v>-1316.7649077311978</v>
      </c>
      <c r="AE65" s="108">
        <f t="shared" si="22"/>
        <v>135957.18969312881</v>
      </c>
      <c r="AF65" s="48">
        <f t="shared" si="23"/>
        <v>-9.6851436154519622E-3</v>
      </c>
      <c r="AG65" s="110"/>
    </row>
    <row r="66" spans="5:33" x14ac:dyDescent="0.4">
      <c r="E66" s="107">
        <v>62</v>
      </c>
      <c r="F66" s="107">
        <v>6</v>
      </c>
      <c r="G66" s="141">
        <f t="shared" si="24"/>
        <v>64105444.262237437</v>
      </c>
      <c r="H66" s="141">
        <f t="shared" si="0"/>
        <v>1454988.8889545999</v>
      </c>
      <c r="I66" s="141">
        <f t="shared" si="1"/>
        <v>659727.869630642</v>
      </c>
      <c r="J66" s="141">
        <f t="shared" si="2"/>
        <v>795261.01932395785</v>
      </c>
      <c r="K66" s="108">
        <f t="shared" si="3"/>
        <v>63310183.242913477</v>
      </c>
      <c r="L66" s="108">
        <f t="shared" si="4"/>
        <v>66785372.663153775</v>
      </c>
      <c r="M66" s="108">
        <f t="shared" si="5"/>
        <v>32028.727896233864</v>
      </c>
      <c r="N66" s="108">
        <f t="shared" si="6"/>
        <v>12500</v>
      </c>
      <c r="O66" s="108">
        <f t="shared" si="7"/>
        <v>44528.727896233861</v>
      </c>
      <c r="P66" s="108">
        <f t="shared" si="8"/>
        <v>17811.491158493543</v>
      </c>
      <c r="Q66" s="100">
        <f t="shared" si="9"/>
        <v>2.2333333333333333E-3</v>
      </c>
      <c r="R66" s="100">
        <f>20%</f>
        <v>0.2</v>
      </c>
      <c r="S66" s="108">
        <f t="shared" si="10"/>
        <v>29830.799789542019</v>
      </c>
      <c r="T66" s="108">
        <f t="shared" si="11"/>
        <v>237421.99981751165</v>
      </c>
      <c r="U66" s="108">
        <f t="shared" si="12"/>
        <v>1512.9536428689551</v>
      </c>
      <c r="V66" s="108">
        <f t="shared" si="13"/>
        <v>2615.4153164050881</v>
      </c>
      <c r="W66" s="108">
        <f t="shared" si="14"/>
        <v>241550.3687767857</v>
      </c>
      <c r="X66" s="108">
        <f t="shared" si="15"/>
        <v>-3113.5630518017024</v>
      </c>
      <c r="Y66" s="108">
        <f t="shared" si="16"/>
        <v>-840.66202398645964</v>
      </c>
      <c r="Z66" s="108">
        <f t="shared" si="17"/>
        <v>-2272.9010278152427</v>
      </c>
      <c r="AA66" s="108">
        <f t="shared" si="18"/>
        <v>2891.2128440061565</v>
      </c>
      <c r="AB66" s="108">
        <f t="shared" si="19"/>
        <v>-5164.1138718213988</v>
      </c>
      <c r="AC66" s="109">
        <f t="shared" si="20"/>
        <v>0.55073298730068121</v>
      </c>
      <c r="AD66" s="108">
        <f t="shared" si="21"/>
        <v>-1251.7615728874773</v>
      </c>
      <c r="AE66" s="108">
        <f t="shared" si="22"/>
        <v>133029.7561800204</v>
      </c>
      <c r="AF66" s="48">
        <f t="shared" si="23"/>
        <v>-9.4096359253154696E-3</v>
      </c>
      <c r="AG66" s="110"/>
    </row>
    <row r="67" spans="5:33" x14ac:dyDescent="0.4">
      <c r="E67" s="107">
        <v>63</v>
      </c>
      <c r="F67" s="107">
        <v>6</v>
      </c>
      <c r="G67" s="141">
        <f t="shared" si="24"/>
        <v>63310183.242913477</v>
      </c>
      <c r="H67" s="141">
        <f t="shared" si="0"/>
        <v>1454988.8889545999</v>
      </c>
      <c r="I67" s="141">
        <f t="shared" si="1"/>
        <v>651543.60596759547</v>
      </c>
      <c r="J67" s="141">
        <f t="shared" si="2"/>
        <v>803445.28298700438</v>
      </c>
      <c r="K67" s="108">
        <f t="shared" si="3"/>
        <v>62506737.959926471</v>
      </c>
      <c r="L67" s="108">
        <f t="shared" si="4"/>
        <v>65956865.753151491</v>
      </c>
      <c r="M67" s="108">
        <f t="shared" si="5"/>
        <v>31631.395047401045</v>
      </c>
      <c r="N67" s="108">
        <f t="shared" si="6"/>
        <v>12500</v>
      </c>
      <c r="O67" s="108">
        <f t="shared" si="7"/>
        <v>44131.395047401049</v>
      </c>
      <c r="P67" s="108">
        <f t="shared" si="8"/>
        <v>17652.558018960419</v>
      </c>
      <c r="Q67" s="100">
        <f t="shared" si="9"/>
        <v>2.2333333333333333E-3</v>
      </c>
      <c r="R67" s="100">
        <f>20%</f>
        <v>0.2</v>
      </c>
      <c r="S67" s="108">
        <f t="shared" si="10"/>
        <v>29460.733369740999</v>
      </c>
      <c r="T67" s="108">
        <f t="shared" si="11"/>
        <v>234476.65775245355</v>
      </c>
      <c r="U67" s="108">
        <f t="shared" si="12"/>
        <v>1499.4534552490895</v>
      </c>
      <c r="V67" s="108">
        <f t="shared" si="13"/>
        <v>2592.0777887539534</v>
      </c>
      <c r="W67" s="108">
        <f t="shared" si="14"/>
        <v>238568.18899645659</v>
      </c>
      <c r="X67" s="108">
        <f t="shared" si="15"/>
        <v>-2981.8963413003694</v>
      </c>
      <c r="Y67" s="108">
        <f t="shared" si="16"/>
        <v>-805.11201215109975</v>
      </c>
      <c r="Z67" s="108">
        <f t="shared" si="17"/>
        <v>-2176.7843291492695</v>
      </c>
      <c r="AA67" s="108">
        <f t="shared" si="18"/>
        <v>2855.5179430723038</v>
      </c>
      <c r="AB67" s="108">
        <f t="shared" si="19"/>
        <v>-5032.3022722215737</v>
      </c>
      <c r="AC67" s="109">
        <f t="shared" si="20"/>
        <v>0.54545976459783097</v>
      </c>
      <c r="AD67" s="108">
        <f t="shared" si="21"/>
        <v>-1187.348267758008</v>
      </c>
      <c r="AE67" s="108">
        <f t="shared" si="22"/>
        <v>130129.34821053805</v>
      </c>
      <c r="AF67" s="48">
        <f t="shared" si="23"/>
        <v>-9.1243695913775028E-3</v>
      </c>
      <c r="AG67" s="110"/>
    </row>
    <row r="68" spans="5:33" x14ac:dyDescent="0.4">
      <c r="E68" s="107">
        <v>64</v>
      </c>
      <c r="F68" s="107">
        <v>6</v>
      </c>
      <c r="G68" s="141">
        <f t="shared" si="24"/>
        <v>62506737.959926471</v>
      </c>
      <c r="H68" s="141">
        <f t="shared" si="0"/>
        <v>1454988.8889545999</v>
      </c>
      <c r="I68" s="141">
        <f t="shared" si="1"/>
        <v>643275.11565433128</v>
      </c>
      <c r="J68" s="141">
        <f t="shared" si="2"/>
        <v>811713.77330026857</v>
      </c>
      <c r="K68" s="108">
        <f t="shared" si="3"/>
        <v>61695024.186626203</v>
      </c>
      <c r="L68" s="108">
        <f t="shared" si="4"/>
        <v>65119832.436304972</v>
      </c>
      <c r="M68" s="108">
        <f t="shared" si="5"/>
        <v>31229.973130051312</v>
      </c>
      <c r="N68" s="108">
        <f t="shared" si="6"/>
        <v>12500</v>
      </c>
      <c r="O68" s="108">
        <f t="shared" si="7"/>
        <v>43729.973130051309</v>
      </c>
      <c r="P68" s="108">
        <f t="shared" si="8"/>
        <v>17491.989252020525</v>
      </c>
      <c r="Q68" s="100">
        <f t="shared" si="9"/>
        <v>2.2333333333333333E-3</v>
      </c>
      <c r="R68" s="100">
        <f>20%</f>
        <v>0.2</v>
      </c>
      <c r="S68" s="108">
        <f t="shared" si="10"/>
        <v>29086.858488216221</v>
      </c>
      <c r="T68" s="108">
        <f t="shared" si="11"/>
        <v>231501.00431106414</v>
      </c>
      <c r="U68" s="108">
        <f t="shared" si="12"/>
        <v>1485.8143332513309</v>
      </c>
      <c r="V68" s="108">
        <f t="shared" si="13"/>
        <v>2568.5000877824868</v>
      </c>
      <c r="W68" s="108">
        <f t="shared" si="14"/>
        <v>235555.31873209795</v>
      </c>
      <c r="X68" s="108">
        <f t="shared" si="15"/>
        <v>-2848.8746101854376</v>
      </c>
      <c r="Y68" s="108">
        <f t="shared" si="16"/>
        <v>-769.19614475006824</v>
      </c>
      <c r="Z68" s="108">
        <f t="shared" si="17"/>
        <v>-2079.6784654353696</v>
      </c>
      <c r="AA68" s="108">
        <f t="shared" si="18"/>
        <v>2819.4556954766995</v>
      </c>
      <c r="AB68" s="108">
        <f t="shared" si="19"/>
        <v>-4899.1341609120691</v>
      </c>
      <c r="AC68" s="109">
        <f t="shared" si="20"/>
        <v>0.5402370325652599</v>
      </c>
      <c r="AD68" s="108">
        <f t="shared" si="21"/>
        <v>-1123.5193228566775</v>
      </c>
      <c r="AE68" s="108">
        <f t="shared" si="22"/>
        <v>127255.70639679258</v>
      </c>
      <c r="AF68" s="48">
        <f t="shared" si="23"/>
        <v>-8.82883255037273E-3</v>
      </c>
      <c r="AG68" s="110"/>
    </row>
    <row r="69" spans="5:33" x14ac:dyDescent="0.4">
      <c r="E69" s="107">
        <v>65</v>
      </c>
      <c r="F69" s="107">
        <v>6</v>
      </c>
      <c r="G69" s="141">
        <f t="shared" si="24"/>
        <v>61695024.186626203</v>
      </c>
      <c r="H69" s="141">
        <f t="shared" si="0"/>
        <v>1454988.8889545999</v>
      </c>
      <c r="I69" s="141">
        <f t="shared" si="1"/>
        <v>634921.53188976657</v>
      </c>
      <c r="J69" s="141">
        <f t="shared" si="2"/>
        <v>820067.35706483328</v>
      </c>
      <c r="K69" s="108">
        <f t="shared" si="3"/>
        <v>60874956.829561368</v>
      </c>
      <c r="L69" s="108">
        <f t="shared" si="4"/>
        <v>64274184.964868493</v>
      </c>
      <c r="M69" s="108">
        <f t="shared" si="5"/>
        <v>30824.420062385045</v>
      </c>
      <c r="N69" s="108">
        <f t="shared" si="6"/>
        <v>12500</v>
      </c>
      <c r="O69" s="108">
        <f t="shared" si="7"/>
        <v>43324.420062385048</v>
      </c>
      <c r="P69" s="108">
        <f t="shared" si="8"/>
        <v>17329.768024954021</v>
      </c>
      <c r="Q69" s="100">
        <f t="shared" si="9"/>
        <v>2.2333333333333333E-3</v>
      </c>
      <c r="R69" s="100">
        <f>20%</f>
        <v>0.2</v>
      </c>
      <c r="S69" s="108">
        <f t="shared" si="10"/>
        <v>28709.135950974593</v>
      </c>
      <c r="T69" s="108">
        <f t="shared" si="11"/>
        <v>228494.72755010746</v>
      </c>
      <c r="U69" s="108">
        <f t="shared" si="12"/>
        <v>1472.0348470613774</v>
      </c>
      <c r="V69" s="108">
        <f t="shared" si="13"/>
        <v>2544.679741796831</v>
      </c>
      <c r="W69" s="108">
        <f t="shared" si="14"/>
        <v>232511.44213896568</v>
      </c>
      <c r="X69" s="108">
        <f t="shared" si="15"/>
        <v>-2714.483913543565</v>
      </c>
      <c r="Y69" s="108">
        <f t="shared" si="16"/>
        <v>-732.91065665676263</v>
      </c>
      <c r="Z69" s="108">
        <f t="shared" si="17"/>
        <v>-1981.5732568868025</v>
      </c>
      <c r="AA69" s="108">
        <f t="shared" si="18"/>
        <v>2783.0223207474473</v>
      </c>
      <c r="AB69" s="108">
        <f t="shared" si="19"/>
        <v>-4764.5955776342498</v>
      </c>
      <c r="AC69" s="109">
        <f t="shared" si="20"/>
        <v>0.53506430775898584</v>
      </c>
      <c r="AD69" s="108">
        <f t="shared" si="21"/>
        <v>-1060.269122969856</v>
      </c>
      <c r="AE69" s="108">
        <f t="shared" si="22"/>
        <v>124408.57383412916</v>
      </c>
      <c r="AF69" s="48">
        <f t="shared" si="23"/>
        <v>-8.522476307649714E-3</v>
      </c>
      <c r="AG69" s="110"/>
    </row>
    <row r="70" spans="5:33" x14ac:dyDescent="0.4">
      <c r="E70" s="107">
        <v>66</v>
      </c>
      <c r="F70" s="107">
        <v>6</v>
      </c>
      <c r="G70" s="141">
        <f t="shared" si="24"/>
        <v>60874956.829561368</v>
      </c>
      <c r="H70" s="141">
        <f t="shared" ref="H70:H124" si="25">PMT($C$11/12,$C$8,-$C$7)</f>
        <v>1454988.8889545999</v>
      </c>
      <c r="I70" s="141">
        <f t="shared" ref="I70:I124" si="26">($C$11/12)*G70</f>
        <v>626481.97895231482</v>
      </c>
      <c r="J70" s="141">
        <f t="shared" ref="J70:J124" si="27">H70-I70</f>
        <v>828506.91000228503</v>
      </c>
      <c r="K70" s="108">
        <f t="shared" ref="K70:K124" si="28">G70-J70</f>
        <v>60046449.919559084</v>
      </c>
      <c r="L70" s="108">
        <f t="shared" ref="L70:L124" si="29">G70*(1+$C$11/12)^4</f>
        <v>63419834.688058615</v>
      </c>
      <c r="M70" s="108">
        <f t="shared" ref="M70:M124" si="30">G70*($C$11-$C$10)/12</f>
        <v>30414.693329526479</v>
      </c>
      <c r="N70" s="108">
        <f t="shared" ref="N70:N124" si="31">$C$14</f>
        <v>12500</v>
      </c>
      <c r="O70" s="108">
        <f t="shared" ref="O70:O124" si="32">SUM(M70:N70)</f>
        <v>42914.693329526475</v>
      </c>
      <c r="P70" s="108">
        <f t="shared" ref="P70:P124" si="33">0.4*O70</f>
        <v>17165.877331810592</v>
      </c>
      <c r="Q70" s="100">
        <f t="shared" ref="Q70:Q124" si="34">2.68%/12</f>
        <v>2.2333333333333333E-3</v>
      </c>
      <c r="R70" s="100">
        <f>20%</f>
        <v>0.2</v>
      </c>
      <c r="S70" s="108">
        <f t="shared" ref="S70:S124" si="35">Q70*R70*L70</f>
        <v>28327.526160666181</v>
      </c>
      <c r="T70" s="108">
        <f t="shared" ref="T70:T124" si="36">L70*($C$22/12)*$C$28</f>
        <v>225457.51231604835</v>
      </c>
      <c r="U70" s="108">
        <f t="shared" ref="U70:U124" si="37">O70*$C$23</f>
        <v>1458.113552150287</v>
      </c>
      <c r="V70" s="108">
        <f t="shared" ref="V70:V124" si="38">O70*$C$24</f>
        <v>2520.6142536662001</v>
      </c>
      <c r="W70" s="108">
        <f t="shared" ref="W70:W124" si="39">SUM(T70:V70)</f>
        <v>229436.24012186483</v>
      </c>
      <c r="X70" s="108">
        <f t="shared" ref="X70:X124" si="40">O70-P70-S70</f>
        <v>-2578.7101629502977</v>
      </c>
      <c r="Y70" s="108">
        <f t="shared" ref="Y70:Y124" si="41">0.27*X70</f>
        <v>-696.25174399658044</v>
      </c>
      <c r="Z70" s="108">
        <f t="shared" ref="Z70:Z124" si="42">X70-Y70</f>
        <v>-1882.4584189537172</v>
      </c>
      <c r="AA70" s="108">
        <f t="shared" ref="AA70:AA124" si="43">W70*($C$36/12)</f>
        <v>2746.2139995067055</v>
      </c>
      <c r="AB70" s="108">
        <f t="shared" ref="AB70:AB124" si="44">Z70-AA70</f>
        <v>-4628.6724184604227</v>
      </c>
      <c r="AC70" s="109">
        <f t="shared" ref="AC70:AC124" si="45">(1+($C$37/12))^-E70</f>
        <v>0.52994111136396194</v>
      </c>
      <c r="AD70" s="108">
        <f t="shared" ref="AD70:AD124" si="46">Z70*AC70</f>
        <v>-997.59210663677959</v>
      </c>
      <c r="AE70" s="108">
        <f t="shared" ref="AE70:AE124" si="47">W70*AC70</f>
        <v>121587.69607734989</v>
      </c>
      <c r="AF70" s="48">
        <f t="shared" ref="AF70:AF124" si="48">Z70/W70</f>
        <v>-8.2047126380464189E-3</v>
      </c>
      <c r="AG70" s="110"/>
    </row>
    <row r="71" spans="5:33" x14ac:dyDescent="0.4">
      <c r="E71" s="107">
        <v>67</v>
      </c>
      <c r="F71" s="107">
        <v>6</v>
      </c>
      <c r="G71" s="141">
        <f t="shared" ref="G71:G124" si="49">K70</f>
        <v>60046449.919559084</v>
      </c>
      <c r="H71" s="141">
        <f t="shared" si="25"/>
        <v>1454988.8889545999</v>
      </c>
      <c r="I71" s="141">
        <f t="shared" si="26"/>
        <v>617955.57210808282</v>
      </c>
      <c r="J71" s="141">
        <f t="shared" si="27"/>
        <v>837033.31684651703</v>
      </c>
      <c r="K71" s="108">
        <f t="shared" si="28"/>
        <v>59209416.602712564</v>
      </c>
      <c r="L71" s="108">
        <f t="shared" si="29"/>
        <v>62556692.042760782</v>
      </c>
      <c r="M71" s="108">
        <f t="shared" si="30"/>
        <v>30000.749979066866</v>
      </c>
      <c r="N71" s="108">
        <f t="shared" si="31"/>
        <v>12500</v>
      </c>
      <c r="O71" s="108">
        <f t="shared" si="32"/>
        <v>42500.749979066866</v>
      </c>
      <c r="P71" s="108">
        <f t="shared" si="33"/>
        <v>17000.299991626747</v>
      </c>
      <c r="Q71" s="100">
        <f t="shared" si="34"/>
        <v>2.2333333333333333E-3</v>
      </c>
      <c r="R71" s="100">
        <f>20%</f>
        <v>0.2</v>
      </c>
      <c r="S71" s="108">
        <f t="shared" si="35"/>
        <v>27941.989112433148</v>
      </c>
      <c r="T71" s="108">
        <f t="shared" si="36"/>
        <v>222389.04021201454</v>
      </c>
      <c r="U71" s="108">
        <f t="shared" si="37"/>
        <v>1444.0489891230504</v>
      </c>
      <c r="V71" s="108">
        <f t="shared" si="38"/>
        <v>2496.3011005611083</v>
      </c>
      <c r="W71" s="108">
        <f t="shared" si="39"/>
        <v>226329.3903016987</v>
      </c>
      <c r="X71" s="108">
        <f t="shared" si="40"/>
        <v>-2441.539124993029</v>
      </c>
      <c r="Y71" s="108">
        <f t="shared" si="41"/>
        <v>-659.21556374811792</v>
      </c>
      <c r="Z71" s="108">
        <f t="shared" si="42"/>
        <v>-1782.3235612449112</v>
      </c>
      <c r="AA71" s="108">
        <f t="shared" si="43"/>
        <v>2709.0268730703006</v>
      </c>
      <c r="AB71" s="108">
        <f t="shared" si="44"/>
        <v>-4491.3504343152117</v>
      </c>
      <c r="AC71" s="109">
        <f t="shared" si="45"/>
        <v>0.52486696914975584</v>
      </c>
      <c r="AD71" s="108">
        <f t="shared" si="46"/>
        <v>-935.48276563481579</v>
      </c>
      <c r="AE71" s="108">
        <f t="shared" si="47"/>
        <v>118792.82111716474</v>
      </c>
      <c r="AF71" s="48">
        <f t="shared" si="48"/>
        <v>-7.874909921637049E-3</v>
      </c>
      <c r="AG71" s="110"/>
    </row>
    <row r="72" spans="5:33" x14ac:dyDescent="0.4">
      <c r="E72" s="107">
        <v>68</v>
      </c>
      <c r="F72" s="107">
        <v>6</v>
      </c>
      <c r="G72" s="141">
        <f t="shared" si="49"/>
        <v>59209416.602712564</v>
      </c>
      <c r="H72" s="141">
        <f t="shared" si="25"/>
        <v>1454988.8889545999</v>
      </c>
      <c r="I72" s="141">
        <f t="shared" si="26"/>
        <v>609341.41751812212</v>
      </c>
      <c r="J72" s="141">
        <f t="shared" si="27"/>
        <v>845647.47143647773</v>
      </c>
      <c r="K72" s="108">
        <f t="shared" si="28"/>
        <v>58363769.131276086</v>
      </c>
      <c r="L72" s="108">
        <f t="shared" si="29"/>
        <v>61684666.544140212</v>
      </c>
      <c r="M72" s="108">
        <f t="shared" si="30"/>
        <v>29582.546616561638</v>
      </c>
      <c r="N72" s="108">
        <f t="shared" si="31"/>
        <v>12500</v>
      </c>
      <c r="O72" s="108">
        <f t="shared" si="32"/>
        <v>42082.546616561638</v>
      </c>
      <c r="P72" s="108">
        <f t="shared" si="33"/>
        <v>16833.018646624656</v>
      </c>
      <c r="Q72" s="100">
        <f t="shared" si="34"/>
        <v>2.2333333333333333E-3</v>
      </c>
      <c r="R72" s="100">
        <f>20%</f>
        <v>0.2</v>
      </c>
      <c r="S72" s="108">
        <f t="shared" si="35"/>
        <v>27552.484389715963</v>
      </c>
      <c r="T72" s="108">
        <f t="shared" si="36"/>
        <v>219288.98956441841</v>
      </c>
      <c r="U72" s="108">
        <f t="shared" si="37"/>
        <v>1429.839683565596</v>
      </c>
      <c r="V72" s="108">
        <f t="shared" si="38"/>
        <v>2471.7377336888917</v>
      </c>
      <c r="W72" s="108">
        <f t="shared" si="39"/>
        <v>223190.56698167292</v>
      </c>
      <c r="X72" s="108">
        <f t="shared" si="40"/>
        <v>-2302.9564197789805</v>
      </c>
      <c r="Y72" s="108">
        <f t="shared" si="41"/>
        <v>-621.79823334032483</v>
      </c>
      <c r="Z72" s="108">
        <f t="shared" si="42"/>
        <v>-1681.1581864386558</v>
      </c>
      <c r="AA72" s="108">
        <f t="shared" si="43"/>
        <v>2671.4570430432113</v>
      </c>
      <c r="AB72" s="108">
        <f t="shared" si="44"/>
        <v>-4352.6152294818676</v>
      </c>
      <c r="AC72" s="109">
        <f t="shared" si="45"/>
        <v>0.51984141142665241</v>
      </c>
      <c r="AD72" s="108">
        <f t="shared" si="46"/>
        <v>-873.9356444697421</v>
      </c>
      <c r="AE72" s="108">
        <f t="shared" si="47"/>
        <v>116023.69935686766</v>
      </c>
      <c r="AF72" s="48">
        <f t="shared" si="48"/>
        <v>-7.5323890663206317E-3</v>
      </c>
      <c r="AG72" s="110"/>
    </row>
    <row r="73" spans="5:33" x14ac:dyDescent="0.4">
      <c r="E73" s="107">
        <v>69</v>
      </c>
      <c r="F73" s="107">
        <v>6</v>
      </c>
      <c r="G73" s="141">
        <f t="shared" si="49"/>
        <v>58363769.131276086</v>
      </c>
      <c r="H73" s="141">
        <f t="shared" si="25"/>
        <v>1454988.8889545999</v>
      </c>
      <c r="I73" s="141">
        <f t="shared" si="26"/>
        <v>600638.61214472621</v>
      </c>
      <c r="J73" s="141">
        <f t="shared" si="27"/>
        <v>854350.27680987364</v>
      </c>
      <c r="K73" s="108">
        <f t="shared" si="28"/>
        <v>57509418.854466215</v>
      </c>
      <c r="L73" s="108">
        <f t="shared" si="29"/>
        <v>60803666.776156269</v>
      </c>
      <c r="M73" s="108">
        <f t="shared" si="30"/>
        <v>29160.039400981317</v>
      </c>
      <c r="N73" s="108">
        <f t="shared" si="31"/>
        <v>12500</v>
      </c>
      <c r="O73" s="108">
        <f t="shared" si="32"/>
        <v>41660.039400981317</v>
      </c>
      <c r="P73" s="108">
        <f t="shared" si="33"/>
        <v>16664.015760392529</v>
      </c>
      <c r="Q73" s="100">
        <f t="shared" si="34"/>
        <v>2.2333333333333333E-3</v>
      </c>
      <c r="R73" s="100">
        <f>20%</f>
        <v>0.2</v>
      </c>
      <c r="S73" s="108">
        <f t="shared" si="35"/>
        <v>27158.971160016466</v>
      </c>
      <c r="T73" s="108">
        <f t="shared" si="36"/>
        <v>216157.03538923553</v>
      </c>
      <c r="U73" s="108">
        <f t="shared" si="37"/>
        <v>1415.4841458902265</v>
      </c>
      <c r="V73" s="108">
        <f t="shared" si="38"/>
        <v>2446.9215780265176</v>
      </c>
      <c r="W73" s="108">
        <f t="shared" si="39"/>
        <v>220019.44111315228</v>
      </c>
      <c r="X73" s="108">
        <f t="shared" si="40"/>
        <v>-2162.9475194276783</v>
      </c>
      <c r="Y73" s="108">
        <f t="shared" si="41"/>
        <v>-583.99583024547314</v>
      </c>
      <c r="Z73" s="108">
        <f t="shared" si="42"/>
        <v>-1578.9516891822052</v>
      </c>
      <c r="AA73" s="108">
        <f t="shared" si="43"/>
        <v>2633.5005709108937</v>
      </c>
      <c r="AB73" s="108">
        <f t="shared" si="44"/>
        <v>-4212.4522600930986</v>
      </c>
      <c r="AC73" s="109">
        <f t="shared" si="45"/>
        <v>0.51486397300217634</v>
      </c>
      <c r="AD73" s="108">
        <f t="shared" si="46"/>
        <v>-812.94533987084765</v>
      </c>
      <c r="AE73" s="108">
        <f t="shared" si="47"/>
        <v>113280.08358923596</v>
      </c>
      <c r="AF73" s="48">
        <f t="shared" si="48"/>
        <v>-7.1764189618597251E-3</v>
      </c>
      <c r="AG73" s="110"/>
    </row>
    <row r="74" spans="5:33" x14ac:dyDescent="0.4">
      <c r="E74" s="107">
        <v>70</v>
      </c>
      <c r="F74" s="107">
        <v>6</v>
      </c>
      <c r="G74" s="141">
        <f t="shared" si="49"/>
        <v>57509418.854466215</v>
      </c>
      <c r="H74" s="141">
        <f t="shared" si="25"/>
        <v>1454988.8889545999</v>
      </c>
      <c r="I74" s="141">
        <f t="shared" si="26"/>
        <v>591846.24365676392</v>
      </c>
      <c r="J74" s="141">
        <f t="shared" si="27"/>
        <v>863142.64529783593</v>
      </c>
      <c r="K74" s="108">
        <f t="shared" si="28"/>
        <v>56646276.209168382</v>
      </c>
      <c r="L74" s="108">
        <f t="shared" si="29"/>
        <v>59913600.381979093</v>
      </c>
      <c r="M74" s="108">
        <f t="shared" si="30"/>
        <v>28733.18404011559</v>
      </c>
      <c r="N74" s="108">
        <f t="shared" si="31"/>
        <v>12500</v>
      </c>
      <c r="O74" s="108">
        <f t="shared" si="32"/>
        <v>41233.184040115593</v>
      </c>
      <c r="P74" s="108">
        <f t="shared" si="33"/>
        <v>16493.273616046237</v>
      </c>
      <c r="Q74" s="100">
        <f t="shared" si="34"/>
        <v>2.2333333333333333E-3</v>
      </c>
      <c r="R74" s="100">
        <f>20%</f>
        <v>0.2</v>
      </c>
      <c r="S74" s="108">
        <f t="shared" si="35"/>
        <v>26761.408170617327</v>
      </c>
      <c r="T74" s="108">
        <f t="shared" si="36"/>
        <v>212992.84935793566</v>
      </c>
      <c r="U74" s="108">
        <f t="shared" si="37"/>
        <v>1400.9808711794624</v>
      </c>
      <c r="V74" s="108">
        <f t="shared" si="38"/>
        <v>2421.8500320506387</v>
      </c>
      <c r="W74" s="108">
        <f t="shared" si="39"/>
        <v>216815.68026116575</v>
      </c>
      <c r="X74" s="108">
        <f t="shared" si="40"/>
        <v>-2021.4977465479715</v>
      </c>
      <c r="Y74" s="108">
        <f t="shared" si="41"/>
        <v>-545.80439156795228</v>
      </c>
      <c r="Z74" s="108">
        <f t="shared" si="42"/>
        <v>-1475.6933549800192</v>
      </c>
      <c r="AA74" s="108">
        <f t="shared" si="43"/>
        <v>2595.1534776263989</v>
      </c>
      <c r="AB74" s="108">
        <f t="shared" si="44"/>
        <v>-4070.846832606418</v>
      </c>
      <c r="AC74" s="109">
        <f t="shared" si="45"/>
        <v>0.50993419313803234</v>
      </c>
      <c r="AD74" s="108">
        <f t="shared" si="46"/>
        <v>-752.50650029089206</v>
      </c>
      <c r="AE74" s="108">
        <f t="shared" si="47"/>
        <v>110561.72897365116</v>
      </c>
      <c r="AF74" s="48">
        <f t="shared" si="48"/>
        <v>-6.8062114013270163E-3</v>
      </c>
      <c r="AG74" s="110"/>
    </row>
    <row r="75" spans="5:33" x14ac:dyDescent="0.4">
      <c r="E75" s="107">
        <v>71</v>
      </c>
      <c r="F75" s="107">
        <v>6</v>
      </c>
      <c r="G75" s="141">
        <f t="shared" si="49"/>
        <v>56646276.209168382</v>
      </c>
      <c r="H75" s="141">
        <f t="shared" si="25"/>
        <v>1454988.8889545999</v>
      </c>
      <c r="I75" s="141">
        <f t="shared" si="26"/>
        <v>582963.39033403702</v>
      </c>
      <c r="J75" s="141">
        <f t="shared" si="27"/>
        <v>872025.49862056284</v>
      </c>
      <c r="K75" s="108">
        <f t="shared" si="28"/>
        <v>55774250.71054782</v>
      </c>
      <c r="L75" s="108">
        <f t="shared" si="29"/>
        <v>59014374.054307677</v>
      </c>
      <c r="M75" s="108">
        <f t="shared" si="30"/>
        <v>28301.935785930022</v>
      </c>
      <c r="N75" s="108">
        <f t="shared" si="31"/>
        <v>12500</v>
      </c>
      <c r="O75" s="108">
        <f t="shared" si="32"/>
        <v>40801.935785930022</v>
      </c>
      <c r="P75" s="108">
        <f t="shared" si="33"/>
        <v>16320.774314372009</v>
      </c>
      <c r="Q75" s="100">
        <f t="shared" si="34"/>
        <v>2.2333333333333333E-3</v>
      </c>
      <c r="R75" s="100">
        <f>20%</f>
        <v>0.2</v>
      </c>
      <c r="S75" s="108">
        <f t="shared" si="35"/>
        <v>26359.753744257428</v>
      </c>
      <c r="T75" s="108">
        <f t="shared" si="36"/>
        <v>209796.09976306377</v>
      </c>
      <c r="U75" s="108">
        <f t="shared" si="37"/>
        <v>1386.3283390282775</v>
      </c>
      <c r="V75" s="108">
        <f t="shared" si="38"/>
        <v>2396.5204674648676</v>
      </c>
      <c r="W75" s="108">
        <f t="shared" si="39"/>
        <v>213578.94856955693</v>
      </c>
      <c r="X75" s="108">
        <f t="shared" si="40"/>
        <v>-1878.592272699414</v>
      </c>
      <c r="Y75" s="108">
        <f t="shared" si="41"/>
        <v>-507.21991362884182</v>
      </c>
      <c r="Z75" s="108">
        <f t="shared" si="42"/>
        <v>-1371.3723590705722</v>
      </c>
      <c r="AA75" s="108">
        <f t="shared" si="43"/>
        <v>2556.4117431932427</v>
      </c>
      <c r="AB75" s="108">
        <f t="shared" si="44"/>
        <v>-3927.7841022638149</v>
      </c>
      <c r="AC75" s="109">
        <f t="shared" si="45"/>
        <v>0.50505161550745536</v>
      </c>
      <c r="AD75" s="108">
        <f t="shared" si="46"/>
        <v>-692.61382541086266</v>
      </c>
      <c r="AE75" s="108">
        <f t="shared" si="47"/>
        <v>107868.39301343846</v>
      </c>
      <c r="AF75" s="48">
        <f t="shared" si="48"/>
        <v>-6.4209153957135107E-3</v>
      </c>
      <c r="AG75" s="110"/>
    </row>
    <row r="76" spans="5:33" x14ac:dyDescent="0.4">
      <c r="E76" s="107">
        <v>72</v>
      </c>
      <c r="F76" s="107">
        <v>6</v>
      </c>
      <c r="G76" s="141">
        <f t="shared" si="49"/>
        <v>55774250.71054782</v>
      </c>
      <c r="H76" s="141">
        <f t="shared" si="25"/>
        <v>1454988.8889545999</v>
      </c>
      <c r="I76" s="141">
        <f t="shared" si="26"/>
        <v>573989.12097065581</v>
      </c>
      <c r="J76" s="141">
        <f t="shared" si="27"/>
        <v>880999.76798394404</v>
      </c>
      <c r="K76" s="108">
        <f t="shared" si="28"/>
        <v>54893250.942563877</v>
      </c>
      <c r="L76" s="108">
        <f t="shared" si="29"/>
        <v>58105893.525588326</v>
      </c>
      <c r="M76" s="108">
        <f t="shared" si="30"/>
        <v>27866.249429875108</v>
      </c>
      <c r="N76" s="108">
        <f t="shared" si="31"/>
        <v>12500</v>
      </c>
      <c r="O76" s="108">
        <f t="shared" si="32"/>
        <v>40366.249429875112</v>
      </c>
      <c r="P76" s="108">
        <f t="shared" si="33"/>
        <v>16146.499771950046</v>
      </c>
      <c r="Q76" s="100">
        <f t="shared" si="34"/>
        <v>2.2333333333333333E-3</v>
      </c>
      <c r="R76" s="100">
        <f>20%</f>
        <v>0.2</v>
      </c>
      <c r="S76" s="108">
        <f t="shared" si="35"/>
        <v>25953.965774762786</v>
      </c>
      <c r="T76" s="108">
        <f t="shared" si="36"/>
        <v>206566.45148346649</v>
      </c>
      <c r="U76" s="108">
        <f t="shared" si="37"/>
        <v>1371.5250133847139</v>
      </c>
      <c r="V76" s="108">
        <f t="shared" si="38"/>
        <v>2370.9302289242532</v>
      </c>
      <c r="W76" s="108">
        <f t="shared" si="39"/>
        <v>210308.90672577545</v>
      </c>
      <c r="X76" s="108">
        <f t="shared" si="40"/>
        <v>-1734.2161168377206</v>
      </c>
      <c r="Y76" s="108">
        <f t="shared" si="41"/>
        <v>-468.23835154618462</v>
      </c>
      <c r="Z76" s="108">
        <f t="shared" si="42"/>
        <v>-1265.9777652915359</v>
      </c>
      <c r="AA76" s="108">
        <f t="shared" si="43"/>
        <v>2517.2713062439811</v>
      </c>
      <c r="AB76" s="108">
        <f t="shared" si="44"/>
        <v>-3783.249071535517</v>
      </c>
      <c r="AC76" s="109">
        <f t="shared" si="45"/>
        <v>0.50021578815297152</v>
      </c>
      <c r="AD76" s="108">
        <f t="shared" si="46"/>
        <v>-633.26206564944323</v>
      </c>
      <c r="AE76" s="108">
        <f t="shared" si="47"/>
        <v>105199.83553342354</v>
      </c>
      <c r="AF76" s="48">
        <f t="shared" si="48"/>
        <v>-6.0196107953823415E-3</v>
      </c>
      <c r="AG76" s="110"/>
    </row>
    <row r="77" spans="5:33" x14ac:dyDescent="0.4">
      <c r="E77" s="107">
        <v>73</v>
      </c>
      <c r="F77" s="107">
        <v>7</v>
      </c>
      <c r="G77" s="141">
        <f t="shared" si="49"/>
        <v>54893250.942563877</v>
      </c>
      <c r="H77" s="141">
        <f t="shared" si="25"/>
        <v>1454988.8889545999</v>
      </c>
      <c r="I77" s="141">
        <f t="shared" si="26"/>
        <v>564922.49477741821</v>
      </c>
      <c r="J77" s="141">
        <f t="shared" si="27"/>
        <v>890066.39417718165</v>
      </c>
      <c r="K77" s="108">
        <f t="shared" si="28"/>
        <v>54003184.548386693</v>
      </c>
      <c r="L77" s="108">
        <f t="shared" si="29"/>
        <v>57188063.558132358</v>
      </c>
      <c r="M77" s="108">
        <f t="shared" si="30"/>
        <v>27426.079298146924</v>
      </c>
      <c r="N77" s="108">
        <f t="shared" si="31"/>
        <v>12500</v>
      </c>
      <c r="O77" s="108">
        <f t="shared" si="32"/>
        <v>39926.079298146928</v>
      </c>
      <c r="P77" s="108">
        <f t="shared" si="33"/>
        <v>15970.431719258771</v>
      </c>
      <c r="Q77" s="100">
        <f t="shared" si="34"/>
        <v>2.2333333333333333E-3</v>
      </c>
      <c r="R77" s="100">
        <f>20%</f>
        <v>0.2</v>
      </c>
      <c r="S77" s="108">
        <f t="shared" si="35"/>
        <v>25544.001722632453</v>
      </c>
      <c r="T77" s="108">
        <f t="shared" si="36"/>
        <v>203303.56594916052</v>
      </c>
      <c r="U77" s="108">
        <f t="shared" si="37"/>
        <v>1356.5693423888536</v>
      </c>
      <c r="V77" s="108">
        <f t="shared" si="38"/>
        <v>2345.0766337569116</v>
      </c>
      <c r="W77" s="108">
        <f t="shared" si="39"/>
        <v>207005.2119253063</v>
      </c>
      <c r="X77" s="108">
        <f t="shared" si="40"/>
        <v>-1588.3541437442946</v>
      </c>
      <c r="Y77" s="108">
        <f t="shared" si="41"/>
        <v>-428.85561881095958</v>
      </c>
      <c r="Z77" s="108">
        <f t="shared" si="42"/>
        <v>-1159.4985249333349</v>
      </c>
      <c r="AA77" s="108">
        <f t="shared" si="43"/>
        <v>2477.7280636144519</v>
      </c>
      <c r="AB77" s="108">
        <f t="shared" si="44"/>
        <v>-3637.2265885477868</v>
      </c>
      <c r="AC77" s="109">
        <f t="shared" si="45"/>
        <v>0.4954262634445627</v>
      </c>
      <c r="AD77" s="108">
        <f t="shared" si="46"/>
        <v>-574.44602167720427</v>
      </c>
      <c r="AE77" s="108">
        <f t="shared" si="47"/>
        <v>102555.81865770432</v>
      </c>
      <c r="AF77" s="48">
        <f t="shared" si="48"/>
        <v>-5.6013011177308758E-3</v>
      </c>
      <c r="AG77" s="110"/>
    </row>
    <row r="78" spans="5:33" x14ac:dyDescent="0.4">
      <c r="E78" s="107">
        <v>74</v>
      </c>
      <c r="F78" s="107">
        <v>7</v>
      </c>
      <c r="G78" s="141">
        <f t="shared" si="49"/>
        <v>54003184.548386693</v>
      </c>
      <c r="H78" s="141">
        <f t="shared" si="25"/>
        <v>1454988.8889545999</v>
      </c>
      <c r="I78" s="141">
        <f t="shared" si="26"/>
        <v>555762.56128318538</v>
      </c>
      <c r="J78" s="141">
        <f t="shared" si="27"/>
        <v>899226.32767141447</v>
      </c>
      <c r="K78" s="108">
        <f t="shared" si="28"/>
        <v>53103958.220715277</v>
      </c>
      <c r="L78" s="108">
        <f t="shared" si="29"/>
        <v>56260787.934132211</v>
      </c>
      <c r="M78" s="108">
        <f t="shared" si="30"/>
        <v>26981.379246899076</v>
      </c>
      <c r="N78" s="108">
        <f t="shared" si="31"/>
        <v>12500</v>
      </c>
      <c r="O78" s="108">
        <f t="shared" si="32"/>
        <v>39481.379246899072</v>
      </c>
      <c r="P78" s="108">
        <f t="shared" si="33"/>
        <v>15792.551698759629</v>
      </c>
      <c r="Q78" s="100">
        <f t="shared" si="34"/>
        <v>2.2333333333333333E-3</v>
      </c>
      <c r="R78" s="100">
        <f>20%</f>
        <v>0.2</v>
      </c>
      <c r="S78" s="108">
        <f t="shared" si="35"/>
        <v>25129.818610579056</v>
      </c>
      <c r="T78" s="108">
        <f t="shared" si="36"/>
        <v>200007.10110583997</v>
      </c>
      <c r="U78" s="108">
        <f t="shared" si="37"/>
        <v>1341.4597582101337</v>
      </c>
      <c r="V78" s="108">
        <f t="shared" si="38"/>
        <v>2318.9569716827982</v>
      </c>
      <c r="W78" s="108">
        <f t="shared" si="39"/>
        <v>203667.51783573293</v>
      </c>
      <c r="X78" s="108">
        <f t="shared" si="40"/>
        <v>-1440.9910624396107</v>
      </c>
      <c r="Y78" s="108">
        <f t="shared" si="41"/>
        <v>-389.06758685869494</v>
      </c>
      <c r="Z78" s="108">
        <f t="shared" si="42"/>
        <v>-1051.9234755809157</v>
      </c>
      <c r="AA78" s="108">
        <f t="shared" si="43"/>
        <v>2437.7778699136284</v>
      </c>
      <c r="AB78" s="108">
        <f t="shared" si="44"/>
        <v>-3489.7013454945441</v>
      </c>
      <c r="AC78" s="109">
        <f t="shared" si="45"/>
        <v>0.49068259803823056</v>
      </c>
      <c r="AD78" s="108">
        <f t="shared" si="46"/>
        <v>-516.16054393544891</v>
      </c>
      <c r="AE78" s="108">
        <f t="shared" si="47"/>
        <v>99936.106787635086</v>
      </c>
      <c r="AF78" s="48">
        <f t="shared" si="48"/>
        <v>-5.1649054633706474E-3</v>
      </c>
      <c r="AG78" s="110"/>
    </row>
    <row r="79" spans="5:33" x14ac:dyDescent="0.4">
      <c r="E79" s="107">
        <v>75</v>
      </c>
      <c r="F79" s="107">
        <v>7</v>
      </c>
      <c r="G79" s="141">
        <f t="shared" si="49"/>
        <v>53103958.220715277</v>
      </c>
      <c r="H79" s="141">
        <f t="shared" si="25"/>
        <v>1454988.8889545999</v>
      </c>
      <c r="I79" s="141">
        <f t="shared" si="26"/>
        <v>546508.36023524241</v>
      </c>
      <c r="J79" s="141">
        <f t="shared" si="27"/>
        <v>908480.52871935745</v>
      </c>
      <c r="K79" s="108">
        <f t="shared" si="28"/>
        <v>52195477.691995919</v>
      </c>
      <c r="L79" s="108">
        <f t="shared" si="29"/>
        <v>55323969.445574738</v>
      </c>
      <c r="M79" s="108">
        <f t="shared" si="30"/>
        <v>26532.102657405365</v>
      </c>
      <c r="N79" s="108">
        <f t="shared" si="31"/>
        <v>12500</v>
      </c>
      <c r="O79" s="108">
        <f t="shared" si="32"/>
        <v>39032.102657405369</v>
      </c>
      <c r="P79" s="108">
        <f t="shared" si="33"/>
        <v>15612.841062962148</v>
      </c>
      <c r="Q79" s="100">
        <f t="shared" si="34"/>
        <v>2.2333333333333333E-3</v>
      </c>
      <c r="R79" s="100">
        <f>20%</f>
        <v>0.2</v>
      </c>
      <c r="S79" s="108">
        <f t="shared" si="35"/>
        <v>24711.373019023384</v>
      </c>
      <c r="T79" s="108">
        <f t="shared" si="36"/>
        <v>196676.71137901818</v>
      </c>
      <c r="U79" s="108">
        <f t="shared" si="37"/>
        <v>1326.1946768829905</v>
      </c>
      <c r="V79" s="108">
        <f t="shared" si="38"/>
        <v>2292.5685045295863</v>
      </c>
      <c r="W79" s="108">
        <f t="shared" si="39"/>
        <v>200295.47456043077</v>
      </c>
      <c r="X79" s="108">
        <f t="shared" si="40"/>
        <v>-1292.1114245801655</v>
      </c>
      <c r="Y79" s="108">
        <f t="shared" si="41"/>
        <v>-348.87008463664472</v>
      </c>
      <c r="Z79" s="108">
        <f t="shared" si="42"/>
        <v>-943.24133994352076</v>
      </c>
      <c r="AA79" s="108">
        <f t="shared" si="43"/>
        <v>2397.4165370890551</v>
      </c>
      <c r="AB79" s="108">
        <f t="shared" si="44"/>
        <v>-3340.6578770325759</v>
      </c>
      <c r="AC79" s="109">
        <f t="shared" si="45"/>
        <v>0.485984352834959</v>
      </c>
      <c r="AD79" s="108">
        <f t="shared" si="46"/>
        <v>-458.4005321596315</v>
      </c>
      <c r="AE79" s="108">
        <f t="shared" si="47"/>
        <v>97340.466580021937</v>
      </c>
      <c r="AF79" s="48">
        <f t="shared" si="48"/>
        <v>-4.7092493827609527E-3</v>
      </c>
      <c r="AG79" s="110"/>
    </row>
    <row r="80" spans="5:33" x14ac:dyDescent="0.4">
      <c r="E80" s="107">
        <v>76</v>
      </c>
      <c r="F80" s="107">
        <v>7</v>
      </c>
      <c r="G80" s="141">
        <f t="shared" si="49"/>
        <v>52195477.691995919</v>
      </c>
      <c r="H80" s="141">
        <f t="shared" si="25"/>
        <v>1454988.8889545999</v>
      </c>
      <c r="I80" s="141">
        <f t="shared" si="26"/>
        <v>537158.92149863264</v>
      </c>
      <c r="J80" s="141">
        <f t="shared" si="27"/>
        <v>917829.96745596721</v>
      </c>
      <c r="K80" s="108">
        <f t="shared" si="28"/>
        <v>51277647.72453995</v>
      </c>
      <c r="L80" s="108">
        <f t="shared" si="29"/>
        <v>54377509.88405069</v>
      </c>
      <c r="M80" s="108">
        <f t="shared" si="30"/>
        <v>26078.202431172638</v>
      </c>
      <c r="N80" s="108">
        <f t="shared" si="31"/>
        <v>12500</v>
      </c>
      <c r="O80" s="108">
        <f t="shared" si="32"/>
        <v>38578.202431172642</v>
      </c>
      <c r="P80" s="108">
        <f t="shared" si="33"/>
        <v>15431.280972469058</v>
      </c>
      <c r="Q80" s="100">
        <f t="shared" si="34"/>
        <v>2.2333333333333333E-3</v>
      </c>
      <c r="R80" s="100">
        <f>20%</f>
        <v>0.2</v>
      </c>
      <c r="S80" s="108">
        <f t="shared" si="35"/>
        <v>24288.621081542642</v>
      </c>
      <c r="T80" s="108">
        <f t="shared" si="36"/>
        <v>193312.04763780019</v>
      </c>
      <c r="U80" s="108">
        <f t="shared" si="37"/>
        <v>1310.7724981408055</v>
      </c>
      <c r="V80" s="108">
        <f t="shared" si="38"/>
        <v>2265.9084659456139</v>
      </c>
      <c r="W80" s="108">
        <f t="shared" si="39"/>
        <v>196888.72860188663</v>
      </c>
      <c r="X80" s="108">
        <f t="shared" si="40"/>
        <v>-1141.6996228390599</v>
      </c>
      <c r="Y80" s="108">
        <f t="shared" si="41"/>
        <v>-308.2588981665462</v>
      </c>
      <c r="Z80" s="108">
        <f t="shared" si="42"/>
        <v>-833.44072467251362</v>
      </c>
      <c r="AA80" s="108">
        <f t="shared" si="43"/>
        <v>2356.6398339878033</v>
      </c>
      <c r="AB80" s="108">
        <f t="shared" si="44"/>
        <v>-3190.0805586603169</v>
      </c>
      <c r="AC80" s="109">
        <f t="shared" si="45"/>
        <v>0.48133109294006865</v>
      </c>
      <c r="AD80" s="108">
        <f t="shared" si="46"/>
        <v>-401.16093490738382</v>
      </c>
      <c r="AE80" s="108">
        <f t="shared" si="47"/>
        <v>94768.666925526646</v>
      </c>
      <c r="AF80" s="48">
        <f t="shared" si="48"/>
        <v>-4.2330545308042963E-3</v>
      </c>
      <c r="AG80" s="110"/>
    </row>
    <row r="81" spans="5:33" x14ac:dyDescent="0.4">
      <c r="E81" s="107">
        <v>77</v>
      </c>
      <c r="F81" s="107">
        <v>7</v>
      </c>
      <c r="G81" s="141">
        <f t="shared" si="49"/>
        <v>51277647.72453995</v>
      </c>
      <c r="H81" s="141">
        <f t="shared" si="25"/>
        <v>1454988.8889545999</v>
      </c>
      <c r="I81" s="141">
        <f t="shared" si="26"/>
        <v>527713.26495445706</v>
      </c>
      <c r="J81" s="141">
        <f t="shared" si="27"/>
        <v>927275.62400014279</v>
      </c>
      <c r="K81" s="108">
        <f t="shared" si="28"/>
        <v>50350372.100539811</v>
      </c>
      <c r="L81" s="108">
        <f t="shared" si="29"/>
        <v>53421310.030459382</v>
      </c>
      <c r="M81" s="108">
        <f t="shared" si="30"/>
        <v>25619.630985003387</v>
      </c>
      <c r="N81" s="108">
        <f t="shared" si="31"/>
        <v>12500</v>
      </c>
      <c r="O81" s="108">
        <f t="shared" si="32"/>
        <v>38119.630985003387</v>
      </c>
      <c r="P81" s="108">
        <f t="shared" si="33"/>
        <v>15247.852394001355</v>
      </c>
      <c r="Q81" s="100">
        <f t="shared" si="34"/>
        <v>2.2333333333333333E-3</v>
      </c>
      <c r="R81" s="100">
        <f>20%</f>
        <v>0.2</v>
      </c>
      <c r="S81" s="108">
        <f t="shared" si="35"/>
        <v>23861.518480271858</v>
      </c>
      <c r="T81" s="108">
        <f t="shared" si="36"/>
        <v>189912.75715828309</v>
      </c>
      <c r="U81" s="108">
        <f t="shared" si="37"/>
        <v>1295.191605248149</v>
      </c>
      <c r="V81" s="108">
        <f t="shared" si="38"/>
        <v>2238.9740611098869</v>
      </c>
      <c r="W81" s="108">
        <f t="shared" si="39"/>
        <v>193446.92282464111</v>
      </c>
      <c r="X81" s="108">
        <f t="shared" si="40"/>
        <v>-989.73988926982565</v>
      </c>
      <c r="Y81" s="108">
        <f t="shared" si="41"/>
        <v>-267.22977010285297</v>
      </c>
      <c r="Z81" s="108">
        <f t="shared" si="42"/>
        <v>-722.51011916697269</v>
      </c>
      <c r="AA81" s="108">
        <f t="shared" si="43"/>
        <v>2315.4434859129119</v>
      </c>
      <c r="AB81" s="108">
        <f t="shared" si="44"/>
        <v>-3037.9536050798847</v>
      </c>
      <c r="AC81" s="109">
        <f t="shared" si="45"/>
        <v>0.47672238762296082</v>
      </c>
      <c r="AD81" s="108">
        <f t="shared" si="46"/>
        <v>-344.43674909102918</v>
      </c>
      <c r="AE81" s="108">
        <f t="shared" si="47"/>
        <v>92220.478927277538</v>
      </c>
      <c r="AF81" s="48">
        <f t="shared" si="48"/>
        <v>-3.734926917508661E-3</v>
      </c>
      <c r="AG81" s="110"/>
    </row>
    <row r="82" spans="5:33" x14ac:dyDescent="0.4">
      <c r="E82" s="107">
        <v>78</v>
      </c>
      <c r="F82" s="107">
        <v>7</v>
      </c>
      <c r="G82" s="141">
        <f t="shared" si="49"/>
        <v>50350372.100539811</v>
      </c>
      <c r="H82" s="141">
        <f t="shared" si="25"/>
        <v>1454988.8889545999</v>
      </c>
      <c r="I82" s="141">
        <f t="shared" si="26"/>
        <v>518170.40039712645</v>
      </c>
      <c r="J82" s="141">
        <f t="shared" si="27"/>
        <v>936818.48855747341</v>
      </c>
      <c r="K82" s="108">
        <f t="shared" si="28"/>
        <v>49413553.611982338</v>
      </c>
      <c r="L82" s="108">
        <f t="shared" si="29"/>
        <v>52455269.64460735</v>
      </c>
      <c r="M82" s="108">
        <f t="shared" si="30"/>
        <v>25156.340246007512</v>
      </c>
      <c r="N82" s="108">
        <f t="shared" si="31"/>
        <v>12500</v>
      </c>
      <c r="O82" s="108">
        <f t="shared" si="32"/>
        <v>37656.340246007516</v>
      </c>
      <c r="P82" s="108">
        <f t="shared" si="33"/>
        <v>15062.536098403007</v>
      </c>
      <c r="Q82" s="100">
        <f t="shared" si="34"/>
        <v>2.2333333333333333E-3</v>
      </c>
      <c r="R82" s="100">
        <f>20%</f>
        <v>0.2</v>
      </c>
      <c r="S82" s="108">
        <f t="shared" si="35"/>
        <v>23430.020441257948</v>
      </c>
      <c r="T82" s="108">
        <f t="shared" si="36"/>
        <v>186478.48358657912</v>
      </c>
      <c r="U82" s="108">
        <f t="shared" si="37"/>
        <v>1279.4503648312959</v>
      </c>
      <c r="V82" s="108">
        <f t="shared" si="38"/>
        <v>2211.7624664390919</v>
      </c>
      <c r="W82" s="108">
        <f t="shared" si="39"/>
        <v>189969.69641784951</v>
      </c>
      <c r="X82" s="108">
        <f t="shared" si="40"/>
        <v>-836.21629365343688</v>
      </c>
      <c r="Y82" s="108">
        <f t="shared" si="41"/>
        <v>-225.77839928642797</v>
      </c>
      <c r="Z82" s="108">
        <f t="shared" si="42"/>
        <v>-610.43789436700888</v>
      </c>
      <c r="AA82" s="108">
        <f t="shared" si="43"/>
        <v>2273.8231741752656</v>
      </c>
      <c r="AB82" s="108">
        <f t="shared" si="44"/>
        <v>-2884.2610685422746</v>
      </c>
      <c r="AC82" s="109">
        <f t="shared" si="45"/>
        <v>0.47215781027724618</v>
      </c>
      <c r="AD82" s="108">
        <f t="shared" si="46"/>
        <v>-288.22301951457985</v>
      </c>
      <c r="AE82" s="108">
        <f t="shared" si="47"/>
        <v>89695.675879685048</v>
      </c>
      <c r="AF82" s="48">
        <f t="shared" si="48"/>
        <v>-3.2133435272977164E-3</v>
      </c>
      <c r="AG82" s="110"/>
    </row>
    <row r="83" spans="5:33" x14ac:dyDescent="0.4">
      <c r="E83" s="107">
        <v>79</v>
      </c>
      <c r="F83" s="107">
        <v>7</v>
      </c>
      <c r="G83" s="141">
        <f t="shared" si="49"/>
        <v>49413553.611982338</v>
      </c>
      <c r="H83" s="141">
        <f t="shared" si="25"/>
        <v>1454988.8889545999</v>
      </c>
      <c r="I83" s="141">
        <f t="shared" si="26"/>
        <v>508529.32743055641</v>
      </c>
      <c r="J83" s="141">
        <f t="shared" si="27"/>
        <v>946459.56152404344</v>
      </c>
      <c r="K83" s="108">
        <f t="shared" si="28"/>
        <v>48467094.050458297</v>
      </c>
      <c r="L83" s="108">
        <f t="shared" si="29"/>
        <v>51479287.454699986</v>
      </c>
      <c r="M83" s="108">
        <f t="shared" si="30"/>
        <v>24688.281646562729</v>
      </c>
      <c r="N83" s="108">
        <f t="shared" si="31"/>
        <v>12500</v>
      </c>
      <c r="O83" s="108">
        <f t="shared" si="32"/>
        <v>37188.281646562726</v>
      </c>
      <c r="P83" s="108">
        <f t="shared" si="33"/>
        <v>14875.312658625091</v>
      </c>
      <c r="Q83" s="100">
        <f t="shared" si="34"/>
        <v>2.2333333333333333E-3</v>
      </c>
      <c r="R83" s="100">
        <f>20%</f>
        <v>0.2</v>
      </c>
      <c r="S83" s="108">
        <f t="shared" si="35"/>
        <v>22994.081729765992</v>
      </c>
      <c r="T83" s="108">
        <f t="shared" si="36"/>
        <v>183008.86690145842</v>
      </c>
      <c r="U83" s="108">
        <f t="shared" si="37"/>
        <v>1263.547126706992</v>
      </c>
      <c r="V83" s="108">
        <f t="shared" si="38"/>
        <v>2184.2708292915918</v>
      </c>
      <c r="W83" s="108">
        <f t="shared" si="39"/>
        <v>186456.68485745697</v>
      </c>
      <c r="X83" s="108">
        <f t="shared" si="40"/>
        <v>-681.11274182835768</v>
      </c>
      <c r="Y83" s="108">
        <f t="shared" si="41"/>
        <v>-183.9004402936566</v>
      </c>
      <c r="Z83" s="108">
        <f t="shared" si="42"/>
        <v>-497.21230153470106</v>
      </c>
      <c r="AA83" s="108">
        <f t="shared" si="43"/>
        <v>2231.7745356408536</v>
      </c>
      <c r="AB83" s="108">
        <f t="shared" si="44"/>
        <v>-2728.9868371755547</v>
      </c>
      <c r="AC83" s="109">
        <f t="shared" si="45"/>
        <v>0.46763693838125664</v>
      </c>
      <c r="AD83" s="108">
        <f t="shared" si="46"/>
        <v>-232.51483841518581</v>
      </c>
      <c r="AE83" s="108">
        <f t="shared" si="47"/>
        <v>87194.03324746</v>
      </c>
      <c r="AF83" s="48">
        <f t="shared" si="48"/>
        <v>-2.6666370364506458E-3</v>
      </c>
      <c r="AG83" s="110"/>
    </row>
    <row r="84" spans="5:33" x14ac:dyDescent="0.4">
      <c r="E84" s="107">
        <v>80</v>
      </c>
      <c r="F84" s="107">
        <v>7</v>
      </c>
      <c r="G84" s="141">
        <f t="shared" si="49"/>
        <v>48467094.050458297</v>
      </c>
      <c r="H84" s="141">
        <f t="shared" si="25"/>
        <v>1454988.8889545999</v>
      </c>
      <c r="I84" s="141">
        <f t="shared" si="26"/>
        <v>498789.03536329395</v>
      </c>
      <c r="J84" s="141">
        <f t="shared" si="27"/>
        <v>956199.8535913059</v>
      </c>
      <c r="K84" s="108">
        <f t="shared" si="28"/>
        <v>47510894.196866989</v>
      </c>
      <c r="L84" s="108">
        <f t="shared" si="29"/>
        <v>50493261.146725029</v>
      </c>
      <c r="M84" s="108">
        <f t="shared" si="30"/>
        <v>24215.406119223171</v>
      </c>
      <c r="N84" s="108">
        <f t="shared" si="31"/>
        <v>12500</v>
      </c>
      <c r="O84" s="108">
        <f t="shared" si="32"/>
        <v>36715.406119223175</v>
      </c>
      <c r="P84" s="108">
        <f t="shared" si="33"/>
        <v>14686.16244768927</v>
      </c>
      <c r="Q84" s="100">
        <f t="shared" si="34"/>
        <v>2.2333333333333333E-3</v>
      </c>
      <c r="R84" s="100">
        <f>20%</f>
        <v>0.2</v>
      </c>
      <c r="S84" s="108">
        <f t="shared" si="35"/>
        <v>22553.656645537179</v>
      </c>
      <c r="T84" s="108">
        <f t="shared" si="36"/>
        <v>179503.54337660744</v>
      </c>
      <c r="U84" s="108">
        <f t="shared" si="37"/>
        <v>1247.4802237094675</v>
      </c>
      <c r="V84" s="108">
        <f t="shared" si="38"/>
        <v>2156.4962676683845</v>
      </c>
      <c r="W84" s="108">
        <f t="shared" si="39"/>
        <v>182907.51986798528</v>
      </c>
      <c r="X84" s="108">
        <f t="shared" si="40"/>
        <v>-524.41297400327312</v>
      </c>
      <c r="Y84" s="108">
        <f t="shared" si="41"/>
        <v>-141.59150298088375</v>
      </c>
      <c r="Z84" s="108">
        <f t="shared" si="42"/>
        <v>-382.82147102238935</v>
      </c>
      <c r="AA84" s="108">
        <f t="shared" si="43"/>
        <v>2189.2931622733799</v>
      </c>
      <c r="AB84" s="108">
        <f t="shared" si="44"/>
        <v>-2572.1146332957692</v>
      </c>
      <c r="AC84" s="109">
        <f t="shared" si="45"/>
        <v>0.46315935345893339</v>
      </c>
      <c r="AD84" s="108">
        <f t="shared" si="46"/>
        <v>-177.30734500892765</v>
      </c>
      <c r="AE84" s="108">
        <f t="shared" si="47"/>
        <v>84715.328644833076</v>
      </c>
      <c r="AF84" s="48">
        <f t="shared" si="48"/>
        <v>-2.0929783056415248E-3</v>
      </c>
      <c r="AG84" s="110"/>
    </row>
    <row r="85" spans="5:33" x14ac:dyDescent="0.4">
      <c r="E85" s="107">
        <v>81</v>
      </c>
      <c r="F85" s="107">
        <v>7</v>
      </c>
      <c r="G85" s="141">
        <f t="shared" si="49"/>
        <v>47510894.196866989</v>
      </c>
      <c r="H85" s="141">
        <f t="shared" si="25"/>
        <v>1454988.8889545999</v>
      </c>
      <c r="I85" s="141">
        <f t="shared" si="26"/>
        <v>488948.50310256472</v>
      </c>
      <c r="J85" s="141">
        <f t="shared" si="27"/>
        <v>966040.38585203514</v>
      </c>
      <c r="K85" s="108">
        <f t="shared" si="28"/>
        <v>46544853.81101495</v>
      </c>
      <c r="L85" s="108">
        <f t="shared" si="29"/>
        <v>49497087.353726819</v>
      </c>
      <c r="M85" s="108">
        <f t="shared" si="30"/>
        <v>23737.664091575516</v>
      </c>
      <c r="N85" s="108">
        <f t="shared" si="31"/>
        <v>12500</v>
      </c>
      <c r="O85" s="108">
        <f t="shared" si="32"/>
        <v>36237.664091575512</v>
      </c>
      <c r="P85" s="108">
        <f t="shared" si="33"/>
        <v>14495.065636630206</v>
      </c>
      <c r="Q85" s="100">
        <f t="shared" si="34"/>
        <v>2.2333333333333333E-3</v>
      </c>
      <c r="R85" s="100">
        <f>20%</f>
        <v>0.2</v>
      </c>
      <c r="S85" s="108">
        <f t="shared" si="35"/>
        <v>22108.69901799798</v>
      </c>
      <c r="T85" s="108">
        <f t="shared" si="36"/>
        <v>175962.14554249882</v>
      </c>
      <c r="U85" s="108">
        <f t="shared" si="37"/>
        <v>1231.2479715156594</v>
      </c>
      <c r="V85" s="108">
        <f t="shared" si="38"/>
        <v>2128.4358699109671</v>
      </c>
      <c r="W85" s="108">
        <f t="shared" si="39"/>
        <v>179321.82938392545</v>
      </c>
      <c r="X85" s="108">
        <f t="shared" si="40"/>
        <v>-366.10056305267426</v>
      </c>
      <c r="Y85" s="108">
        <f t="shared" si="41"/>
        <v>-98.847152024222055</v>
      </c>
      <c r="Z85" s="108">
        <f t="shared" si="42"/>
        <v>-267.25341102845221</v>
      </c>
      <c r="AA85" s="108">
        <f t="shared" si="43"/>
        <v>2146.3746006721576</v>
      </c>
      <c r="AB85" s="108">
        <f t="shared" si="44"/>
        <v>-2413.6280117006099</v>
      </c>
      <c r="AC85" s="109">
        <f t="shared" si="45"/>
        <v>0.45872464104109206</v>
      </c>
      <c r="AD85" s="108">
        <f t="shared" si="46"/>
        <v>-122.59572504103417</v>
      </c>
      <c r="AE85" s="108">
        <f t="shared" si="47"/>
        <v>82259.341814973159</v>
      </c>
      <c r="AF85" s="48">
        <f t="shared" si="48"/>
        <v>-1.4903562602870089E-3</v>
      </c>
      <c r="AG85" s="110"/>
    </row>
    <row r="86" spans="5:33" x14ac:dyDescent="0.4">
      <c r="E86" s="107">
        <v>82</v>
      </c>
      <c r="F86" s="107">
        <v>7</v>
      </c>
      <c r="G86" s="141">
        <f t="shared" si="49"/>
        <v>46544853.81101495</v>
      </c>
      <c r="H86" s="141">
        <f t="shared" si="25"/>
        <v>1454988.8889545999</v>
      </c>
      <c r="I86" s="141">
        <f t="shared" si="26"/>
        <v>479006.6990472303</v>
      </c>
      <c r="J86" s="141">
        <f t="shared" si="27"/>
        <v>975982.18990736955</v>
      </c>
      <c r="K86" s="108">
        <f t="shared" si="28"/>
        <v>45568871.621107578</v>
      </c>
      <c r="L86" s="108">
        <f t="shared" si="29"/>
        <v>48490661.644970119</v>
      </c>
      <c r="M86" s="108">
        <f t="shared" si="30"/>
        <v>23255.005481042277</v>
      </c>
      <c r="N86" s="108">
        <f t="shared" si="31"/>
        <v>12500</v>
      </c>
      <c r="O86" s="108">
        <f t="shared" si="32"/>
        <v>35755.005481042273</v>
      </c>
      <c r="P86" s="108">
        <f t="shared" si="33"/>
        <v>14302.00219241691</v>
      </c>
      <c r="Q86" s="100">
        <f t="shared" si="34"/>
        <v>2.2333333333333333E-3</v>
      </c>
      <c r="R86" s="100">
        <f>20%</f>
        <v>0.2</v>
      </c>
      <c r="S86" s="108">
        <f t="shared" si="35"/>
        <v>21659.162201419986</v>
      </c>
      <c r="T86" s="108">
        <f t="shared" si="36"/>
        <v>172384.30214786876</v>
      </c>
      <c r="U86" s="108">
        <f t="shared" si="37"/>
        <v>1214.8486684686461</v>
      </c>
      <c r="V86" s="108">
        <f t="shared" si="38"/>
        <v>2100.086694396115</v>
      </c>
      <c r="W86" s="108">
        <f t="shared" si="39"/>
        <v>175699.23751073351</v>
      </c>
      <c r="X86" s="108">
        <f t="shared" si="40"/>
        <v>-206.15891279462448</v>
      </c>
      <c r="Y86" s="108">
        <f t="shared" si="41"/>
        <v>-55.662906454548612</v>
      </c>
      <c r="Z86" s="108">
        <f t="shared" si="42"/>
        <v>-150.49600634007587</v>
      </c>
      <c r="AA86" s="108">
        <f t="shared" si="43"/>
        <v>2103.0143516052499</v>
      </c>
      <c r="AB86" s="108">
        <f t="shared" si="44"/>
        <v>-2253.5103579453257</v>
      </c>
      <c r="AC86" s="109">
        <f t="shared" si="45"/>
        <v>0.45433239062705599</v>
      </c>
      <c r="AD86" s="108">
        <f t="shared" si="46"/>
        <v>-68.375210340311241</v>
      </c>
      <c r="AE86" s="108">
        <f t="shared" si="47"/>
        <v>79825.854609602466</v>
      </c>
      <c r="AF86" s="48">
        <f t="shared" si="48"/>
        <v>-8.5655469239519059E-4</v>
      </c>
      <c r="AG86" s="110"/>
    </row>
    <row r="87" spans="5:33" x14ac:dyDescent="0.4">
      <c r="E87" s="107">
        <v>83</v>
      </c>
      <c r="F87" s="107">
        <v>7</v>
      </c>
      <c r="G87" s="141">
        <f t="shared" si="49"/>
        <v>45568871.621107578</v>
      </c>
      <c r="H87" s="141">
        <f t="shared" si="25"/>
        <v>1454988.8889545999</v>
      </c>
      <c r="I87" s="141">
        <f t="shared" si="26"/>
        <v>468962.58097964316</v>
      </c>
      <c r="J87" s="141">
        <f t="shared" si="27"/>
        <v>986026.3079749567</v>
      </c>
      <c r="K87" s="108">
        <f t="shared" si="28"/>
        <v>44582845.313132621</v>
      </c>
      <c r="L87" s="108">
        <f t="shared" si="29"/>
        <v>47473878.514992483</v>
      </c>
      <c r="M87" s="108">
        <f t="shared" si="30"/>
        <v>22767.379689631489</v>
      </c>
      <c r="N87" s="108">
        <f t="shared" si="31"/>
        <v>12500</v>
      </c>
      <c r="O87" s="108">
        <f t="shared" si="32"/>
        <v>35267.379689631489</v>
      </c>
      <c r="P87" s="108">
        <f t="shared" si="33"/>
        <v>14106.951875852596</v>
      </c>
      <c r="Q87" s="100">
        <f t="shared" si="34"/>
        <v>2.2333333333333333E-3</v>
      </c>
      <c r="R87" s="100">
        <f>20%</f>
        <v>0.2</v>
      </c>
      <c r="S87" s="108">
        <f t="shared" si="35"/>
        <v>21204.999070029975</v>
      </c>
      <c r="T87" s="108">
        <f t="shared" si="36"/>
        <v>168769.63812079828</v>
      </c>
      <c r="U87" s="108">
        <f t="shared" si="37"/>
        <v>1198.2805953992558</v>
      </c>
      <c r="V87" s="108">
        <f t="shared" si="38"/>
        <v>2071.4457692274941</v>
      </c>
      <c r="W87" s="108">
        <f t="shared" si="39"/>
        <v>172039.36448542503</v>
      </c>
      <c r="X87" s="108">
        <f t="shared" si="40"/>
        <v>-44.57125625108165</v>
      </c>
      <c r="Y87" s="108">
        <f t="shared" si="41"/>
        <v>-12.034239187792046</v>
      </c>
      <c r="Z87" s="108">
        <f t="shared" si="42"/>
        <v>-32.537017063289603</v>
      </c>
      <c r="AA87" s="108">
        <f t="shared" si="43"/>
        <v>2059.2078695378109</v>
      </c>
      <c r="AB87" s="108">
        <f t="shared" si="44"/>
        <v>-2091.7448866011005</v>
      </c>
      <c r="AC87" s="109">
        <f t="shared" si="45"/>
        <v>0.44998219564665815</v>
      </c>
      <c r="AD87" s="108">
        <f t="shared" si="46"/>
        <v>-14.641078377931837</v>
      </c>
      <c r="AE87" s="108">
        <f t="shared" si="47"/>
        <v>77414.650968807255</v>
      </c>
      <c r="AF87" s="48">
        <f t="shared" si="48"/>
        <v>-1.891254199909934E-4</v>
      </c>
      <c r="AG87" s="110"/>
    </row>
    <row r="88" spans="5:33" x14ac:dyDescent="0.4">
      <c r="E88" s="107">
        <v>84</v>
      </c>
      <c r="F88" s="107">
        <v>7</v>
      </c>
      <c r="G88" s="141">
        <f t="shared" si="49"/>
        <v>44582845.313132621</v>
      </c>
      <c r="H88" s="141">
        <f t="shared" si="25"/>
        <v>1454988.8889545999</v>
      </c>
      <c r="I88" s="141">
        <f t="shared" si="26"/>
        <v>458815.09595638933</v>
      </c>
      <c r="J88" s="141">
        <f t="shared" si="27"/>
        <v>996173.79299821053</v>
      </c>
      <c r="K88" s="108">
        <f t="shared" si="28"/>
        <v>43586671.520134412</v>
      </c>
      <c r="L88" s="108">
        <f t="shared" si="29"/>
        <v>46446631.372543886</v>
      </c>
      <c r="M88" s="108">
        <f t="shared" si="30"/>
        <v>22274.735598632473</v>
      </c>
      <c r="N88" s="108">
        <f t="shared" si="31"/>
        <v>12500</v>
      </c>
      <c r="O88" s="108">
        <f t="shared" si="32"/>
        <v>34774.735598632469</v>
      </c>
      <c r="P88" s="108">
        <f t="shared" si="33"/>
        <v>13909.894239452988</v>
      </c>
      <c r="Q88" s="100">
        <f t="shared" si="34"/>
        <v>2.2333333333333333E-3</v>
      </c>
      <c r="R88" s="100">
        <f>20%</f>
        <v>0.2</v>
      </c>
      <c r="S88" s="108">
        <f t="shared" si="35"/>
        <v>20746.162013069603</v>
      </c>
      <c r="T88" s="108">
        <f t="shared" si="36"/>
        <v>165117.7745293935</v>
      </c>
      <c r="U88" s="108">
        <f t="shared" si="37"/>
        <v>1181.5420154458438</v>
      </c>
      <c r="V88" s="108">
        <f t="shared" si="38"/>
        <v>2042.510091924117</v>
      </c>
      <c r="W88" s="108">
        <f t="shared" si="39"/>
        <v>168341.82663676346</v>
      </c>
      <c r="X88" s="108">
        <f t="shared" si="40"/>
        <v>118.67934610987868</v>
      </c>
      <c r="Y88" s="108">
        <f t="shared" si="41"/>
        <v>32.043423449667245</v>
      </c>
      <c r="Z88" s="108">
        <f t="shared" si="42"/>
        <v>86.635922660211435</v>
      </c>
      <c r="AA88" s="108">
        <f t="shared" si="43"/>
        <v>2014.9505621555645</v>
      </c>
      <c r="AB88" s="108">
        <f t="shared" si="44"/>
        <v>-1928.314639495353</v>
      </c>
      <c r="AC88" s="109">
        <f t="shared" si="45"/>
        <v>0.44567365342260767</v>
      </c>
      <c r="AD88" s="108">
        <f t="shared" si="46"/>
        <v>38.611348169614914</v>
      </c>
      <c r="AE88" s="108">
        <f t="shared" si="47"/>
        <v>75025.516901041628</v>
      </c>
      <c r="AF88" s="48">
        <f t="shared" si="48"/>
        <v>5.1464288104196784E-4</v>
      </c>
      <c r="AG88" s="110"/>
    </row>
    <row r="89" spans="5:33" x14ac:dyDescent="0.4">
      <c r="E89" s="107">
        <v>85</v>
      </c>
      <c r="F89" s="107">
        <v>8</v>
      </c>
      <c r="G89" s="141">
        <f t="shared" si="49"/>
        <v>43586671.520134412</v>
      </c>
      <c r="H89" s="141">
        <f t="shared" si="25"/>
        <v>1454988.8889545999</v>
      </c>
      <c r="I89" s="141">
        <f t="shared" si="26"/>
        <v>448563.18019790633</v>
      </c>
      <c r="J89" s="141">
        <f t="shared" si="27"/>
        <v>1006425.7087566935</v>
      </c>
      <c r="K89" s="108">
        <f t="shared" si="28"/>
        <v>42580245.811377719</v>
      </c>
      <c r="L89" s="108">
        <f t="shared" si="29"/>
        <v>45408812.52941259</v>
      </c>
      <c r="M89" s="108">
        <f t="shared" si="30"/>
        <v>21777.021563256953</v>
      </c>
      <c r="N89" s="108">
        <f t="shared" si="31"/>
        <v>12500</v>
      </c>
      <c r="O89" s="108">
        <f t="shared" si="32"/>
        <v>34277.021563256953</v>
      </c>
      <c r="P89" s="108">
        <f t="shared" si="33"/>
        <v>13710.808625302781</v>
      </c>
      <c r="Q89" s="100">
        <f t="shared" si="34"/>
        <v>2.2333333333333333E-3</v>
      </c>
      <c r="R89" s="100">
        <f>20%</f>
        <v>0.2</v>
      </c>
      <c r="S89" s="108">
        <f t="shared" si="35"/>
        <v>20282.602929804289</v>
      </c>
      <c r="T89" s="108">
        <f t="shared" si="36"/>
        <v>161428.32854206173</v>
      </c>
      <c r="U89" s="108">
        <f t="shared" si="37"/>
        <v>1164.6311738722161</v>
      </c>
      <c r="V89" s="108">
        <f t="shared" si="38"/>
        <v>2013.2766291055889</v>
      </c>
      <c r="W89" s="108">
        <f t="shared" si="39"/>
        <v>164606.23634503954</v>
      </c>
      <c r="X89" s="108">
        <f t="shared" si="40"/>
        <v>283.61000814988438</v>
      </c>
      <c r="Y89" s="108">
        <f t="shared" si="41"/>
        <v>76.574702200468792</v>
      </c>
      <c r="Z89" s="108">
        <f t="shared" si="42"/>
        <v>207.0353059494156</v>
      </c>
      <c r="AA89" s="108">
        <f t="shared" si="43"/>
        <v>1970.2377898833868</v>
      </c>
      <c r="AB89" s="108">
        <f t="shared" si="44"/>
        <v>-1763.2024839339711</v>
      </c>
      <c r="AC89" s="109">
        <f t="shared" si="45"/>
        <v>0.44140636513321513</v>
      </c>
      <c r="AD89" s="108">
        <f t="shared" si="46"/>
        <v>91.386701853374646</v>
      </c>
      <c r="AE89" s="108">
        <f t="shared" si="47"/>
        <v>72658.240463322829</v>
      </c>
      <c r="AF89" s="48">
        <f t="shared" si="48"/>
        <v>1.25776100922105E-3</v>
      </c>
      <c r="AG89" s="110"/>
    </row>
    <row r="90" spans="5:33" x14ac:dyDescent="0.4">
      <c r="E90" s="107">
        <v>86</v>
      </c>
      <c r="F90" s="107">
        <v>8</v>
      </c>
      <c r="G90" s="141">
        <f t="shared" si="49"/>
        <v>42580245.811377719</v>
      </c>
      <c r="H90" s="141">
        <f t="shared" si="25"/>
        <v>1454988.8889545999</v>
      </c>
      <c r="I90" s="141">
        <f t="shared" si="26"/>
        <v>438205.75897696515</v>
      </c>
      <c r="J90" s="141">
        <f t="shared" si="27"/>
        <v>1016783.1299776346</v>
      </c>
      <c r="K90" s="108">
        <f t="shared" si="28"/>
        <v>41563462.681400083</v>
      </c>
      <c r="L90" s="108">
        <f t="shared" si="29"/>
        <v>44360313.189135991</v>
      </c>
      <c r="M90" s="108">
        <f t="shared" si="30"/>
        <v>21274.185407225024</v>
      </c>
      <c r="N90" s="108">
        <f t="shared" si="31"/>
        <v>12500</v>
      </c>
      <c r="O90" s="108">
        <f t="shared" si="32"/>
        <v>33774.185407225028</v>
      </c>
      <c r="P90" s="108">
        <f t="shared" si="33"/>
        <v>13509.674162890013</v>
      </c>
      <c r="Q90" s="100">
        <f t="shared" si="34"/>
        <v>2.2333333333333333E-3</v>
      </c>
      <c r="R90" s="100">
        <f>20%</f>
        <v>0.2</v>
      </c>
      <c r="S90" s="108">
        <f t="shared" si="35"/>
        <v>19814.273224480741</v>
      </c>
      <c r="T90" s="108">
        <f t="shared" si="36"/>
        <v>157700.91338737844</v>
      </c>
      <c r="U90" s="108">
        <f t="shared" si="37"/>
        <v>1147.5462978836731</v>
      </c>
      <c r="V90" s="108">
        <f t="shared" si="38"/>
        <v>1983.7423161741076</v>
      </c>
      <c r="W90" s="108">
        <f t="shared" si="39"/>
        <v>160832.20200143624</v>
      </c>
      <c r="X90" s="108">
        <f t="shared" si="40"/>
        <v>450.23801985427417</v>
      </c>
      <c r="Y90" s="108">
        <f t="shared" si="41"/>
        <v>121.56426536065403</v>
      </c>
      <c r="Z90" s="108">
        <f t="shared" si="42"/>
        <v>328.67375449362015</v>
      </c>
      <c r="AA90" s="108">
        <f t="shared" si="43"/>
        <v>1925.064865398931</v>
      </c>
      <c r="AB90" s="108">
        <f t="shared" si="44"/>
        <v>-1596.3911109053108</v>
      </c>
      <c r="AC90" s="109">
        <f t="shared" si="45"/>
        <v>0.4371799357754757</v>
      </c>
      <c r="AD90" s="108">
        <f t="shared" si="46"/>
        <v>143.68957088060532</v>
      </c>
      <c r="AE90" s="108">
        <f t="shared" si="47"/>
        <v>70312.611741616231</v>
      </c>
      <c r="AF90" s="48">
        <f t="shared" si="48"/>
        <v>2.0435817603907773E-3</v>
      </c>
      <c r="AG90" s="110"/>
    </row>
    <row r="91" spans="5:33" x14ac:dyDescent="0.4">
      <c r="E91" s="107">
        <v>87</v>
      </c>
      <c r="F91" s="107">
        <v>8</v>
      </c>
      <c r="G91" s="141">
        <f t="shared" si="49"/>
        <v>41563462.681400083</v>
      </c>
      <c r="H91" s="141">
        <f t="shared" si="25"/>
        <v>1454988.8889545999</v>
      </c>
      <c r="I91" s="141">
        <f t="shared" si="26"/>
        <v>427741.74650600454</v>
      </c>
      <c r="J91" s="141">
        <f t="shared" si="27"/>
        <v>1027247.1424485953</v>
      </c>
      <c r="K91" s="108">
        <f t="shared" si="28"/>
        <v>40536215.538951486</v>
      </c>
      <c r="L91" s="108">
        <f t="shared" si="29"/>
        <v>43301023.435595267</v>
      </c>
      <c r="M91" s="108">
        <f t="shared" si="30"/>
        <v>20766.174417295446</v>
      </c>
      <c r="N91" s="108">
        <f t="shared" si="31"/>
        <v>12500</v>
      </c>
      <c r="O91" s="108">
        <f t="shared" si="32"/>
        <v>33266.17441729545</v>
      </c>
      <c r="P91" s="108">
        <f t="shared" si="33"/>
        <v>13306.469766918181</v>
      </c>
      <c r="Q91" s="100">
        <f t="shared" si="34"/>
        <v>2.2333333333333333E-3</v>
      </c>
      <c r="R91" s="100">
        <f>20%</f>
        <v>0.2</v>
      </c>
      <c r="S91" s="108">
        <f t="shared" si="35"/>
        <v>19341.123801232552</v>
      </c>
      <c r="T91" s="108">
        <f t="shared" si="36"/>
        <v>153935.13831354116</v>
      </c>
      <c r="U91" s="108">
        <f t="shared" si="37"/>
        <v>1130.2855964411685</v>
      </c>
      <c r="V91" s="108">
        <f t="shared" si="38"/>
        <v>1953.9040569932001</v>
      </c>
      <c r="W91" s="108">
        <f t="shared" si="39"/>
        <v>157019.32796697551</v>
      </c>
      <c r="X91" s="108">
        <f t="shared" si="40"/>
        <v>618.58084914471692</v>
      </c>
      <c r="Y91" s="108">
        <f t="shared" si="41"/>
        <v>167.01682926907358</v>
      </c>
      <c r="Z91" s="108">
        <f t="shared" si="42"/>
        <v>451.56401987564334</v>
      </c>
      <c r="AA91" s="108">
        <f t="shared" si="43"/>
        <v>1879.4270531412424</v>
      </c>
      <c r="AB91" s="108">
        <f t="shared" si="44"/>
        <v>-1427.8630332655989</v>
      </c>
      <c r="AC91" s="109">
        <f t="shared" si="45"/>
        <v>0.43299397412850565</v>
      </c>
      <c r="AD91" s="108">
        <f t="shared" si="46"/>
        <v>195.52449953939833</v>
      </c>
      <c r="AE91" s="108">
        <f t="shared" si="47"/>
        <v>67988.422831407937</v>
      </c>
      <c r="AF91" s="48">
        <f t="shared" si="48"/>
        <v>2.8758499079209968E-3</v>
      </c>
      <c r="AG91" s="110"/>
    </row>
    <row r="92" spans="5:33" x14ac:dyDescent="0.4">
      <c r="E92" s="107">
        <v>88</v>
      </c>
      <c r="F92" s="107">
        <v>8</v>
      </c>
      <c r="G92" s="141">
        <f t="shared" si="49"/>
        <v>40536215.538951486</v>
      </c>
      <c r="H92" s="141">
        <f t="shared" si="25"/>
        <v>1454988.8889545999</v>
      </c>
      <c r="I92" s="141">
        <f t="shared" si="26"/>
        <v>417170.04582330619</v>
      </c>
      <c r="J92" s="141">
        <f t="shared" si="27"/>
        <v>1037818.8431312937</v>
      </c>
      <c r="K92" s="108">
        <f t="shared" si="28"/>
        <v>39498396.69582019</v>
      </c>
      <c r="L92" s="108">
        <f t="shared" si="29"/>
        <v>42230832.221492678</v>
      </c>
      <c r="M92" s="108">
        <f t="shared" si="30"/>
        <v>20252.935337739593</v>
      </c>
      <c r="N92" s="108">
        <f t="shared" si="31"/>
        <v>12500</v>
      </c>
      <c r="O92" s="108">
        <f t="shared" si="32"/>
        <v>32752.935337739593</v>
      </c>
      <c r="P92" s="108">
        <f t="shared" si="33"/>
        <v>13101.174135095838</v>
      </c>
      <c r="Q92" s="100">
        <f t="shared" si="34"/>
        <v>2.2333333333333333E-3</v>
      </c>
      <c r="R92" s="100">
        <f>20%</f>
        <v>0.2</v>
      </c>
      <c r="S92" s="108">
        <f t="shared" si="35"/>
        <v>18863.105058933397</v>
      </c>
      <c r="T92" s="108">
        <f t="shared" si="36"/>
        <v>150130.60854740645</v>
      </c>
      <c r="U92" s="108">
        <f t="shared" si="37"/>
        <v>1112.8472600735488</v>
      </c>
      <c r="V92" s="108">
        <f t="shared" si="38"/>
        <v>1923.7587235631479</v>
      </c>
      <c r="W92" s="108">
        <f t="shared" si="39"/>
        <v>153167.21453104314</v>
      </c>
      <c r="X92" s="108">
        <f t="shared" si="40"/>
        <v>788.65614371035917</v>
      </c>
      <c r="Y92" s="108">
        <f t="shared" si="41"/>
        <v>212.93715880179698</v>
      </c>
      <c r="Z92" s="108">
        <f t="shared" si="42"/>
        <v>575.71898490856222</v>
      </c>
      <c r="AA92" s="108">
        <f t="shared" si="43"/>
        <v>1833.3195688143267</v>
      </c>
      <c r="AB92" s="108">
        <f t="shared" si="44"/>
        <v>-1257.6005839057643</v>
      </c>
      <c r="AC92" s="109">
        <f t="shared" si="45"/>
        <v>0.4288480927173286</v>
      </c>
      <c r="AD92" s="108">
        <f t="shared" si="46"/>
        <v>246.89598861919339</v>
      </c>
      <c r="AE92" s="108">
        <f t="shared" si="47"/>
        <v>65685.467818463745</v>
      </c>
      <c r="AF92" s="48">
        <f t="shared" si="48"/>
        <v>3.7587612118641649E-3</v>
      </c>
      <c r="AG92" s="110"/>
    </row>
    <row r="93" spans="5:33" x14ac:dyDescent="0.4">
      <c r="E93" s="107">
        <v>89</v>
      </c>
      <c r="F93" s="107">
        <v>8</v>
      </c>
      <c r="G93" s="141">
        <f t="shared" si="49"/>
        <v>39498396.69582019</v>
      </c>
      <c r="H93" s="141">
        <f t="shared" si="25"/>
        <v>1454988.8889545999</v>
      </c>
      <c r="I93" s="141">
        <f t="shared" si="26"/>
        <v>406489.5486779979</v>
      </c>
      <c r="J93" s="141">
        <f t="shared" si="27"/>
        <v>1048499.340276602</v>
      </c>
      <c r="K93" s="108">
        <f t="shared" si="28"/>
        <v>38449897.355543591</v>
      </c>
      <c r="L93" s="108">
        <f t="shared" si="29"/>
        <v>41149627.3567103</v>
      </c>
      <c r="M93" s="108">
        <f t="shared" si="30"/>
        <v>19734.414364758562</v>
      </c>
      <c r="N93" s="108">
        <f t="shared" si="31"/>
        <v>12500</v>
      </c>
      <c r="O93" s="108">
        <f t="shared" si="32"/>
        <v>32234.414364758562</v>
      </c>
      <c r="P93" s="108">
        <f t="shared" si="33"/>
        <v>12893.765745903425</v>
      </c>
      <c r="Q93" s="100">
        <f t="shared" si="34"/>
        <v>2.2333333333333333E-3</v>
      </c>
      <c r="R93" s="100">
        <f>20%</f>
        <v>0.2</v>
      </c>
      <c r="S93" s="108">
        <f t="shared" si="35"/>
        <v>18380.166885997267</v>
      </c>
      <c r="T93" s="108">
        <f t="shared" si="36"/>
        <v>146286.92525310512</v>
      </c>
      <c r="U93" s="108">
        <f t="shared" si="37"/>
        <v>1095.2294606878636</v>
      </c>
      <c r="V93" s="108">
        <f t="shared" si="38"/>
        <v>1893.3031556930728</v>
      </c>
      <c r="W93" s="108">
        <f t="shared" si="39"/>
        <v>149275.45786948607</v>
      </c>
      <c r="X93" s="108">
        <f t="shared" si="40"/>
        <v>960.48173285786834</v>
      </c>
      <c r="Y93" s="108">
        <f t="shared" si="41"/>
        <v>259.33006787162446</v>
      </c>
      <c r="Z93" s="108">
        <f t="shared" si="42"/>
        <v>701.15166498624387</v>
      </c>
      <c r="AA93" s="108">
        <f t="shared" si="43"/>
        <v>1786.7375788856004</v>
      </c>
      <c r="AB93" s="108">
        <f t="shared" si="44"/>
        <v>-1085.5859138993565</v>
      </c>
      <c r="AC93" s="109">
        <f t="shared" si="45"/>
        <v>0.42474190777700938</v>
      </c>
      <c r="AD93" s="108">
        <f t="shared" si="46"/>
        <v>297.80849582728376</v>
      </c>
      <c r="AE93" s="108">
        <f t="shared" si="47"/>
        <v>63403.542759772099</v>
      </c>
      <c r="AF93" s="48">
        <f t="shared" si="48"/>
        <v>4.6970324190817227E-3</v>
      </c>
      <c r="AG93" s="110"/>
    </row>
    <row r="94" spans="5:33" x14ac:dyDescent="0.4">
      <c r="E94" s="107">
        <v>90</v>
      </c>
      <c r="F94" s="107">
        <v>8</v>
      </c>
      <c r="G94" s="141">
        <f t="shared" si="49"/>
        <v>38449897.355543591</v>
      </c>
      <c r="H94" s="141">
        <f t="shared" si="25"/>
        <v>1454988.8889545999</v>
      </c>
      <c r="I94" s="141">
        <f t="shared" si="26"/>
        <v>395699.13541387377</v>
      </c>
      <c r="J94" s="141">
        <f t="shared" si="27"/>
        <v>1059289.7535407261</v>
      </c>
      <c r="K94" s="108">
        <f t="shared" si="28"/>
        <v>37390607.602002867</v>
      </c>
      <c r="L94" s="108">
        <f t="shared" si="29"/>
        <v>40057295.496548891</v>
      </c>
      <c r="M94" s="108">
        <f t="shared" si="30"/>
        <v>19210.557140842837</v>
      </c>
      <c r="N94" s="108">
        <f t="shared" si="31"/>
        <v>12500</v>
      </c>
      <c r="O94" s="108">
        <f t="shared" si="32"/>
        <v>31710.557140842837</v>
      </c>
      <c r="P94" s="108">
        <f t="shared" si="33"/>
        <v>12684.222856337135</v>
      </c>
      <c r="Q94" s="100">
        <f t="shared" si="34"/>
        <v>2.2333333333333333E-3</v>
      </c>
      <c r="R94" s="100">
        <f>20%</f>
        <v>0.2</v>
      </c>
      <c r="S94" s="108">
        <f t="shared" si="35"/>
        <v>17892.25865512517</v>
      </c>
      <c r="T94" s="108">
        <f t="shared" si="36"/>
        <v>142403.68549023129</v>
      </c>
      <c r="U94" s="108">
        <f t="shared" si="37"/>
        <v>1077.4303513777245</v>
      </c>
      <c r="V94" s="108">
        <f t="shared" si="38"/>
        <v>1862.5341606696484</v>
      </c>
      <c r="W94" s="108">
        <f t="shared" si="39"/>
        <v>145343.65000227868</v>
      </c>
      <c r="X94" s="108">
        <f t="shared" si="40"/>
        <v>1134.0756293805316</v>
      </c>
      <c r="Y94" s="108">
        <f t="shared" si="41"/>
        <v>306.20041993274356</v>
      </c>
      <c r="Z94" s="108">
        <f t="shared" si="42"/>
        <v>827.87520944778805</v>
      </c>
      <c r="AA94" s="108">
        <f t="shared" si="43"/>
        <v>1739.6762000791816</v>
      </c>
      <c r="AB94" s="108">
        <f t="shared" si="44"/>
        <v>-911.80099063139357</v>
      </c>
      <c r="AC94" s="109">
        <f t="shared" si="45"/>
        <v>0.42067503921712979</v>
      </c>
      <c r="AD94" s="108">
        <f t="shared" si="46"/>
        <v>348.2664362013378</v>
      </c>
      <c r="AE94" s="108">
        <f t="shared" si="47"/>
        <v>61142.445664669372</v>
      </c>
      <c r="AF94" s="48">
        <f t="shared" si="48"/>
        <v>5.6959847192141434E-3</v>
      </c>
      <c r="AG94" s="110"/>
    </row>
    <row r="95" spans="5:33" x14ac:dyDescent="0.4">
      <c r="E95" s="107">
        <v>91</v>
      </c>
      <c r="F95" s="107">
        <v>8</v>
      </c>
      <c r="G95" s="141">
        <f t="shared" si="49"/>
        <v>37390607.602002867</v>
      </c>
      <c r="H95" s="141">
        <f t="shared" si="25"/>
        <v>1454988.8889545999</v>
      </c>
      <c r="I95" s="141">
        <f t="shared" si="26"/>
        <v>384797.67485201854</v>
      </c>
      <c r="J95" s="141">
        <f t="shared" si="27"/>
        <v>1070191.2141025814</v>
      </c>
      <c r="K95" s="108">
        <f t="shared" si="28"/>
        <v>36320416.387900285</v>
      </c>
      <c r="L95" s="108">
        <f t="shared" si="29"/>
        <v>38953722.129845753</v>
      </c>
      <c r="M95" s="108">
        <f t="shared" si="30"/>
        <v>18681.308749073865</v>
      </c>
      <c r="N95" s="108">
        <f t="shared" si="31"/>
        <v>12500</v>
      </c>
      <c r="O95" s="108">
        <f t="shared" si="32"/>
        <v>31181.308749073865</v>
      </c>
      <c r="P95" s="108">
        <f t="shared" si="33"/>
        <v>12472.523499629548</v>
      </c>
      <c r="Q95" s="100">
        <f t="shared" si="34"/>
        <v>2.2333333333333333E-3</v>
      </c>
      <c r="R95" s="100">
        <f>20%</f>
        <v>0.2</v>
      </c>
      <c r="S95" s="108">
        <f t="shared" si="35"/>
        <v>17399.329217997769</v>
      </c>
      <c r="T95" s="108">
        <f t="shared" si="36"/>
        <v>138480.48217160164</v>
      </c>
      <c r="U95" s="108">
        <f t="shared" si="37"/>
        <v>1059.448066229688</v>
      </c>
      <c r="V95" s="108">
        <f t="shared" si="38"/>
        <v>1831.4485129224015</v>
      </c>
      <c r="W95" s="108">
        <f t="shared" si="39"/>
        <v>141371.37875075373</v>
      </c>
      <c r="X95" s="108">
        <f t="shared" si="40"/>
        <v>1309.4560314465489</v>
      </c>
      <c r="Y95" s="108">
        <f t="shared" si="41"/>
        <v>353.55312849056821</v>
      </c>
      <c r="Z95" s="108">
        <f t="shared" si="42"/>
        <v>955.90290295598061</v>
      </c>
      <c r="AA95" s="108">
        <f t="shared" si="43"/>
        <v>1692.1304988639697</v>
      </c>
      <c r="AB95" s="108">
        <f t="shared" si="44"/>
        <v>-736.2275959079891</v>
      </c>
      <c r="AC95" s="109">
        <f t="shared" si="45"/>
        <v>0.41664711058660603</v>
      </c>
      <c r="AD95" s="108">
        <f t="shared" si="46"/>
        <v>398.2741825179582</v>
      </c>
      <c r="AE95" s="108">
        <f t="shared" si="47"/>
        <v>58901.976476146257</v>
      </c>
      <c r="AF95" s="48">
        <f t="shared" si="48"/>
        <v>6.76164377402936E-3</v>
      </c>
      <c r="AG95" s="110"/>
    </row>
    <row r="96" spans="5:33" x14ac:dyDescent="0.4">
      <c r="E96" s="107">
        <v>92</v>
      </c>
      <c r="F96" s="107">
        <v>8</v>
      </c>
      <c r="G96" s="141">
        <f t="shared" si="49"/>
        <v>36320416.387900285</v>
      </c>
      <c r="H96" s="141">
        <f t="shared" si="25"/>
        <v>1454988.8889545999</v>
      </c>
      <c r="I96" s="141">
        <f t="shared" si="26"/>
        <v>373784.02417222399</v>
      </c>
      <c r="J96" s="141">
        <f t="shared" si="27"/>
        <v>1081204.8647823757</v>
      </c>
      <c r="K96" s="108">
        <f t="shared" si="28"/>
        <v>35239211.523117907</v>
      </c>
      <c r="L96" s="108">
        <f t="shared" si="29"/>
        <v>37838791.566970356</v>
      </c>
      <c r="M96" s="108">
        <f t="shared" si="30"/>
        <v>18146.61370736704</v>
      </c>
      <c r="N96" s="108">
        <f t="shared" si="31"/>
        <v>12500</v>
      </c>
      <c r="O96" s="108">
        <f t="shared" si="32"/>
        <v>30646.61370736704</v>
      </c>
      <c r="P96" s="108">
        <f t="shared" si="33"/>
        <v>12258.645482946817</v>
      </c>
      <c r="Q96" s="100">
        <f t="shared" si="34"/>
        <v>2.2333333333333333E-3</v>
      </c>
      <c r="R96" s="100">
        <f>20%</f>
        <v>0.2</v>
      </c>
      <c r="S96" s="108">
        <f t="shared" si="35"/>
        <v>16901.326899913427</v>
      </c>
      <c r="T96" s="108">
        <f t="shared" si="36"/>
        <v>134516.90402057959</v>
      </c>
      <c r="U96" s="108">
        <f t="shared" si="37"/>
        <v>1041.280720127651</v>
      </c>
      <c r="V96" s="108">
        <f t="shared" si="38"/>
        <v>1800.0429536855709</v>
      </c>
      <c r="W96" s="108">
        <f t="shared" si="39"/>
        <v>137358.22769439282</v>
      </c>
      <c r="X96" s="108">
        <f t="shared" si="40"/>
        <v>1486.6413245067961</v>
      </c>
      <c r="Y96" s="108">
        <f t="shared" si="41"/>
        <v>401.39315761683497</v>
      </c>
      <c r="Z96" s="108">
        <f t="shared" si="42"/>
        <v>1085.2481668899611</v>
      </c>
      <c r="AA96" s="108">
        <f t="shared" si="43"/>
        <v>1644.0954909364525</v>
      </c>
      <c r="AB96" s="108">
        <f t="shared" si="44"/>
        <v>-558.84732404649139</v>
      </c>
      <c r="AC96" s="109">
        <f t="shared" si="45"/>
        <v>0.41265774903884245</v>
      </c>
      <c r="AD96" s="108">
        <f t="shared" si="46"/>
        <v>447.83606569734138</v>
      </c>
      <c r="AE96" s="108">
        <f t="shared" si="47"/>
        <v>56681.937052332927</v>
      </c>
      <c r="AF96" s="48">
        <f t="shared" si="48"/>
        <v>7.900860291416404E-3</v>
      </c>
      <c r="AG96" s="110"/>
    </row>
    <row r="97" spans="5:33" x14ac:dyDescent="0.4">
      <c r="E97" s="107">
        <v>93</v>
      </c>
      <c r="F97" s="107">
        <v>8</v>
      </c>
      <c r="G97" s="141">
        <f t="shared" si="49"/>
        <v>35239211.523117907</v>
      </c>
      <c r="H97" s="141">
        <f t="shared" si="25"/>
        <v>1454988.8889545999</v>
      </c>
      <c r="I97" s="141">
        <f t="shared" si="26"/>
        <v>362657.02879318484</v>
      </c>
      <c r="J97" s="141">
        <f t="shared" si="27"/>
        <v>1092331.8601614151</v>
      </c>
      <c r="K97" s="108">
        <f t="shared" si="28"/>
        <v>34146879.662956491</v>
      </c>
      <c r="L97" s="108">
        <f t="shared" si="29"/>
        <v>36712386.92769634</v>
      </c>
      <c r="M97" s="108">
        <f t="shared" si="30"/>
        <v>17606.415962655388</v>
      </c>
      <c r="N97" s="108">
        <f t="shared" si="31"/>
        <v>12500</v>
      </c>
      <c r="O97" s="108">
        <f t="shared" si="32"/>
        <v>30106.415962655388</v>
      </c>
      <c r="P97" s="108">
        <f t="shared" si="33"/>
        <v>12042.566385062157</v>
      </c>
      <c r="Q97" s="100">
        <f t="shared" si="34"/>
        <v>2.2333333333333333E-3</v>
      </c>
      <c r="R97" s="100">
        <f>20%</f>
        <v>0.2</v>
      </c>
      <c r="S97" s="108">
        <f t="shared" si="35"/>
        <v>16398.199494371031</v>
      </c>
      <c r="T97" s="108">
        <f t="shared" si="36"/>
        <v>130512.53552796048</v>
      </c>
      <c r="U97" s="108">
        <f t="shared" si="37"/>
        <v>1022.9264085552287</v>
      </c>
      <c r="V97" s="108">
        <f t="shared" si="38"/>
        <v>1768.3141906564829</v>
      </c>
      <c r="W97" s="108">
        <f t="shared" si="39"/>
        <v>133303.7761271722</v>
      </c>
      <c r="X97" s="108">
        <f t="shared" si="40"/>
        <v>1665.6500832222009</v>
      </c>
      <c r="Y97" s="108">
        <f t="shared" si="41"/>
        <v>449.7255224699943</v>
      </c>
      <c r="Z97" s="108">
        <f t="shared" si="42"/>
        <v>1215.9245607522066</v>
      </c>
      <c r="AA97" s="108">
        <f t="shared" si="43"/>
        <v>1595.566140698194</v>
      </c>
      <c r="AB97" s="108">
        <f t="shared" si="44"/>
        <v>-379.64157994598736</v>
      </c>
      <c r="AC97" s="109">
        <f t="shared" si="45"/>
        <v>0.40870658529721837</v>
      </c>
      <c r="AD97" s="108">
        <f t="shared" si="46"/>
        <v>496.9563752040545</v>
      </c>
      <c r="AE97" s="108">
        <f t="shared" si="47"/>
        <v>54482.131148161403</v>
      </c>
      <c r="AF97" s="48">
        <f t="shared" si="48"/>
        <v>9.1214562413611672E-3</v>
      </c>
      <c r="AG97" s="110"/>
    </row>
    <row r="98" spans="5:33" x14ac:dyDescent="0.4">
      <c r="E98" s="107">
        <v>94</v>
      </c>
      <c r="F98" s="107">
        <v>8</v>
      </c>
      <c r="G98" s="141">
        <f t="shared" si="49"/>
        <v>34146879.662956491</v>
      </c>
      <c r="H98" s="141">
        <f t="shared" si="25"/>
        <v>1454988.8889545999</v>
      </c>
      <c r="I98" s="141">
        <f t="shared" si="26"/>
        <v>351415.52225146239</v>
      </c>
      <c r="J98" s="141">
        <f t="shared" si="27"/>
        <v>1103573.3667031375</v>
      </c>
      <c r="K98" s="108">
        <f t="shared" si="28"/>
        <v>33043306.296253353</v>
      </c>
      <c r="L98" s="108">
        <f t="shared" si="29"/>
        <v>35574390.128948785</v>
      </c>
      <c r="M98" s="108">
        <f t="shared" si="30"/>
        <v>17060.658885013447</v>
      </c>
      <c r="N98" s="108">
        <f t="shared" si="31"/>
        <v>12500</v>
      </c>
      <c r="O98" s="108">
        <f t="shared" si="32"/>
        <v>29560.658885013447</v>
      </c>
      <c r="P98" s="108">
        <f t="shared" si="33"/>
        <v>11824.26355400538</v>
      </c>
      <c r="Q98" s="100">
        <f t="shared" si="34"/>
        <v>2.2333333333333333E-3</v>
      </c>
      <c r="R98" s="100">
        <f>20%</f>
        <v>0.2</v>
      </c>
      <c r="S98" s="108">
        <f t="shared" si="35"/>
        <v>15889.894257597123</v>
      </c>
      <c r="T98" s="108">
        <f t="shared" si="36"/>
        <v>126466.95690841293</v>
      </c>
      <c r="U98" s="108">
        <f t="shared" si="37"/>
        <v>1004.3832073961019</v>
      </c>
      <c r="V98" s="108">
        <f t="shared" si="38"/>
        <v>1736.2588976504157</v>
      </c>
      <c r="W98" s="108">
        <f t="shared" si="39"/>
        <v>129207.59901345945</v>
      </c>
      <c r="X98" s="108">
        <f t="shared" si="40"/>
        <v>1846.5010734109455</v>
      </c>
      <c r="Y98" s="108">
        <f t="shared" si="41"/>
        <v>498.55528982095535</v>
      </c>
      <c r="Z98" s="108">
        <f t="shared" si="42"/>
        <v>1347.9457835899902</v>
      </c>
      <c r="AA98" s="108">
        <f t="shared" si="43"/>
        <v>1546.5373607279416</v>
      </c>
      <c r="AB98" s="108">
        <f t="shared" si="44"/>
        <v>-198.59157713795139</v>
      </c>
      <c r="AC98" s="109">
        <f t="shared" si="45"/>
        <v>0.40479325362090623</v>
      </c>
      <c r="AD98" s="108">
        <f t="shared" si="46"/>
        <v>545.63935944397406</v>
      </c>
      <c r="AE98" s="108">
        <f t="shared" si="47"/>
        <v>52302.364397203644</v>
      </c>
      <c r="AF98" s="48">
        <f t="shared" si="48"/>
        <v>1.043240330972775E-2</v>
      </c>
      <c r="AG98" s="110"/>
    </row>
    <row r="99" spans="5:33" x14ac:dyDescent="0.4">
      <c r="E99" s="107">
        <v>95</v>
      </c>
      <c r="F99" s="107">
        <v>8</v>
      </c>
      <c r="G99" s="141">
        <f t="shared" si="49"/>
        <v>33043306.296253353</v>
      </c>
      <c r="H99" s="141">
        <f t="shared" si="25"/>
        <v>1454988.8889545999</v>
      </c>
      <c r="I99" s="141">
        <f t="shared" si="26"/>
        <v>340058.32607920136</v>
      </c>
      <c r="J99" s="141">
        <f t="shared" si="27"/>
        <v>1114930.5628753984</v>
      </c>
      <c r="K99" s="108">
        <f t="shared" si="28"/>
        <v>31928375.733377956</v>
      </c>
      <c r="L99" s="108">
        <f t="shared" si="29"/>
        <v>34424681.872425303</v>
      </c>
      <c r="M99" s="108">
        <f t="shared" si="30"/>
        <v>16509.285261720634</v>
      </c>
      <c r="N99" s="108">
        <f t="shared" si="31"/>
        <v>12500</v>
      </c>
      <c r="O99" s="108">
        <f t="shared" si="32"/>
        <v>29009.285261720634</v>
      </c>
      <c r="P99" s="108">
        <f t="shared" si="33"/>
        <v>11603.714104688253</v>
      </c>
      <c r="Q99" s="100">
        <f t="shared" si="34"/>
        <v>2.2333333333333333E-3</v>
      </c>
      <c r="R99" s="100">
        <f>20%</f>
        <v>0.2</v>
      </c>
      <c r="S99" s="108">
        <f t="shared" si="35"/>
        <v>15376.357903016635</v>
      </c>
      <c r="T99" s="108">
        <f t="shared" si="36"/>
        <v>122379.74405647194</v>
      </c>
      <c r="U99" s="108">
        <f t="shared" si="37"/>
        <v>985.64917273230731</v>
      </c>
      <c r="V99" s="108">
        <f t="shared" si="38"/>
        <v>1703.8737142519078</v>
      </c>
      <c r="W99" s="108">
        <f t="shared" si="39"/>
        <v>125069.26694345615</v>
      </c>
      <c r="X99" s="108">
        <f t="shared" si="40"/>
        <v>2029.2132540157454</v>
      </c>
      <c r="Y99" s="108">
        <f t="shared" si="41"/>
        <v>547.88757858425129</v>
      </c>
      <c r="Z99" s="108">
        <f t="shared" si="42"/>
        <v>1481.3256754314941</v>
      </c>
      <c r="AA99" s="108">
        <f t="shared" si="43"/>
        <v>1497.004011248303</v>
      </c>
      <c r="AB99" s="108">
        <f t="shared" si="44"/>
        <v>-15.67833581680884</v>
      </c>
      <c r="AC99" s="109">
        <f t="shared" si="45"/>
        <v>0.40091739177101676</v>
      </c>
      <c r="AD99" s="108">
        <f t="shared" si="46"/>
        <v>593.88922615743434</v>
      </c>
      <c r="AE99" s="108">
        <f t="shared" si="47"/>
        <v>50142.444293683489</v>
      </c>
      <c r="AF99" s="48">
        <f t="shared" si="48"/>
        <v>1.1844042198641828E-2</v>
      </c>
      <c r="AG99" s="110"/>
    </row>
    <row r="100" spans="5:33" x14ac:dyDescent="0.4">
      <c r="E100" s="107">
        <v>96</v>
      </c>
      <c r="F100" s="107">
        <v>8</v>
      </c>
      <c r="G100" s="141">
        <f t="shared" si="49"/>
        <v>31928375.733377956</v>
      </c>
      <c r="H100" s="141">
        <f t="shared" si="25"/>
        <v>1454988.8889545999</v>
      </c>
      <c r="I100" s="141">
        <f t="shared" si="26"/>
        <v>328584.2496805893</v>
      </c>
      <c r="J100" s="141">
        <f t="shared" si="27"/>
        <v>1126404.6392740104</v>
      </c>
      <c r="K100" s="108">
        <f t="shared" si="28"/>
        <v>30801971.094103947</v>
      </c>
      <c r="L100" s="108">
        <f t="shared" si="29"/>
        <v>33263141.632089805</v>
      </c>
      <c r="M100" s="108">
        <f t="shared" si="30"/>
        <v>15952.237291263518</v>
      </c>
      <c r="N100" s="108">
        <f t="shared" si="31"/>
        <v>12500</v>
      </c>
      <c r="O100" s="108">
        <f t="shared" si="32"/>
        <v>28452.237291263518</v>
      </c>
      <c r="P100" s="108">
        <f t="shared" si="33"/>
        <v>11380.894916505407</v>
      </c>
      <c r="Q100" s="100">
        <f t="shared" si="34"/>
        <v>2.2333333333333333E-3</v>
      </c>
      <c r="R100" s="100">
        <f>20%</f>
        <v>0.2</v>
      </c>
      <c r="S100" s="108">
        <f t="shared" si="35"/>
        <v>14857.536595666779</v>
      </c>
      <c r="T100" s="108">
        <f t="shared" si="36"/>
        <v>118250.46850207924</v>
      </c>
      <c r="U100" s="108">
        <f t="shared" si="37"/>
        <v>966.72234064045381</v>
      </c>
      <c r="V100" s="108">
        <f t="shared" si="38"/>
        <v>1671.1552454624787</v>
      </c>
      <c r="W100" s="108">
        <f t="shared" si="39"/>
        <v>120888.34608818217</v>
      </c>
      <c r="X100" s="108">
        <f t="shared" si="40"/>
        <v>2213.8057790913317</v>
      </c>
      <c r="Y100" s="108">
        <f t="shared" si="41"/>
        <v>597.72756035465966</v>
      </c>
      <c r="Z100" s="108">
        <f t="shared" si="42"/>
        <v>1616.0782187366722</v>
      </c>
      <c r="AA100" s="108">
        <f t="shared" si="43"/>
        <v>1446.9608995869348</v>
      </c>
      <c r="AB100" s="108">
        <f t="shared" si="44"/>
        <v>169.11731914973734</v>
      </c>
      <c r="AC100" s="109">
        <f t="shared" si="45"/>
        <v>0.39707864097706747</v>
      </c>
      <c r="AD100" s="108">
        <f t="shared" si="46"/>
        <v>641.71014280859777</v>
      </c>
      <c r="AE100" s="108">
        <f t="shared" si="47"/>
        <v>48002.180174660767</v>
      </c>
      <c r="AF100" s="48">
        <f t="shared" si="48"/>
        <v>1.3368354113785473E-2</v>
      </c>
      <c r="AG100" s="110"/>
    </row>
    <row r="101" spans="5:33" x14ac:dyDescent="0.4">
      <c r="E101" s="107">
        <v>97</v>
      </c>
      <c r="F101" s="107">
        <v>9</v>
      </c>
      <c r="G101" s="141">
        <f t="shared" si="49"/>
        <v>30801971.094103947</v>
      </c>
      <c r="H101" s="141">
        <f t="shared" si="25"/>
        <v>1454988.8889545999</v>
      </c>
      <c r="I101" s="141">
        <f t="shared" si="26"/>
        <v>316992.09020704421</v>
      </c>
      <c r="J101" s="141">
        <f t="shared" si="27"/>
        <v>1137996.7987475556</v>
      </c>
      <c r="K101" s="108">
        <f t="shared" si="28"/>
        <v>29663974.295356393</v>
      </c>
      <c r="L101" s="108">
        <f t="shared" si="29"/>
        <v>32089647.641537521</v>
      </c>
      <c r="M101" s="108">
        <f t="shared" si="30"/>
        <v>15389.456577276411</v>
      </c>
      <c r="N101" s="108">
        <f t="shared" si="31"/>
        <v>12500</v>
      </c>
      <c r="O101" s="108">
        <f t="shared" si="32"/>
        <v>27889.456577276411</v>
      </c>
      <c r="P101" s="108">
        <f t="shared" si="33"/>
        <v>11155.782630910566</v>
      </c>
      <c r="Q101" s="100">
        <f t="shared" si="34"/>
        <v>2.2333333333333333E-3</v>
      </c>
      <c r="R101" s="100">
        <f>20%</f>
        <v>0.2</v>
      </c>
      <c r="S101" s="108">
        <f t="shared" si="35"/>
        <v>14333.375946553426</v>
      </c>
      <c r="T101" s="108">
        <f t="shared" si="36"/>
        <v>114078.69736566588</v>
      </c>
      <c r="U101" s="108">
        <f t="shared" si="37"/>
        <v>947.60072698584054</v>
      </c>
      <c r="V101" s="108">
        <f t="shared" si="38"/>
        <v>1638.100061344727</v>
      </c>
      <c r="W101" s="108">
        <f t="shared" si="39"/>
        <v>116664.39815399644</v>
      </c>
      <c r="X101" s="108">
        <f t="shared" si="40"/>
        <v>2400.2979998124192</v>
      </c>
      <c r="Y101" s="108">
        <f t="shared" si="41"/>
        <v>648.08045994935321</v>
      </c>
      <c r="Z101" s="108">
        <f t="shared" si="42"/>
        <v>1752.2175398630661</v>
      </c>
      <c r="AA101" s="108">
        <f t="shared" si="43"/>
        <v>1396.4027796321839</v>
      </c>
      <c r="AB101" s="108">
        <f t="shared" si="44"/>
        <v>355.81476023088226</v>
      </c>
      <c r="AC101" s="109">
        <f t="shared" si="45"/>
        <v>0.39327664590377431</v>
      </c>
      <c r="AD101" s="108">
        <f t="shared" si="46"/>
        <v>689.10623697110964</v>
      </c>
      <c r="AE101" s="108">
        <f t="shared" si="47"/>
        <v>45881.383202386198</v>
      </c>
      <c r="AF101" s="48">
        <f t="shared" si="48"/>
        <v>1.5019299525722897E-2</v>
      </c>
      <c r="AG101" s="110"/>
    </row>
    <row r="102" spans="5:33" x14ac:dyDescent="0.4">
      <c r="E102" s="107">
        <v>98</v>
      </c>
      <c r="F102" s="107">
        <v>9</v>
      </c>
      <c r="G102" s="141">
        <f t="shared" si="49"/>
        <v>29663974.295356393</v>
      </c>
      <c r="H102" s="141">
        <f t="shared" si="25"/>
        <v>1454988.8889545999</v>
      </c>
      <c r="I102" s="141">
        <f t="shared" si="26"/>
        <v>305280.63243111753</v>
      </c>
      <c r="J102" s="141">
        <f t="shared" si="27"/>
        <v>1149708.2565234823</v>
      </c>
      <c r="K102" s="108">
        <f t="shared" si="28"/>
        <v>28514266.03883291</v>
      </c>
      <c r="L102" s="108">
        <f t="shared" si="29"/>
        <v>30904076.881230012</v>
      </c>
      <c r="M102" s="108">
        <f t="shared" si="30"/>
        <v>14820.88412241954</v>
      </c>
      <c r="N102" s="108">
        <f t="shared" si="31"/>
        <v>12500</v>
      </c>
      <c r="O102" s="108">
        <f t="shared" si="32"/>
        <v>27320.884122419542</v>
      </c>
      <c r="P102" s="108">
        <f t="shared" si="33"/>
        <v>10928.353648967817</v>
      </c>
      <c r="Q102" s="100">
        <f t="shared" si="34"/>
        <v>2.2333333333333333E-3</v>
      </c>
      <c r="R102" s="100">
        <f>20%</f>
        <v>0.2</v>
      </c>
      <c r="S102" s="108">
        <f t="shared" si="35"/>
        <v>13803.821006949405</v>
      </c>
      <c r="T102" s="108">
        <f t="shared" si="36"/>
        <v>109863.99331277268</v>
      </c>
      <c r="U102" s="108">
        <f t="shared" si="37"/>
        <v>928.28232721445613</v>
      </c>
      <c r="V102" s="108">
        <f t="shared" si="38"/>
        <v>1604.7046966627627</v>
      </c>
      <c r="W102" s="108">
        <f t="shared" si="39"/>
        <v>112396.98033664991</v>
      </c>
      <c r="X102" s="108">
        <f t="shared" si="40"/>
        <v>2588.7094665023214</v>
      </c>
      <c r="Y102" s="108">
        <f t="shared" si="41"/>
        <v>698.95155595562687</v>
      </c>
      <c r="Z102" s="108">
        <f t="shared" si="42"/>
        <v>1889.7579105466946</v>
      </c>
      <c r="AA102" s="108">
        <f t="shared" si="43"/>
        <v>1345.3243512831284</v>
      </c>
      <c r="AB102" s="108">
        <f t="shared" si="44"/>
        <v>544.43355926356617</v>
      </c>
      <c r="AC102" s="109">
        <f t="shared" si="45"/>
        <v>0.38951105461815838</v>
      </c>
      <c r="AD102" s="108">
        <f t="shared" si="46"/>
        <v>736.08159671005046</v>
      </c>
      <c r="AE102" s="108">
        <f t="shared" si="47"/>
        <v>43779.866346824914</v>
      </c>
      <c r="AF102" s="48">
        <f t="shared" si="48"/>
        <v>1.6813244491858389E-2</v>
      </c>
      <c r="AG102" s="110"/>
    </row>
    <row r="103" spans="5:33" x14ac:dyDescent="0.4">
      <c r="E103" s="107">
        <v>99</v>
      </c>
      <c r="F103" s="107">
        <v>9</v>
      </c>
      <c r="G103" s="141">
        <f t="shared" si="49"/>
        <v>28514266.03883291</v>
      </c>
      <c r="H103" s="141">
        <f t="shared" si="25"/>
        <v>1454988.8889545999</v>
      </c>
      <c r="I103" s="141">
        <f t="shared" si="26"/>
        <v>293448.64861909981</v>
      </c>
      <c r="J103" s="141">
        <f t="shared" si="27"/>
        <v>1161540.2403355001</v>
      </c>
      <c r="K103" s="108">
        <f t="shared" si="28"/>
        <v>27352725.798497409</v>
      </c>
      <c r="L103" s="108">
        <f t="shared" si="29"/>
        <v>29706305.065598801</v>
      </c>
      <c r="M103" s="108">
        <f t="shared" si="30"/>
        <v>14246.460322194265</v>
      </c>
      <c r="N103" s="108">
        <f t="shared" si="31"/>
        <v>12500</v>
      </c>
      <c r="O103" s="108">
        <f t="shared" si="32"/>
        <v>26746.460322194267</v>
      </c>
      <c r="P103" s="108">
        <f t="shared" si="33"/>
        <v>10698.584128877708</v>
      </c>
      <c r="Q103" s="100">
        <f t="shared" si="34"/>
        <v>2.2333333333333333E-3</v>
      </c>
      <c r="R103" s="100">
        <f>20%</f>
        <v>0.2</v>
      </c>
      <c r="S103" s="108">
        <f t="shared" si="35"/>
        <v>13268.816262634131</v>
      </c>
      <c r="T103" s="108">
        <f t="shared" si="36"/>
        <v>105605.91450820373</v>
      </c>
      <c r="U103" s="108">
        <f t="shared" si="37"/>
        <v>908.76511614283777</v>
      </c>
      <c r="V103" s="108">
        <f t="shared" si="38"/>
        <v>1570.9656505189389</v>
      </c>
      <c r="W103" s="108">
        <f t="shared" si="39"/>
        <v>108085.6452748655</v>
      </c>
      <c r="X103" s="108">
        <f t="shared" si="40"/>
        <v>2779.0599306824279</v>
      </c>
      <c r="Y103" s="108">
        <f t="shared" si="41"/>
        <v>750.34618128425552</v>
      </c>
      <c r="Z103" s="108">
        <f t="shared" si="42"/>
        <v>2028.7137493981722</v>
      </c>
      <c r="AA103" s="108">
        <f t="shared" si="43"/>
        <v>1293.7202598939575</v>
      </c>
      <c r="AB103" s="108">
        <f t="shared" si="44"/>
        <v>734.99348950421472</v>
      </c>
      <c r="AC103" s="109">
        <f t="shared" si="45"/>
        <v>0.38578151855697035</v>
      </c>
      <c r="AD103" s="108">
        <f t="shared" si="46"/>
        <v>782.64027096023187</v>
      </c>
      <c r="AE103" s="108">
        <f t="shared" si="47"/>
        <v>41697.444368347642</v>
      </c>
      <c r="AF103" s="48">
        <f t="shared" si="48"/>
        <v>1.876950213175009E-2</v>
      </c>
      <c r="AG103" s="110"/>
    </row>
    <row r="104" spans="5:33" x14ac:dyDescent="0.4">
      <c r="E104" s="107">
        <v>100</v>
      </c>
      <c r="F104" s="107">
        <v>9</v>
      </c>
      <c r="G104" s="141">
        <f t="shared" si="49"/>
        <v>27352725.798497409</v>
      </c>
      <c r="H104" s="141">
        <f t="shared" si="25"/>
        <v>1454988.8889545999</v>
      </c>
      <c r="I104" s="141">
        <f t="shared" si="26"/>
        <v>281494.89840231504</v>
      </c>
      <c r="J104" s="141">
        <f t="shared" si="27"/>
        <v>1173493.9905522848</v>
      </c>
      <c r="K104" s="108">
        <f t="shared" si="28"/>
        <v>26179231.807945125</v>
      </c>
      <c r="L104" s="108">
        <f t="shared" si="29"/>
        <v>28496206.630016286</v>
      </c>
      <c r="M104" s="108">
        <f t="shared" si="30"/>
        <v>13666.12495869462</v>
      </c>
      <c r="N104" s="108">
        <f t="shared" si="31"/>
        <v>12500</v>
      </c>
      <c r="O104" s="108">
        <f t="shared" si="32"/>
        <v>26166.124958694621</v>
      </c>
      <c r="P104" s="108">
        <f t="shared" si="33"/>
        <v>10466.449983477849</v>
      </c>
      <c r="Q104" s="100">
        <f t="shared" si="34"/>
        <v>2.2333333333333333E-3</v>
      </c>
      <c r="R104" s="100">
        <f>20%</f>
        <v>0.2</v>
      </c>
      <c r="S104" s="108">
        <f t="shared" si="35"/>
        <v>12728.30562807394</v>
      </c>
      <c r="T104" s="108">
        <f t="shared" si="36"/>
        <v>101304.01456970788</v>
      </c>
      <c r="U104" s="108">
        <f t="shared" si="37"/>
        <v>889.04704774576749</v>
      </c>
      <c r="V104" s="108">
        <f t="shared" si="38"/>
        <v>1536.8793859868488</v>
      </c>
      <c r="W104" s="108">
        <f t="shared" si="39"/>
        <v>103729.9410034405</v>
      </c>
      <c r="X104" s="108">
        <f t="shared" si="40"/>
        <v>2971.3693471428323</v>
      </c>
      <c r="Y104" s="108">
        <f t="shared" si="41"/>
        <v>802.26972372856483</v>
      </c>
      <c r="Z104" s="108">
        <f t="shared" si="42"/>
        <v>2169.0996234142676</v>
      </c>
      <c r="AA104" s="108">
        <f t="shared" si="43"/>
        <v>1241.5850957126361</v>
      </c>
      <c r="AB104" s="108">
        <f t="shared" si="44"/>
        <v>927.51452770163155</v>
      </c>
      <c r="AC104" s="109">
        <f t="shared" si="45"/>
        <v>0.38208769249442504</v>
      </c>
      <c r="AD104" s="108">
        <f t="shared" si="46"/>
        <v>828.78626990088378</v>
      </c>
      <c r="AE104" s="108">
        <f t="shared" si="47"/>
        <v>39633.933800587423</v>
      </c>
      <c r="AF104" s="48">
        <f t="shared" si="48"/>
        <v>2.0911027254342344E-2</v>
      </c>
      <c r="AG104" s="110"/>
    </row>
    <row r="105" spans="5:33" x14ac:dyDescent="0.4">
      <c r="E105" s="107">
        <v>101</v>
      </c>
      <c r="F105" s="107">
        <v>9</v>
      </c>
      <c r="G105" s="141">
        <f t="shared" si="49"/>
        <v>26179231.807945125</v>
      </c>
      <c r="H105" s="141">
        <f t="shared" si="25"/>
        <v>1454988.8889545999</v>
      </c>
      <c r="I105" s="141">
        <f t="shared" si="26"/>
        <v>269418.12864709058</v>
      </c>
      <c r="J105" s="141">
        <f t="shared" si="27"/>
        <v>1185570.7603075092</v>
      </c>
      <c r="K105" s="108">
        <f t="shared" si="28"/>
        <v>24993661.047637615</v>
      </c>
      <c r="L105" s="108">
        <f t="shared" si="29"/>
        <v>27273654.717632573</v>
      </c>
      <c r="M105" s="108">
        <f t="shared" si="30"/>
        <v>13079.817194294563</v>
      </c>
      <c r="N105" s="108">
        <f t="shared" si="31"/>
        <v>12500</v>
      </c>
      <c r="O105" s="108">
        <f t="shared" si="32"/>
        <v>25579.817194294563</v>
      </c>
      <c r="P105" s="108">
        <f t="shared" si="33"/>
        <v>10231.926877717826</v>
      </c>
      <c r="Q105" s="100">
        <f t="shared" si="34"/>
        <v>2.2333333333333333E-3</v>
      </c>
      <c r="R105" s="100">
        <f>20%</f>
        <v>0.2</v>
      </c>
      <c r="S105" s="108">
        <f t="shared" si="35"/>
        <v>12182.23244054255</v>
      </c>
      <c r="T105" s="108">
        <f t="shared" si="36"/>
        <v>96957.842521183789</v>
      </c>
      <c r="U105" s="108">
        <f t="shared" si="37"/>
        <v>869.12605494178388</v>
      </c>
      <c r="V105" s="108">
        <f t="shared" si="38"/>
        <v>1502.442329740541</v>
      </c>
      <c r="W105" s="108">
        <f t="shared" si="39"/>
        <v>99329.410905866112</v>
      </c>
      <c r="X105" s="108">
        <f t="shared" si="40"/>
        <v>3165.6578760341872</v>
      </c>
      <c r="Y105" s="108">
        <f t="shared" si="41"/>
        <v>854.72762652923063</v>
      </c>
      <c r="Z105" s="108">
        <f t="shared" si="42"/>
        <v>2310.9302495049565</v>
      </c>
      <c r="AA105" s="108">
        <f t="shared" si="43"/>
        <v>1188.9133933137887</v>
      </c>
      <c r="AB105" s="108">
        <f t="shared" si="44"/>
        <v>1122.0168561911678</v>
      </c>
      <c r="AC105" s="109">
        <f t="shared" si="45"/>
        <v>0.37842923451024524</v>
      </c>
      <c r="AD105" s="108">
        <f t="shared" si="46"/>
        <v>874.5235653267307</v>
      </c>
      <c r="AE105" s="108">
        <f t="shared" si="47"/>
        <v>37589.152933460515</v>
      </c>
      <c r="AF105" s="48">
        <f t="shared" si="48"/>
        <v>2.3265317174739022E-2</v>
      </c>
      <c r="AG105" s="110"/>
    </row>
    <row r="106" spans="5:33" x14ac:dyDescent="0.4">
      <c r="E106" s="107">
        <v>102</v>
      </c>
      <c r="F106" s="107">
        <v>9</v>
      </c>
      <c r="G106" s="141">
        <f t="shared" si="49"/>
        <v>24993661.047637615</v>
      </c>
      <c r="H106" s="141">
        <f t="shared" si="25"/>
        <v>1454988.8889545999</v>
      </c>
      <c r="I106" s="141">
        <f t="shared" si="26"/>
        <v>257217.07332338855</v>
      </c>
      <c r="J106" s="141">
        <f t="shared" si="27"/>
        <v>1197771.8156312113</v>
      </c>
      <c r="K106" s="108">
        <f t="shared" si="28"/>
        <v>23795889.232006405</v>
      </c>
      <c r="L106" s="108">
        <f t="shared" si="29"/>
        <v>26038521.166076839</v>
      </c>
      <c r="M106" s="108">
        <f t="shared" si="30"/>
        <v>12487.475565270261</v>
      </c>
      <c r="N106" s="108">
        <f t="shared" si="31"/>
        <v>12500</v>
      </c>
      <c r="O106" s="108">
        <f t="shared" si="32"/>
        <v>24987.475565270259</v>
      </c>
      <c r="P106" s="108">
        <f t="shared" si="33"/>
        <v>9994.9902261081043</v>
      </c>
      <c r="Q106" s="100">
        <f t="shared" si="34"/>
        <v>2.2333333333333333E-3</v>
      </c>
      <c r="R106" s="100">
        <f>20%</f>
        <v>0.2</v>
      </c>
      <c r="S106" s="108">
        <f t="shared" si="35"/>
        <v>11630.539454180987</v>
      </c>
      <c r="T106" s="108">
        <f t="shared" si="36"/>
        <v>92566.942745403154</v>
      </c>
      <c r="U106" s="108">
        <f t="shared" si="37"/>
        <v>849.00004937648566</v>
      </c>
      <c r="V106" s="108">
        <f t="shared" si="38"/>
        <v>1467.6508716799228</v>
      </c>
      <c r="W106" s="108">
        <f t="shared" si="39"/>
        <v>94883.593666459565</v>
      </c>
      <c r="X106" s="108">
        <f t="shared" si="40"/>
        <v>3361.9458849811672</v>
      </c>
      <c r="Y106" s="108">
        <f t="shared" si="41"/>
        <v>907.72538894491515</v>
      </c>
      <c r="Z106" s="108">
        <f t="shared" si="42"/>
        <v>2454.2204960362519</v>
      </c>
      <c r="AA106" s="108">
        <f t="shared" si="43"/>
        <v>1135.6996310257489</v>
      </c>
      <c r="AB106" s="108">
        <f t="shared" si="44"/>
        <v>1318.520865010503</v>
      </c>
      <c r="AC106" s="109">
        <f t="shared" si="45"/>
        <v>0.37480580595801255</v>
      </c>
      <c r="AD106" s="108">
        <f t="shared" si="46"/>
        <v>919.85609101554076</v>
      </c>
      <c r="AE106" s="108">
        <f t="shared" si="47"/>
        <v>35562.921796349954</v>
      </c>
      <c r="AF106" s="48">
        <f t="shared" si="48"/>
        <v>2.5865593841897194E-2</v>
      </c>
      <c r="AG106" s="110"/>
    </row>
    <row r="107" spans="5:33" x14ac:dyDescent="0.4">
      <c r="E107" s="107">
        <v>103</v>
      </c>
      <c r="F107" s="107">
        <v>9</v>
      </c>
      <c r="G107" s="141">
        <f t="shared" si="49"/>
        <v>23795889.232006405</v>
      </c>
      <c r="H107" s="141">
        <f t="shared" si="25"/>
        <v>1454988.8889545999</v>
      </c>
      <c r="I107" s="141">
        <f t="shared" si="26"/>
        <v>244890.45337208608</v>
      </c>
      <c r="J107" s="141">
        <f t="shared" si="27"/>
        <v>1210098.4355825137</v>
      </c>
      <c r="K107" s="108">
        <f t="shared" si="28"/>
        <v>22585790.79642389</v>
      </c>
      <c r="L107" s="108">
        <f t="shared" si="29"/>
        <v>24790676.494021822</v>
      </c>
      <c r="M107" s="108">
        <f t="shared" si="30"/>
        <v>11889.037975356723</v>
      </c>
      <c r="N107" s="108">
        <f t="shared" si="31"/>
        <v>12500</v>
      </c>
      <c r="O107" s="108">
        <f t="shared" si="32"/>
        <v>24389.037975356725</v>
      </c>
      <c r="P107" s="108">
        <f t="shared" si="33"/>
        <v>9755.6151901426911</v>
      </c>
      <c r="Q107" s="100">
        <f t="shared" si="34"/>
        <v>2.2333333333333333E-3</v>
      </c>
      <c r="R107" s="100">
        <f>20%</f>
        <v>0.2</v>
      </c>
      <c r="S107" s="108">
        <f t="shared" si="35"/>
        <v>11073.168833996413</v>
      </c>
      <c r="T107" s="108">
        <f t="shared" si="36"/>
        <v>88130.854936247575</v>
      </c>
      <c r="U107" s="108">
        <f t="shared" si="37"/>
        <v>828.66692120360608</v>
      </c>
      <c r="V107" s="108">
        <f t="shared" si="38"/>
        <v>1432.5013645523054</v>
      </c>
      <c r="W107" s="108">
        <f t="shared" si="39"/>
        <v>90392.023222003481</v>
      </c>
      <c r="X107" s="108">
        <f t="shared" si="40"/>
        <v>3560.2539512176209</v>
      </c>
      <c r="Y107" s="108">
        <f t="shared" si="41"/>
        <v>961.26856682875768</v>
      </c>
      <c r="Z107" s="108">
        <f t="shared" si="42"/>
        <v>2598.9853843888632</v>
      </c>
      <c r="AA107" s="108">
        <f t="shared" si="43"/>
        <v>1081.9382303517132</v>
      </c>
      <c r="AB107" s="108">
        <f t="shared" si="44"/>
        <v>1517.04715403715</v>
      </c>
      <c r="AC107" s="109">
        <f t="shared" si="45"/>
        <v>0.37121707143381955</v>
      </c>
      <c r="AD107" s="108">
        <f t="shared" si="46"/>
        <v>964.78774309213361</v>
      </c>
      <c r="AE107" s="108">
        <f t="shared" si="47"/>
        <v>33555.06214144994</v>
      </c>
      <c r="AF107" s="48">
        <f t="shared" si="48"/>
        <v>2.8752375394958642E-2</v>
      </c>
      <c r="AG107" s="110"/>
    </row>
    <row r="108" spans="5:33" x14ac:dyDescent="0.4">
      <c r="E108" s="107">
        <v>104</v>
      </c>
      <c r="F108" s="107">
        <v>9</v>
      </c>
      <c r="G108" s="141">
        <f t="shared" si="49"/>
        <v>22585790.79642389</v>
      </c>
      <c r="H108" s="141">
        <f t="shared" si="25"/>
        <v>1454988.8889545999</v>
      </c>
      <c r="I108" s="141">
        <f t="shared" si="26"/>
        <v>232436.97657088871</v>
      </c>
      <c r="J108" s="141">
        <f t="shared" si="27"/>
        <v>1222551.9123837112</v>
      </c>
      <c r="K108" s="108">
        <f t="shared" si="28"/>
        <v>21363238.884040177</v>
      </c>
      <c r="L108" s="108">
        <f t="shared" si="29"/>
        <v>23529989.887610074</v>
      </c>
      <c r="M108" s="108">
        <f t="shared" si="30"/>
        <v>11284.44168923814</v>
      </c>
      <c r="N108" s="108">
        <f t="shared" si="31"/>
        <v>12500</v>
      </c>
      <c r="O108" s="108">
        <f t="shared" si="32"/>
        <v>23784.441689238141</v>
      </c>
      <c r="P108" s="108">
        <f t="shared" si="33"/>
        <v>9513.7766756952569</v>
      </c>
      <c r="Q108" s="100">
        <f t="shared" si="34"/>
        <v>2.2333333333333333E-3</v>
      </c>
      <c r="R108" s="100">
        <f>20%</f>
        <v>0.2</v>
      </c>
      <c r="S108" s="108">
        <f t="shared" si="35"/>
        <v>10510.062149799167</v>
      </c>
      <c r="T108" s="108">
        <f t="shared" si="36"/>
        <v>83649.114050453805</v>
      </c>
      <c r="U108" s="108">
        <f t="shared" si="37"/>
        <v>808.1245388638331</v>
      </c>
      <c r="V108" s="108">
        <f t="shared" si="38"/>
        <v>1396.9901235700561</v>
      </c>
      <c r="W108" s="108">
        <f t="shared" si="39"/>
        <v>85854.228712887692</v>
      </c>
      <c r="X108" s="108">
        <f t="shared" si="40"/>
        <v>3760.6028637437175</v>
      </c>
      <c r="Y108" s="108">
        <f t="shared" si="41"/>
        <v>1015.3627732108038</v>
      </c>
      <c r="Z108" s="108">
        <f t="shared" si="42"/>
        <v>2745.2400905329137</v>
      </c>
      <c r="AA108" s="108">
        <f t="shared" si="43"/>
        <v>1027.6235553849365</v>
      </c>
      <c r="AB108" s="108">
        <f t="shared" si="44"/>
        <v>1717.6165351479772</v>
      </c>
      <c r="AC108" s="109">
        <f t="shared" si="45"/>
        <v>0.36766269874522345</v>
      </c>
      <c r="AD108" s="108">
        <f t="shared" si="46"/>
        <v>1009.3223803889126</v>
      </c>
      <c r="AE108" s="108">
        <f t="shared" si="47"/>
        <v>31565.397427269942</v>
      </c>
      <c r="AF108" s="48">
        <f t="shared" si="48"/>
        <v>3.1975595514502853E-2</v>
      </c>
      <c r="AG108" s="110"/>
    </row>
    <row r="109" spans="5:33" x14ac:dyDescent="0.4">
      <c r="E109" s="107">
        <v>105</v>
      </c>
      <c r="F109" s="107">
        <v>9</v>
      </c>
      <c r="G109" s="141">
        <f t="shared" si="49"/>
        <v>21363238.884040177</v>
      </c>
      <c r="H109" s="141">
        <f t="shared" si="25"/>
        <v>1454988.8889545999</v>
      </c>
      <c r="I109" s="141">
        <f t="shared" si="26"/>
        <v>219855.33739886459</v>
      </c>
      <c r="J109" s="141">
        <f t="shared" si="27"/>
        <v>1235133.5515557353</v>
      </c>
      <c r="K109" s="108">
        <f t="shared" si="28"/>
        <v>20128105.332484443</v>
      </c>
      <c r="L109" s="108">
        <f t="shared" si="29"/>
        <v>22256329.186740488</v>
      </c>
      <c r="M109" s="108">
        <f t="shared" si="30"/>
        <v>10673.623325971224</v>
      </c>
      <c r="N109" s="108">
        <f t="shared" si="31"/>
        <v>12500</v>
      </c>
      <c r="O109" s="108">
        <f t="shared" si="32"/>
        <v>23173.623325971224</v>
      </c>
      <c r="P109" s="108">
        <f t="shared" si="33"/>
        <v>9269.4493303884901</v>
      </c>
      <c r="Q109" s="100">
        <f t="shared" si="34"/>
        <v>2.2333333333333333E-3</v>
      </c>
      <c r="R109" s="100">
        <f>20%</f>
        <v>0.2</v>
      </c>
      <c r="S109" s="108">
        <f t="shared" si="35"/>
        <v>9941.1603700774176</v>
      </c>
      <c r="T109" s="108">
        <f t="shared" si="36"/>
        <v>79121.250258862419</v>
      </c>
      <c r="U109" s="108">
        <f t="shared" si="37"/>
        <v>787.37074886135485</v>
      </c>
      <c r="V109" s="108">
        <f t="shared" si="38"/>
        <v>1361.113426024315</v>
      </c>
      <c r="W109" s="108">
        <f t="shared" si="39"/>
        <v>81269.73443374809</v>
      </c>
      <c r="X109" s="108">
        <f t="shared" si="40"/>
        <v>3963.0136255053167</v>
      </c>
      <c r="Y109" s="108">
        <f t="shared" si="41"/>
        <v>1070.0136788864356</v>
      </c>
      <c r="Z109" s="108">
        <f t="shared" si="42"/>
        <v>2892.999946618881</v>
      </c>
      <c r="AA109" s="108">
        <f t="shared" si="43"/>
        <v>972.74991221790924</v>
      </c>
      <c r="AB109" s="108">
        <f t="shared" si="44"/>
        <v>1920.2500344009718</v>
      </c>
      <c r="AC109" s="109">
        <f t="shared" si="45"/>
        <v>0.3641423588804969</v>
      </c>
      <c r="AD109" s="108">
        <f t="shared" si="46"/>
        <v>1053.463824802951</v>
      </c>
      <c r="AE109" s="108">
        <f t="shared" si="47"/>
        <v>29593.752802296574</v>
      </c>
      <c r="AF109" s="48">
        <f t="shared" si="48"/>
        <v>3.5597507076601607E-2</v>
      </c>
      <c r="AG109" s="110"/>
    </row>
    <row r="110" spans="5:33" x14ac:dyDescent="0.4">
      <c r="E110" s="107">
        <v>106</v>
      </c>
      <c r="F110" s="107">
        <v>9</v>
      </c>
      <c r="G110" s="141">
        <f t="shared" si="49"/>
        <v>20128105.332484443</v>
      </c>
      <c r="H110" s="141">
        <f t="shared" si="25"/>
        <v>1454988.8889545999</v>
      </c>
      <c r="I110" s="141">
        <f t="shared" si="26"/>
        <v>207144.21689958437</v>
      </c>
      <c r="J110" s="141">
        <f t="shared" si="27"/>
        <v>1247844.6720550156</v>
      </c>
      <c r="K110" s="108">
        <f t="shared" si="28"/>
        <v>18880260.660429426</v>
      </c>
      <c r="L110" s="108">
        <f t="shared" si="29"/>
        <v>20969560.871213719</v>
      </c>
      <c r="M110" s="108">
        <f t="shared" si="30"/>
        <v>10056.518852340878</v>
      </c>
      <c r="N110" s="108">
        <f t="shared" si="31"/>
        <v>12500</v>
      </c>
      <c r="O110" s="108">
        <f t="shared" si="32"/>
        <v>22556.51885234088</v>
      </c>
      <c r="P110" s="108">
        <f t="shared" si="33"/>
        <v>9022.607540936353</v>
      </c>
      <c r="Q110" s="100">
        <f t="shared" si="34"/>
        <v>2.2333333333333333E-3</v>
      </c>
      <c r="R110" s="100">
        <f>20%</f>
        <v>0.2</v>
      </c>
      <c r="S110" s="108">
        <f t="shared" si="35"/>
        <v>9366.4038558087941</v>
      </c>
      <c r="T110" s="108">
        <f t="shared" si="36"/>
        <v>74546.788897164763</v>
      </c>
      <c r="U110" s="108">
        <f t="shared" si="37"/>
        <v>766.40337553810468</v>
      </c>
      <c r="V110" s="108">
        <f t="shared" si="38"/>
        <v>1324.8675108947384</v>
      </c>
      <c r="W110" s="108">
        <f t="shared" si="39"/>
        <v>76638.059783597608</v>
      </c>
      <c r="X110" s="108">
        <f t="shared" si="40"/>
        <v>4167.5074555957326</v>
      </c>
      <c r="Y110" s="108">
        <f t="shared" si="41"/>
        <v>1125.2270130108479</v>
      </c>
      <c r="Z110" s="108">
        <f t="shared" si="42"/>
        <v>3042.2804425848844</v>
      </c>
      <c r="AA110" s="108">
        <f t="shared" si="43"/>
        <v>917.31154834545566</v>
      </c>
      <c r="AB110" s="108">
        <f t="shared" si="44"/>
        <v>2124.9688942394287</v>
      </c>
      <c r="AC110" s="109">
        <f t="shared" si="45"/>
        <v>0.36065572597817219</v>
      </c>
      <c r="AD110" s="108">
        <f t="shared" si="46"/>
        <v>1097.2158616496465</v>
      </c>
      <c r="AE110" s="108">
        <f t="shared" si="47"/>
        <v>27639.955088811956</v>
      </c>
      <c r="AF110" s="48">
        <f t="shared" si="48"/>
        <v>3.9696730986866734E-2</v>
      </c>
      <c r="AG110" s="110"/>
    </row>
    <row r="111" spans="5:33" x14ac:dyDescent="0.4">
      <c r="E111" s="107">
        <v>107</v>
      </c>
      <c r="F111" s="107">
        <v>9</v>
      </c>
      <c r="G111" s="141">
        <f t="shared" si="49"/>
        <v>18880260.660429426</v>
      </c>
      <c r="H111" s="141">
        <f t="shared" si="25"/>
        <v>1454988.8889545999</v>
      </c>
      <c r="I111" s="141">
        <f t="shared" si="26"/>
        <v>194302.28254285222</v>
      </c>
      <c r="J111" s="141">
        <f t="shared" si="27"/>
        <v>1260686.6064117476</v>
      </c>
      <c r="K111" s="108">
        <f t="shared" si="28"/>
        <v>17619574.054017678</v>
      </c>
      <c r="L111" s="108">
        <f t="shared" si="29"/>
        <v>19669550.046735011</v>
      </c>
      <c r="M111" s="108">
        <f t="shared" si="30"/>
        <v>9433.063576147455</v>
      </c>
      <c r="N111" s="108">
        <f t="shared" si="31"/>
        <v>12500</v>
      </c>
      <c r="O111" s="108">
        <f t="shared" si="32"/>
        <v>21933.063576147455</v>
      </c>
      <c r="P111" s="108">
        <f t="shared" si="33"/>
        <v>8773.2254304589824</v>
      </c>
      <c r="Q111" s="100">
        <f t="shared" si="34"/>
        <v>2.2333333333333333E-3</v>
      </c>
      <c r="R111" s="100">
        <f>20%</f>
        <v>0.2</v>
      </c>
      <c r="S111" s="108">
        <f t="shared" si="35"/>
        <v>8785.732354208305</v>
      </c>
      <c r="T111" s="108">
        <f t="shared" si="36"/>
        <v>69925.250416142953</v>
      </c>
      <c r="U111" s="108">
        <f t="shared" si="37"/>
        <v>745.22022084568209</v>
      </c>
      <c r="V111" s="108">
        <f t="shared" si="38"/>
        <v>1288.2485784552209</v>
      </c>
      <c r="W111" s="108">
        <f t="shared" si="39"/>
        <v>71958.719215443867</v>
      </c>
      <c r="X111" s="108">
        <f t="shared" si="40"/>
        <v>4374.1057914801677</v>
      </c>
      <c r="Y111" s="108">
        <f t="shared" si="41"/>
        <v>1181.0085636996453</v>
      </c>
      <c r="Z111" s="108">
        <f t="shared" si="42"/>
        <v>3193.0972277805222</v>
      </c>
      <c r="AA111" s="108">
        <f t="shared" si="43"/>
        <v>861.30265206168656</v>
      </c>
      <c r="AB111" s="108">
        <f t="shared" si="44"/>
        <v>2331.7945757188354</v>
      </c>
      <c r="AC111" s="109">
        <f t="shared" si="45"/>
        <v>0.35720247729687832</v>
      </c>
      <c r="AD111" s="108">
        <f t="shared" si="46"/>
        <v>1140.5822400129971</v>
      </c>
      <c r="AE111" s="108">
        <f t="shared" si="47"/>
        <v>25703.832766867028</v>
      </c>
      <c r="AF111" s="48">
        <f t="shared" si="48"/>
        <v>4.4374014193059953E-2</v>
      </c>
      <c r="AG111" s="110"/>
    </row>
    <row r="112" spans="5:33" x14ac:dyDescent="0.4">
      <c r="E112" s="107">
        <v>108</v>
      </c>
      <c r="F112" s="107">
        <v>9</v>
      </c>
      <c r="G112" s="141">
        <f t="shared" si="49"/>
        <v>17619574.054017678</v>
      </c>
      <c r="H112" s="141">
        <f t="shared" si="25"/>
        <v>1454988.8889545999</v>
      </c>
      <c r="I112" s="141">
        <f t="shared" si="26"/>
        <v>181328.18808501473</v>
      </c>
      <c r="J112" s="141">
        <f t="shared" si="27"/>
        <v>1273660.7008695852</v>
      </c>
      <c r="K112" s="108">
        <f t="shared" si="28"/>
        <v>16345913.353148093</v>
      </c>
      <c r="L112" s="108">
        <f t="shared" si="29"/>
        <v>18356160.430772983</v>
      </c>
      <c r="M112" s="108">
        <f t="shared" si="30"/>
        <v>8803.1921394249748</v>
      </c>
      <c r="N112" s="108">
        <f t="shared" si="31"/>
        <v>12500</v>
      </c>
      <c r="O112" s="108">
        <f t="shared" si="32"/>
        <v>21303.192139424973</v>
      </c>
      <c r="P112" s="108">
        <f t="shared" si="33"/>
        <v>8521.2768557699892</v>
      </c>
      <c r="Q112" s="100">
        <f t="shared" si="34"/>
        <v>2.2333333333333333E-3</v>
      </c>
      <c r="R112" s="100">
        <f>20%</f>
        <v>0.2</v>
      </c>
      <c r="S112" s="108">
        <f t="shared" si="35"/>
        <v>8199.084992411932</v>
      </c>
      <c r="T112" s="108">
        <f t="shared" si="36"/>
        <v>65256.150331397948</v>
      </c>
      <c r="U112" s="108">
        <f t="shared" si="37"/>
        <v>723.81906411492844</v>
      </c>
      <c r="V112" s="108">
        <f t="shared" si="38"/>
        <v>1251.2527898755657</v>
      </c>
      <c r="W112" s="108">
        <f t="shared" si="39"/>
        <v>67231.22218538844</v>
      </c>
      <c r="X112" s="108">
        <f t="shared" si="40"/>
        <v>4582.8302912430518</v>
      </c>
      <c r="Y112" s="108">
        <f t="shared" si="41"/>
        <v>1237.3641786356241</v>
      </c>
      <c r="Z112" s="108">
        <f t="shared" si="42"/>
        <v>3345.4661126074279</v>
      </c>
      <c r="AA112" s="108">
        <f t="shared" si="43"/>
        <v>804.71735185074851</v>
      </c>
      <c r="AB112" s="108">
        <f t="shared" si="44"/>
        <v>2540.7487607566795</v>
      </c>
      <c r="AC112" s="109">
        <f t="shared" si="45"/>
        <v>0.35378229318546622</v>
      </c>
      <c r="AD112" s="108">
        <f t="shared" si="46"/>
        <v>1183.5666730925229</v>
      </c>
      <c r="AE112" s="108">
        <f t="shared" si="47"/>
        <v>23785.215958408313</v>
      </c>
      <c r="AF112" s="48">
        <f t="shared" si="48"/>
        <v>4.9760602349045321E-2</v>
      </c>
      <c r="AG112" s="110"/>
    </row>
    <row r="113" spans="5:33" x14ac:dyDescent="0.4">
      <c r="E113" s="107">
        <v>109</v>
      </c>
      <c r="F113" s="107">
        <v>10</v>
      </c>
      <c r="G113" s="141">
        <f t="shared" si="49"/>
        <v>16345913.353148093</v>
      </c>
      <c r="H113" s="141">
        <f t="shared" si="25"/>
        <v>1454988.8889545999</v>
      </c>
      <c r="I113" s="141">
        <f t="shared" si="26"/>
        <v>168220.57342783126</v>
      </c>
      <c r="J113" s="141">
        <f t="shared" si="27"/>
        <v>1286768.3155267686</v>
      </c>
      <c r="K113" s="108">
        <f t="shared" si="28"/>
        <v>15059145.037621325</v>
      </c>
      <c r="L113" s="108">
        <f t="shared" si="29"/>
        <v>17029254.338272877</v>
      </c>
      <c r="M113" s="108">
        <f t="shared" si="30"/>
        <v>8166.838511589518</v>
      </c>
      <c r="N113" s="108">
        <f t="shared" si="31"/>
        <v>12500</v>
      </c>
      <c r="O113" s="108">
        <f t="shared" si="32"/>
        <v>20666.838511589518</v>
      </c>
      <c r="P113" s="108">
        <f t="shared" si="33"/>
        <v>8266.7354046358068</v>
      </c>
      <c r="Q113" s="100">
        <f t="shared" si="34"/>
        <v>2.2333333333333333E-3</v>
      </c>
      <c r="R113" s="100">
        <f>20%</f>
        <v>0.2</v>
      </c>
      <c r="S113" s="108">
        <f t="shared" si="35"/>
        <v>7606.4002710952182</v>
      </c>
      <c r="T113" s="108">
        <f t="shared" si="36"/>
        <v>60538.99917256007</v>
      </c>
      <c r="U113" s="108">
        <f t="shared" si="37"/>
        <v>702.19766182312947</v>
      </c>
      <c r="V113" s="108">
        <f t="shared" si="38"/>
        <v>1213.8762668190525</v>
      </c>
      <c r="W113" s="108">
        <f t="shared" si="39"/>
        <v>62455.073101202252</v>
      </c>
      <c r="X113" s="108">
        <f t="shared" si="40"/>
        <v>4793.702835858493</v>
      </c>
      <c r="Y113" s="108">
        <f t="shared" si="41"/>
        <v>1294.2997656817931</v>
      </c>
      <c r="Z113" s="108">
        <f t="shared" si="42"/>
        <v>3499.4030701766997</v>
      </c>
      <c r="AA113" s="108">
        <f t="shared" si="43"/>
        <v>747.54971577130209</v>
      </c>
      <c r="AB113" s="108">
        <f t="shared" si="44"/>
        <v>2751.8533544053976</v>
      </c>
      <c r="AC113" s="109">
        <f t="shared" si="45"/>
        <v>0.35039485705341999</v>
      </c>
      <c r="AD113" s="108">
        <f t="shared" si="46"/>
        <v>1226.1728385468637</v>
      </c>
      <c r="AE113" s="108">
        <f t="shared" si="47"/>
        <v>21883.93641155666</v>
      </c>
      <c r="AF113" s="48">
        <f t="shared" si="48"/>
        <v>5.6030725710724316E-2</v>
      </c>
      <c r="AG113" s="110"/>
    </row>
    <row r="114" spans="5:33" x14ac:dyDescent="0.4">
      <c r="E114" s="107">
        <v>110</v>
      </c>
      <c r="F114" s="107">
        <v>10</v>
      </c>
      <c r="G114" s="141">
        <f t="shared" si="49"/>
        <v>15059145.037621325</v>
      </c>
      <c r="H114" s="141">
        <f t="shared" si="25"/>
        <v>1454988.8889545999</v>
      </c>
      <c r="I114" s="141">
        <f t="shared" si="26"/>
        <v>154978.06447589258</v>
      </c>
      <c r="J114" s="141">
        <f t="shared" si="27"/>
        <v>1300010.8244787073</v>
      </c>
      <c r="K114" s="108">
        <f t="shared" si="28"/>
        <v>13759134.213142619</v>
      </c>
      <c r="L114" s="108">
        <f t="shared" si="29"/>
        <v>15688692.667222779</v>
      </c>
      <c r="M114" s="108">
        <f t="shared" si="30"/>
        <v>7523.9359825171205</v>
      </c>
      <c r="N114" s="108">
        <f t="shared" si="31"/>
        <v>12500</v>
      </c>
      <c r="O114" s="108">
        <f t="shared" si="32"/>
        <v>20023.93598251712</v>
      </c>
      <c r="P114" s="108">
        <f t="shared" si="33"/>
        <v>8009.5743930068484</v>
      </c>
      <c r="Q114" s="100">
        <f t="shared" si="34"/>
        <v>2.2333333333333333E-3</v>
      </c>
      <c r="R114" s="100">
        <f>20%</f>
        <v>0.2</v>
      </c>
      <c r="S114" s="108">
        <f t="shared" si="35"/>
        <v>7007.6160580261749</v>
      </c>
      <c r="T114" s="108">
        <f t="shared" si="36"/>
        <v>55773.302431976976</v>
      </c>
      <c r="U114" s="108">
        <f t="shared" si="37"/>
        <v>680.35374735882203</v>
      </c>
      <c r="V114" s="108">
        <f t="shared" si="38"/>
        <v>1176.1150910358626</v>
      </c>
      <c r="W114" s="108">
        <f t="shared" si="39"/>
        <v>57629.771270371661</v>
      </c>
      <c r="X114" s="108">
        <f t="shared" si="40"/>
        <v>5006.7455314840954</v>
      </c>
      <c r="Y114" s="108">
        <f t="shared" si="41"/>
        <v>1351.8212935007059</v>
      </c>
      <c r="Z114" s="108">
        <f t="shared" si="42"/>
        <v>3654.9242379833895</v>
      </c>
      <c r="AA114" s="108">
        <f t="shared" si="43"/>
        <v>689.79375083466493</v>
      </c>
      <c r="AB114" s="108">
        <f t="shared" si="44"/>
        <v>2965.1304871487246</v>
      </c>
      <c r="AC114" s="109">
        <f t="shared" si="45"/>
        <v>0.34703985534155174</v>
      </c>
      <c r="AD114" s="108">
        <f t="shared" si="46"/>
        <v>1268.4043788340866</v>
      </c>
      <c r="AE114" s="108">
        <f t="shared" si="47"/>
        <v>19999.827485036494</v>
      </c>
      <c r="AF114" s="48">
        <f t="shared" si="48"/>
        <v>6.342076599326088E-2</v>
      </c>
      <c r="AG114" s="110"/>
    </row>
    <row r="115" spans="5:33" x14ac:dyDescent="0.4">
      <c r="E115" s="107">
        <v>111</v>
      </c>
      <c r="F115" s="107">
        <v>10</v>
      </c>
      <c r="G115" s="141">
        <f t="shared" si="49"/>
        <v>13759134.213142619</v>
      </c>
      <c r="H115" s="141">
        <f t="shared" si="25"/>
        <v>1454988.8889545999</v>
      </c>
      <c r="I115" s="141">
        <f t="shared" si="26"/>
        <v>141599.27299257187</v>
      </c>
      <c r="J115" s="141">
        <f t="shared" si="27"/>
        <v>1313389.615962028</v>
      </c>
      <c r="K115" s="108">
        <f t="shared" si="28"/>
        <v>12445744.59718059</v>
      </c>
      <c r="L115" s="108">
        <f t="shared" si="29"/>
        <v>14334334.884071307</v>
      </c>
      <c r="M115" s="108">
        <f t="shared" si="30"/>
        <v>6874.4171555504281</v>
      </c>
      <c r="N115" s="108">
        <f t="shared" si="31"/>
        <v>12500</v>
      </c>
      <c r="O115" s="108">
        <f t="shared" si="32"/>
        <v>19374.417155550429</v>
      </c>
      <c r="P115" s="108">
        <f t="shared" si="33"/>
        <v>7749.7668622201718</v>
      </c>
      <c r="Q115" s="100">
        <f t="shared" si="34"/>
        <v>2.2333333333333333E-3</v>
      </c>
      <c r="R115" s="100">
        <f>20%</f>
        <v>0.2</v>
      </c>
      <c r="S115" s="108">
        <f t="shared" si="35"/>
        <v>6402.6695815518506</v>
      </c>
      <c r="T115" s="108">
        <f t="shared" si="36"/>
        <v>50958.560512873497</v>
      </c>
      <c r="U115" s="108">
        <f t="shared" si="37"/>
        <v>658.28503078418271</v>
      </c>
      <c r="V115" s="108">
        <f t="shared" si="38"/>
        <v>1137.9653039523239</v>
      </c>
      <c r="W115" s="108">
        <f t="shared" si="39"/>
        <v>52754.810847610002</v>
      </c>
      <c r="X115" s="108">
        <f t="shared" si="40"/>
        <v>5221.9807117784076</v>
      </c>
      <c r="Y115" s="108">
        <f t="shared" si="41"/>
        <v>1409.9347921801702</v>
      </c>
      <c r="Z115" s="108">
        <f t="shared" si="42"/>
        <v>3812.0459195982376</v>
      </c>
      <c r="AA115" s="108">
        <f t="shared" si="43"/>
        <v>631.44340237655592</v>
      </c>
      <c r="AB115" s="108">
        <f t="shared" si="44"/>
        <v>3180.6025172216814</v>
      </c>
      <c r="AC115" s="109">
        <f t="shared" si="45"/>
        <v>0.34371697749297681</v>
      </c>
      <c r="AD115" s="108">
        <f t="shared" si="46"/>
        <v>1310.2649015487416</v>
      </c>
      <c r="AE115" s="108">
        <f t="shared" si="47"/>
        <v>18132.724132754214</v>
      </c>
      <c r="AF115" s="48">
        <f t="shared" si="48"/>
        <v>7.2259683208985251E-2</v>
      </c>
      <c r="AG115" s="110"/>
    </row>
    <row r="116" spans="5:33" x14ac:dyDescent="0.4">
      <c r="E116" s="107">
        <v>112</v>
      </c>
      <c r="F116" s="107">
        <v>10</v>
      </c>
      <c r="G116" s="141">
        <f t="shared" si="49"/>
        <v>12445744.59718059</v>
      </c>
      <c r="H116" s="141">
        <f t="shared" si="25"/>
        <v>1454988.8889545999</v>
      </c>
      <c r="I116" s="141">
        <f t="shared" si="26"/>
        <v>128082.79645449331</v>
      </c>
      <c r="J116" s="141">
        <f t="shared" si="27"/>
        <v>1326906.0925001064</v>
      </c>
      <c r="K116" s="108">
        <f t="shared" si="28"/>
        <v>11118838.504680485</v>
      </c>
      <c r="L116" s="108">
        <f t="shared" si="29"/>
        <v>12966039.008995203</v>
      </c>
      <c r="M116" s="108">
        <f t="shared" si="30"/>
        <v>6218.2139404333802</v>
      </c>
      <c r="N116" s="108">
        <f t="shared" si="31"/>
        <v>12500</v>
      </c>
      <c r="O116" s="108">
        <f t="shared" si="32"/>
        <v>18718.213940433379</v>
      </c>
      <c r="P116" s="108">
        <f t="shared" si="33"/>
        <v>7487.2855761733517</v>
      </c>
      <c r="Q116" s="100">
        <f t="shared" si="34"/>
        <v>2.2333333333333333E-3</v>
      </c>
      <c r="R116" s="100">
        <f>20%</f>
        <v>0.2</v>
      </c>
      <c r="S116" s="108">
        <f t="shared" si="35"/>
        <v>5791.4974240178572</v>
      </c>
      <c r="T116" s="108">
        <f t="shared" si="36"/>
        <v>46094.268676977947</v>
      </c>
      <c r="U116" s="108">
        <f t="shared" si="37"/>
        <v>635.98919859496732</v>
      </c>
      <c r="V116" s="108">
        <f t="shared" si="38"/>
        <v>1099.4229062559245</v>
      </c>
      <c r="W116" s="108">
        <f t="shared" si="39"/>
        <v>47829.680781828836</v>
      </c>
      <c r="X116" s="108">
        <f t="shared" si="40"/>
        <v>5439.4309402421704</v>
      </c>
      <c r="Y116" s="108">
        <f t="shared" si="41"/>
        <v>1468.6463538653861</v>
      </c>
      <c r="Z116" s="108">
        <f t="shared" si="42"/>
        <v>3970.7845863767843</v>
      </c>
      <c r="AA116" s="108">
        <f t="shared" si="43"/>
        <v>572.49255342237325</v>
      </c>
      <c r="AB116" s="108">
        <f t="shared" si="44"/>
        <v>3398.2920329544113</v>
      </c>
      <c r="AC116" s="109">
        <f t="shared" si="45"/>
        <v>0.34042591592436666</v>
      </c>
      <c r="AD116" s="108">
        <f t="shared" si="46"/>
        <v>1351.7579797556743</v>
      </c>
      <c r="AE116" s="108">
        <f t="shared" si="47"/>
        <v>16282.46288852416</v>
      </c>
      <c r="AF116" s="48">
        <f t="shared" si="48"/>
        <v>8.3019257529423879E-2</v>
      </c>
      <c r="AG116" s="110"/>
    </row>
    <row r="117" spans="5:33" x14ac:dyDescent="0.4">
      <c r="E117" s="107">
        <v>113</v>
      </c>
      <c r="F117" s="107">
        <v>10</v>
      </c>
      <c r="G117" s="141">
        <f t="shared" si="49"/>
        <v>11118838.504680485</v>
      </c>
      <c r="H117" s="141">
        <f t="shared" si="25"/>
        <v>1454988.8889545999</v>
      </c>
      <c r="I117" s="141">
        <f t="shared" si="26"/>
        <v>114427.21790450292</v>
      </c>
      <c r="J117" s="141">
        <f t="shared" si="27"/>
        <v>1340561.6710500969</v>
      </c>
      <c r="K117" s="108">
        <f t="shared" si="28"/>
        <v>9778276.8336303867</v>
      </c>
      <c r="L117" s="108">
        <f t="shared" si="29"/>
        <v>11583661.60101535</v>
      </c>
      <c r="M117" s="108">
        <f t="shared" si="30"/>
        <v>5555.2575461731867</v>
      </c>
      <c r="N117" s="108">
        <f t="shared" si="31"/>
        <v>12500</v>
      </c>
      <c r="O117" s="108">
        <f t="shared" si="32"/>
        <v>18055.257546173187</v>
      </c>
      <c r="P117" s="108">
        <f t="shared" si="33"/>
        <v>7222.1030184692754</v>
      </c>
      <c r="Q117" s="100">
        <f t="shared" si="34"/>
        <v>2.2333333333333333E-3</v>
      </c>
      <c r="R117" s="100">
        <f>20%</f>
        <v>0.2</v>
      </c>
      <c r="S117" s="108">
        <f t="shared" si="35"/>
        <v>5174.0355151201893</v>
      </c>
      <c r="T117" s="108">
        <f t="shared" si="36"/>
        <v>41179.916991609563</v>
      </c>
      <c r="U117" s="108">
        <f t="shared" si="37"/>
        <v>613.46391347798431</v>
      </c>
      <c r="V117" s="108">
        <f t="shared" si="38"/>
        <v>1060.4838574760593</v>
      </c>
      <c r="W117" s="108">
        <f t="shared" si="39"/>
        <v>42853.864762563608</v>
      </c>
      <c r="X117" s="108">
        <f t="shared" si="40"/>
        <v>5659.119012583722</v>
      </c>
      <c r="Y117" s="108">
        <f t="shared" si="41"/>
        <v>1527.9621333976049</v>
      </c>
      <c r="Z117" s="108">
        <f t="shared" si="42"/>
        <v>4131.1568791861173</v>
      </c>
      <c r="AA117" s="108">
        <f t="shared" si="43"/>
        <v>512.9350240459421</v>
      </c>
      <c r="AB117" s="108">
        <f t="shared" si="44"/>
        <v>3618.2218551401752</v>
      </c>
      <c r="AC117" s="109">
        <f t="shared" si="45"/>
        <v>0.33716636599747812</v>
      </c>
      <c r="AD117" s="108">
        <f t="shared" si="46"/>
        <v>1392.887152320666</v>
      </c>
      <c r="AE117" s="108">
        <f t="shared" si="47"/>
        <v>14448.881850940952</v>
      </c>
      <c r="AF117" s="48">
        <f t="shared" si="48"/>
        <v>9.6401034120848397E-2</v>
      </c>
      <c r="AG117" s="110"/>
    </row>
    <row r="118" spans="5:33" x14ac:dyDescent="0.4">
      <c r="E118" s="107">
        <v>114</v>
      </c>
      <c r="F118" s="107">
        <v>10</v>
      </c>
      <c r="G118" s="141">
        <f t="shared" si="49"/>
        <v>9778276.8336303867</v>
      </c>
      <c r="H118" s="141">
        <f t="shared" si="25"/>
        <v>1454988.8889545999</v>
      </c>
      <c r="I118" s="141">
        <f t="shared" si="26"/>
        <v>100631.10580312635</v>
      </c>
      <c r="J118" s="141">
        <f t="shared" si="27"/>
        <v>1354357.7831514734</v>
      </c>
      <c r="K118" s="108">
        <f t="shared" si="28"/>
        <v>8423919.0504789129</v>
      </c>
      <c r="L118" s="108">
        <f t="shared" si="29"/>
        <v>10187057.742959565</v>
      </c>
      <c r="M118" s="108">
        <f t="shared" si="30"/>
        <v>4885.4784738288308</v>
      </c>
      <c r="N118" s="108">
        <f t="shared" si="31"/>
        <v>12500</v>
      </c>
      <c r="O118" s="108">
        <f t="shared" si="32"/>
        <v>17385.478473828829</v>
      </c>
      <c r="P118" s="108">
        <f t="shared" si="33"/>
        <v>6954.191389531532</v>
      </c>
      <c r="Q118" s="100">
        <f t="shared" si="34"/>
        <v>2.2333333333333333E-3</v>
      </c>
      <c r="R118" s="100">
        <f>20%</f>
        <v>0.2</v>
      </c>
      <c r="S118" s="108">
        <f t="shared" si="35"/>
        <v>4550.2191251886052</v>
      </c>
      <c r="T118" s="108">
        <f t="shared" si="36"/>
        <v>36214.990276221244</v>
      </c>
      <c r="U118" s="108">
        <f t="shared" si="37"/>
        <v>590.70681406606752</v>
      </c>
      <c r="V118" s="108">
        <f t="shared" si="38"/>
        <v>1021.1440755604573</v>
      </c>
      <c r="W118" s="108">
        <f t="shared" si="39"/>
        <v>37826.841165847771</v>
      </c>
      <c r="X118" s="108">
        <f t="shared" si="40"/>
        <v>5881.0679591086919</v>
      </c>
      <c r="Y118" s="108">
        <f t="shared" si="41"/>
        <v>1587.888348959347</v>
      </c>
      <c r="Z118" s="108">
        <f t="shared" si="42"/>
        <v>4293.1796101493446</v>
      </c>
      <c r="AA118" s="108">
        <f t="shared" si="43"/>
        <v>452.76457072165937</v>
      </c>
      <c r="AB118" s="108">
        <f t="shared" si="44"/>
        <v>3840.4150394276853</v>
      </c>
      <c r="AC118" s="109">
        <f t="shared" si="45"/>
        <v>0.33393802599095379</v>
      </c>
      <c r="AD118" s="108">
        <f t="shared" si="46"/>
        <v>1433.6559242378846</v>
      </c>
      <c r="AE118" s="108">
        <f t="shared" si="47"/>
        <v>12631.820668396555</v>
      </c>
      <c r="AF118" s="48">
        <f t="shared" si="48"/>
        <v>0.1134955887890917</v>
      </c>
      <c r="AG118" s="110"/>
    </row>
    <row r="119" spans="5:33" x14ac:dyDescent="0.4">
      <c r="E119" s="107">
        <v>115</v>
      </c>
      <c r="F119" s="107">
        <v>10</v>
      </c>
      <c r="G119" s="141">
        <f t="shared" si="49"/>
        <v>8423919.0504789129</v>
      </c>
      <c r="H119" s="141">
        <f t="shared" si="25"/>
        <v>1454988.8889545999</v>
      </c>
      <c r="I119" s="141">
        <f t="shared" si="26"/>
        <v>86693.013878498066</v>
      </c>
      <c r="J119" s="141">
        <f t="shared" si="27"/>
        <v>1368295.8750761019</v>
      </c>
      <c r="K119" s="108">
        <f t="shared" si="28"/>
        <v>7055623.1754028108</v>
      </c>
      <c r="L119" s="108">
        <f t="shared" si="29"/>
        <v>8776081.026270682</v>
      </c>
      <c r="M119" s="108">
        <f t="shared" si="30"/>
        <v>4208.8065092253828</v>
      </c>
      <c r="N119" s="108">
        <f t="shared" si="31"/>
        <v>12500</v>
      </c>
      <c r="O119" s="108">
        <f t="shared" si="32"/>
        <v>16708.806509225382</v>
      </c>
      <c r="P119" s="108">
        <f t="shared" si="33"/>
        <v>6683.5226036901531</v>
      </c>
      <c r="Q119" s="100">
        <f t="shared" si="34"/>
        <v>2.2333333333333333E-3</v>
      </c>
      <c r="R119" s="100">
        <f>20%</f>
        <v>0.2</v>
      </c>
      <c r="S119" s="108">
        <f t="shared" si="35"/>
        <v>3919.9828584009047</v>
      </c>
      <c r="T119" s="108">
        <f t="shared" si="36"/>
        <v>31198.968048392271</v>
      </c>
      <c r="U119" s="108">
        <f t="shared" si="37"/>
        <v>567.7155146905319</v>
      </c>
      <c r="V119" s="108">
        <f t="shared" si="38"/>
        <v>981.39943644725554</v>
      </c>
      <c r="W119" s="108">
        <f t="shared" si="39"/>
        <v>32748.082999530059</v>
      </c>
      <c r="X119" s="108">
        <f t="shared" si="40"/>
        <v>6105.3010471343241</v>
      </c>
      <c r="Y119" s="108">
        <f t="shared" si="41"/>
        <v>1648.4312827262677</v>
      </c>
      <c r="Z119" s="108">
        <f t="shared" si="42"/>
        <v>4456.8697644080567</v>
      </c>
      <c r="AA119" s="108">
        <f t="shared" si="43"/>
        <v>391.97488566997538</v>
      </c>
      <c r="AB119" s="108">
        <f t="shared" si="44"/>
        <v>4064.8948787380814</v>
      </c>
      <c r="AC119" s="109">
        <f t="shared" si="45"/>
        <v>0.33074059707239306</v>
      </c>
      <c r="AD119" s="108">
        <f t="shared" si="46"/>
        <v>1474.0677669542165</v>
      </c>
      <c r="AE119" s="108">
        <f t="shared" si="47"/>
        <v>10831.120524240856</v>
      </c>
      <c r="AF119" s="48">
        <f t="shared" si="48"/>
        <v>0.13609559266330226</v>
      </c>
      <c r="AG119" s="110"/>
    </row>
    <row r="120" spans="5:33" x14ac:dyDescent="0.4">
      <c r="E120" s="107">
        <v>116</v>
      </c>
      <c r="F120" s="107">
        <v>10</v>
      </c>
      <c r="G120" s="141">
        <f t="shared" si="49"/>
        <v>7055623.1754028108</v>
      </c>
      <c r="H120" s="141">
        <f t="shared" si="25"/>
        <v>1454988.8889545999</v>
      </c>
      <c r="I120" s="141">
        <f t="shared" si="26"/>
        <v>72611.48097474582</v>
      </c>
      <c r="J120" s="141">
        <f t="shared" si="27"/>
        <v>1382377.4079798539</v>
      </c>
      <c r="K120" s="108">
        <f t="shared" si="28"/>
        <v>5673245.7674229573</v>
      </c>
      <c r="L120" s="108">
        <f t="shared" si="29"/>
        <v>7350583.5356582655</v>
      </c>
      <c r="M120" s="108">
        <f t="shared" si="30"/>
        <v>3525.1707155933036</v>
      </c>
      <c r="N120" s="108">
        <f t="shared" si="31"/>
        <v>12500</v>
      </c>
      <c r="O120" s="108">
        <f t="shared" si="32"/>
        <v>16025.170715593304</v>
      </c>
      <c r="P120" s="108">
        <f t="shared" si="33"/>
        <v>6410.0682862373214</v>
      </c>
      <c r="Q120" s="100">
        <f t="shared" si="34"/>
        <v>2.2333333333333333E-3</v>
      </c>
      <c r="R120" s="100">
        <f>20%</f>
        <v>0.2</v>
      </c>
      <c r="S120" s="108">
        <f t="shared" si="35"/>
        <v>3283.2606459273584</v>
      </c>
      <c r="T120" s="108">
        <f t="shared" si="36"/>
        <v>26131.324469265131</v>
      </c>
      <c r="U120" s="108">
        <f t="shared" si="37"/>
        <v>544.48760513107777</v>
      </c>
      <c r="V120" s="108">
        <f t="shared" si="38"/>
        <v>941.2457736326636</v>
      </c>
      <c r="W120" s="108">
        <f t="shared" si="39"/>
        <v>27617.057848028875</v>
      </c>
      <c r="X120" s="108">
        <f t="shared" si="40"/>
        <v>6331.8417834286238</v>
      </c>
      <c r="Y120" s="108">
        <f t="shared" si="41"/>
        <v>1709.5972815257285</v>
      </c>
      <c r="Z120" s="108">
        <f t="shared" si="42"/>
        <v>4622.2445019028955</v>
      </c>
      <c r="AA120" s="108">
        <f t="shared" si="43"/>
        <v>330.5595961961364</v>
      </c>
      <c r="AB120" s="108">
        <f t="shared" si="44"/>
        <v>4291.6849057067593</v>
      </c>
      <c r="AC120" s="109">
        <f t="shared" si="45"/>
        <v>0.32757378327069087</v>
      </c>
      <c r="AD120" s="108">
        <f t="shared" si="46"/>
        <v>1514.1261186904815</v>
      </c>
      <c r="AE120" s="108">
        <f t="shared" si="47"/>
        <v>9046.6241220843422</v>
      </c>
      <c r="AF120" s="48">
        <f t="shared" si="48"/>
        <v>0.16736918636801135</v>
      </c>
      <c r="AG120" s="110"/>
    </row>
    <row r="121" spans="5:33" x14ac:dyDescent="0.4">
      <c r="E121" s="107">
        <v>117</v>
      </c>
      <c r="F121" s="107">
        <v>10</v>
      </c>
      <c r="G121" s="141">
        <f t="shared" si="49"/>
        <v>5673245.7674229573</v>
      </c>
      <c r="H121" s="141">
        <f t="shared" si="25"/>
        <v>1454988.8889545999</v>
      </c>
      <c r="I121" s="141">
        <f t="shared" si="26"/>
        <v>58385.030898815137</v>
      </c>
      <c r="J121" s="141">
        <f t="shared" si="27"/>
        <v>1396603.8580557848</v>
      </c>
      <c r="K121" s="108">
        <f t="shared" si="28"/>
        <v>4276641.909367172</v>
      </c>
      <c r="L121" s="108">
        <f t="shared" si="29"/>
        <v>5910415.8335923813</v>
      </c>
      <c r="M121" s="108">
        <f t="shared" si="30"/>
        <v>2834.4994261320226</v>
      </c>
      <c r="N121" s="108">
        <f t="shared" si="31"/>
        <v>12500</v>
      </c>
      <c r="O121" s="108">
        <f t="shared" si="32"/>
        <v>15334.499426132023</v>
      </c>
      <c r="P121" s="108">
        <f t="shared" si="33"/>
        <v>6133.7997704528098</v>
      </c>
      <c r="Q121" s="100">
        <f t="shared" si="34"/>
        <v>2.2333333333333333E-3</v>
      </c>
      <c r="R121" s="100">
        <f>20%</f>
        <v>0.2</v>
      </c>
      <c r="S121" s="108">
        <f t="shared" si="35"/>
        <v>2639.9857390045968</v>
      </c>
      <c r="T121" s="108">
        <f t="shared" si="36"/>
        <v>21011.528288420912</v>
      </c>
      <c r="U121" s="108">
        <f t="shared" si="37"/>
        <v>521.02065036312388</v>
      </c>
      <c r="V121" s="108">
        <f t="shared" si="38"/>
        <v>900.67887773418306</v>
      </c>
      <c r="W121" s="108">
        <f t="shared" si="39"/>
        <v>22433.227816518218</v>
      </c>
      <c r="X121" s="108">
        <f t="shared" si="40"/>
        <v>6560.7139166746165</v>
      </c>
      <c r="Y121" s="108">
        <f t="shared" si="41"/>
        <v>1771.3927575021467</v>
      </c>
      <c r="Z121" s="108">
        <f t="shared" si="42"/>
        <v>4789.3211591724703</v>
      </c>
      <c r="AA121" s="108">
        <f t="shared" si="43"/>
        <v>268.51226402212382</v>
      </c>
      <c r="AB121" s="108">
        <f t="shared" si="44"/>
        <v>4520.8088951503469</v>
      </c>
      <c r="AC121" s="109">
        <f t="shared" si="45"/>
        <v>0.32443729144864114</v>
      </c>
      <c r="AD121" s="108">
        <f t="shared" si="46"/>
        <v>1553.8343847595825</v>
      </c>
      <c r="AE121" s="108">
        <f t="shared" si="47"/>
        <v>7278.1756712414845</v>
      </c>
      <c r="AF121" s="48">
        <f t="shared" si="48"/>
        <v>0.21349228913219337</v>
      </c>
      <c r="AG121" s="110"/>
    </row>
    <row r="122" spans="5:33" x14ac:dyDescent="0.4">
      <c r="E122" s="107">
        <v>118</v>
      </c>
      <c r="F122" s="107">
        <v>10</v>
      </c>
      <c r="G122" s="141">
        <f t="shared" si="49"/>
        <v>4276641.909367172</v>
      </c>
      <c r="H122" s="141">
        <f t="shared" si="25"/>
        <v>1454988.8889545999</v>
      </c>
      <c r="I122" s="141">
        <f t="shared" si="26"/>
        <v>44012.172265717192</v>
      </c>
      <c r="J122" s="141">
        <f t="shared" si="27"/>
        <v>1410976.7166888826</v>
      </c>
      <c r="K122" s="108">
        <f t="shared" si="28"/>
        <v>2865665.1926782895</v>
      </c>
      <c r="L122" s="108">
        <f t="shared" si="29"/>
        <v>4455426.944637781</v>
      </c>
      <c r="M122" s="108">
        <f t="shared" si="30"/>
        <v>2136.7202364969685</v>
      </c>
      <c r="N122" s="108">
        <f t="shared" si="31"/>
        <v>12500</v>
      </c>
      <c r="O122" s="108">
        <f t="shared" si="32"/>
        <v>14636.720236496969</v>
      </c>
      <c r="P122" s="108">
        <f t="shared" si="33"/>
        <v>5854.6880945987878</v>
      </c>
      <c r="Q122" s="100">
        <f t="shared" si="34"/>
        <v>2.2333333333333333E-3</v>
      </c>
      <c r="R122" s="100">
        <f>20%</f>
        <v>0.2</v>
      </c>
      <c r="S122" s="108">
        <f t="shared" si="35"/>
        <v>1990.0907019382089</v>
      </c>
      <c r="T122" s="108">
        <f t="shared" si="36"/>
        <v>15839.042788187309</v>
      </c>
      <c r="U122" s="108">
        <f t="shared" si="37"/>
        <v>497.31219030253925</v>
      </c>
      <c r="V122" s="108">
        <f t="shared" si="38"/>
        <v>859.69449604932913</v>
      </c>
      <c r="W122" s="108">
        <f t="shared" si="39"/>
        <v>17196.049474539177</v>
      </c>
      <c r="X122" s="108">
        <f t="shared" si="40"/>
        <v>6791.9414399599718</v>
      </c>
      <c r="Y122" s="108">
        <f t="shared" si="41"/>
        <v>1833.8241887891925</v>
      </c>
      <c r="Z122" s="108">
        <f t="shared" si="42"/>
        <v>4958.1172511707791</v>
      </c>
      <c r="AA122" s="108">
        <f t="shared" si="43"/>
        <v>205.82638461171788</v>
      </c>
      <c r="AB122" s="108">
        <f t="shared" si="44"/>
        <v>4752.2908665590612</v>
      </c>
      <c r="AC122" s="109">
        <f t="shared" si="45"/>
        <v>0.32133083127580209</v>
      </c>
      <c r="AD122" s="108">
        <f t="shared" si="46"/>
        <v>1593.1959378816014</v>
      </c>
      <c r="AE122" s="108">
        <f t="shared" si="47"/>
        <v>5525.6208723134932</v>
      </c>
      <c r="AF122" s="48">
        <f t="shared" si="48"/>
        <v>0.28832885474724118</v>
      </c>
      <c r="AG122" s="110"/>
    </row>
    <row r="123" spans="5:33" x14ac:dyDescent="0.4">
      <c r="E123" s="107">
        <v>119</v>
      </c>
      <c r="F123" s="107">
        <v>10</v>
      </c>
      <c r="G123" s="141">
        <f t="shared" si="49"/>
        <v>2865665.1926782895</v>
      </c>
      <c r="H123" s="141">
        <f t="shared" si="25"/>
        <v>1454988.8889545999</v>
      </c>
      <c r="I123" s="141">
        <f t="shared" si="26"/>
        <v>29491.398342184206</v>
      </c>
      <c r="J123" s="141">
        <f t="shared" si="27"/>
        <v>1425497.4906124156</v>
      </c>
      <c r="K123" s="108">
        <f t="shared" si="28"/>
        <v>1440167.7020658739</v>
      </c>
      <c r="L123" s="108">
        <f t="shared" si="29"/>
        <v>2985464.339626872</v>
      </c>
      <c r="M123" s="108">
        <f t="shared" si="30"/>
        <v>1431.7599972092924</v>
      </c>
      <c r="N123" s="108">
        <f t="shared" si="31"/>
        <v>12500</v>
      </c>
      <c r="O123" s="108">
        <f t="shared" si="32"/>
        <v>13931.759997209292</v>
      </c>
      <c r="P123" s="108">
        <f t="shared" si="33"/>
        <v>5572.7039988837168</v>
      </c>
      <c r="Q123" s="100">
        <f t="shared" si="34"/>
        <v>2.2333333333333333E-3</v>
      </c>
      <c r="R123" s="100">
        <f>20%</f>
        <v>0.2</v>
      </c>
      <c r="S123" s="108">
        <f t="shared" si="35"/>
        <v>1333.5074050333362</v>
      </c>
      <c r="T123" s="108">
        <f t="shared" si="36"/>
        <v>10613.325727373529</v>
      </c>
      <c r="U123" s="108">
        <f t="shared" si="37"/>
        <v>473.35973954774755</v>
      </c>
      <c r="V123" s="108">
        <f t="shared" si="38"/>
        <v>818.28833210981259</v>
      </c>
      <c r="W123" s="108">
        <f t="shared" si="39"/>
        <v>11904.97379903109</v>
      </c>
      <c r="X123" s="108">
        <f t="shared" si="40"/>
        <v>7025.5485932922393</v>
      </c>
      <c r="Y123" s="108">
        <f t="shared" si="41"/>
        <v>1896.8981201889048</v>
      </c>
      <c r="Z123" s="108">
        <f t="shared" si="42"/>
        <v>5128.6504731033347</v>
      </c>
      <c r="AA123" s="108">
        <f t="shared" si="43"/>
        <v>142.49538648861457</v>
      </c>
      <c r="AB123" s="108">
        <f t="shared" si="44"/>
        <v>4986.1550866147199</v>
      </c>
      <c r="AC123" s="109">
        <f t="shared" si="45"/>
        <v>0.31825411520162183</v>
      </c>
      <c r="AD123" s="108">
        <f t="shared" si="46"/>
        <v>1632.2141184958809</v>
      </c>
      <c r="AE123" s="108">
        <f t="shared" si="47"/>
        <v>3788.8069029091298</v>
      </c>
      <c r="AF123" s="48">
        <f t="shared" si="48"/>
        <v>0.43079897189868155</v>
      </c>
      <c r="AG123" s="110"/>
    </row>
    <row r="124" spans="5:33" x14ac:dyDescent="0.4">
      <c r="E124" s="107">
        <v>120</v>
      </c>
      <c r="F124" s="107">
        <v>10</v>
      </c>
      <c r="G124" s="141">
        <f t="shared" si="49"/>
        <v>1440167.7020658739</v>
      </c>
      <c r="H124" s="141">
        <f t="shared" si="25"/>
        <v>1454988.8889545999</v>
      </c>
      <c r="I124" s="141">
        <f t="shared" si="26"/>
        <v>14821.186888715818</v>
      </c>
      <c r="J124" s="141">
        <f t="shared" si="27"/>
        <v>1440167.7020658841</v>
      </c>
      <c r="K124" s="108">
        <f t="shared" si="28"/>
        <v>-1.0244548320770264E-8</v>
      </c>
      <c r="L124" s="108">
        <f t="shared" si="29"/>
        <v>1500373.9196698021</v>
      </c>
      <c r="M124" s="108">
        <f t="shared" si="30"/>
        <v>719.54480598747114</v>
      </c>
      <c r="N124" s="108">
        <f t="shared" si="31"/>
        <v>12500</v>
      </c>
      <c r="O124" s="108">
        <f t="shared" si="32"/>
        <v>13219.544805987471</v>
      </c>
      <c r="P124" s="108">
        <f t="shared" si="33"/>
        <v>5287.8179223949883</v>
      </c>
      <c r="Q124" s="100">
        <f t="shared" si="34"/>
        <v>2.2333333333333333E-3</v>
      </c>
      <c r="R124" s="100">
        <f>20%</f>
        <v>0.2</v>
      </c>
      <c r="S124" s="108">
        <f t="shared" si="35"/>
        <v>670.16701745251157</v>
      </c>
      <c r="T124" s="108">
        <f t="shared" si="36"/>
        <v>5333.8292844261459</v>
      </c>
      <c r="U124" s="108">
        <f t="shared" si="37"/>
        <v>449.16078711917839</v>
      </c>
      <c r="V124" s="108">
        <f t="shared" si="38"/>
        <v>776.45604523113263</v>
      </c>
      <c r="W124" s="108">
        <f t="shared" si="39"/>
        <v>6559.4461167764566</v>
      </c>
      <c r="X124" s="108">
        <f t="shared" si="40"/>
        <v>7261.5598661399708</v>
      </c>
      <c r="Y124" s="108">
        <f t="shared" si="41"/>
        <v>1960.6211638577922</v>
      </c>
      <c r="Z124" s="108">
        <f t="shared" si="42"/>
        <v>5300.9387022821784</v>
      </c>
      <c r="AA124" s="108">
        <f t="shared" si="43"/>
        <v>78.512630547525845</v>
      </c>
      <c r="AB124" s="108">
        <f t="shared" si="44"/>
        <v>5222.4260717346524</v>
      </c>
      <c r="AC124" s="109">
        <f t="shared" si="45"/>
        <v>0.31520685842882107</v>
      </c>
      <c r="AD124" s="108">
        <f t="shared" si="46"/>
        <v>1670.8922350701171</v>
      </c>
      <c r="AE124" s="108">
        <f t="shared" si="47"/>
        <v>2067.5824035022365</v>
      </c>
      <c r="AF124" s="48">
        <f t="shared" si="48"/>
        <v>0.80813815799545696</v>
      </c>
      <c r="AG124" s="110"/>
    </row>
    <row r="125" spans="5:33" x14ac:dyDescent="0.4">
      <c r="E125" s="107"/>
      <c r="F125" s="107"/>
      <c r="H125" s="108"/>
      <c r="I125" s="108"/>
      <c r="J125" s="108"/>
      <c r="K125" s="108"/>
      <c r="L125" s="108"/>
      <c r="M125" s="108"/>
      <c r="N125" s="108"/>
      <c r="O125" s="108"/>
      <c r="P125" s="108"/>
      <c r="R125" s="100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9"/>
      <c r="AD125" s="108"/>
      <c r="AE125" s="108"/>
      <c r="AF125" s="48"/>
      <c r="AG125" s="110"/>
    </row>
    <row r="126" spans="5:33" x14ac:dyDescent="0.4">
      <c r="E126" s="107"/>
      <c r="F126" s="107"/>
      <c r="H126" s="108"/>
      <c r="I126" s="108"/>
      <c r="J126" s="108"/>
      <c r="K126" s="108"/>
      <c r="L126" s="108"/>
      <c r="M126" s="108"/>
      <c r="N126" s="108"/>
      <c r="O126" s="108"/>
      <c r="P126" s="108"/>
      <c r="R126" s="100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9"/>
      <c r="AD126" s="108"/>
      <c r="AE126" s="108"/>
      <c r="AF126" s="48"/>
      <c r="AG126" s="110"/>
    </row>
    <row r="127" spans="5:33" x14ac:dyDescent="0.4">
      <c r="E127" s="107"/>
      <c r="F127" s="107"/>
      <c r="H127" s="108"/>
      <c r="I127" s="108"/>
      <c r="J127" s="108"/>
      <c r="K127" s="108"/>
      <c r="L127" s="108"/>
      <c r="M127" s="108"/>
      <c r="N127" s="108"/>
      <c r="O127" s="108"/>
      <c r="P127" s="108"/>
      <c r="R127" s="100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9"/>
      <c r="AD127" s="108"/>
      <c r="AE127" s="108"/>
      <c r="AF127" s="48"/>
      <c r="AG127" s="110"/>
    </row>
    <row r="128" spans="5:33" x14ac:dyDescent="0.4">
      <c r="E128" s="107"/>
      <c r="F128" s="107"/>
      <c r="H128" s="108"/>
      <c r="I128" s="108"/>
      <c r="J128" s="108"/>
      <c r="K128" s="108"/>
      <c r="L128" s="108"/>
      <c r="M128" s="108"/>
      <c r="N128" s="108"/>
      <c r="O128" s="108"/>
      <c r="P128" s="108"/>
      <c r="R128" s="100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9"/>
      <c r="AD128" s="108"/>
      <c r="AE128" s="108"/>
      <c r="AF128" s="48"/>
      <c r="AG128" s="110"/>
    </row>
    <row r="129" spans="5:33" x14ac:dyDescent="0.4">
      <c r="E129" s="107"/>
      <c r="F129" s="107"/>
      <c r="H129" s="108"/>
      <c r="I129" s="108"/>
      <c r="J129" s="108"/>
      <c r="K129" s="108"/>
      <c r="L129" s="108"/>
      <c r="M129" s="108"/>
      <c r="N129" s="108"/>
      <c r="O129" s="108"/>
      <c r="P129" s="108"/>
      <c r="R129" s="100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9"/>
      <c r="AD129" s="108"/>
      <c r="AE129" s="108"/>
      <c r="AF129" s="48"/>
      <c r="AG129" s="110"/>
    </row>
    <row r="130" spans="5:33" x14ac:dyDescent="0.4">
      <c r="E130" s="107"/>
      <c r="F130" s="107"/>
      <c r="H130" s="108"/>
      <c r="I130" s="108"/>
      <c r="J130" s="108"/>
      <c r="K130" s="108"/>
      <c r="L130" s="108"/>
      <c r="M130" s="108"/>
      <c r="N130" s="108"/>
      <c r="O130" s="108"/>
      <c r="P130" s="108"/>
      <c r="R130" s="100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9"/>
      <c r="AD130" s="108"/>
      <c r="AE130" s="108"/>
      <c r="AF130" s="48"/>
      <c r="AG130" s="110"/>
    </row>
    <row r="131" spans="5:33" x14ac:dyDescent="0.4">
      <c r="E131" s="107"/>
      <c r="F131" s="107"/>
      <c r="H131" s="108"/>
      <c r="I131" s="108"/>
      <c r="J131" s="108"/>
      <c r="K131" s="108"/>
      <c r="L131" s="108"/>
      <c r="M131" s="108"/>
      <c r="N131" s="108"/>
      <c r="O131" s="108"/>
      <c r="P131" s="108"/>
      <c r="R131" s="100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9"/>
      <c r="AD131" s="108"/>
      <c r="AE131" s="108"/>
      <c r="AF131" s="48"/>
      <c r="AG131" s="110"/>
    </row>
    <row r="132" spans="5:33" x14ac:dyDescent="0.4">
      <c r="E132" s="107"/>
      <c r="F132" s="107"/>
      <c r="H132" s="108"/>
      <c r="I132" s="108"/>
      <c r="J132" s="108"/>
      <c r="K132" s="108"/>
      <c r="L132" s="108"/>
      <c r="M132" s="108"/>
      <c r="N132" s="108"/>
      <c r="O132" s="108"/>
      <c r="P132" s="108"/>
      <c r="R132" s="100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9"/>
      <c r="AD132" s="108"/>
      <c r="AE132" s="108"/>
      <c r="AF132" s="48"/>
      <c r="AG132" s="110"/>
    </row>
    <row r="133" spans="5:33" x14ac:dyDescent="0.4">
      <c r="E133" s="107"/>
      <c r="F133" s="107"/>
      <c r="H133" s="108"/>
      <c r="I133" s="108"/>
      <c r="J133" s="108"/>
      <c r="K133" s="108"/>
      <c r="L133" s="108"/>
      <c r="M133" s="108"/>
      <c r="N133" s="108"/>
      <c r="O133" s="108"/>
      <c r="P133" s="108"/>
      <c r="R133" s="100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9"/>
      <c r="AD133" s="108"/>
      <c r="AE133" s="108"/>
      <c r="AF133" s="48"/>
      <c r="AG133" s="110"/>
    </row>
    <row r="134" spans="5:33" x14ac:dyDescent="0.4">
      <c r="E134" s="107"/>
      <c r="F134" s="107"/>
      <c r="H134" s="108"/>
      <c r="I134" s="108"/>
      <c r="J134" s="108"/>
      <c r="K134" s="108"/>
      <c r="L134" s="108"/>
      <c r="M134" s="108"/>
      <c r="N134" s="108"/>
      <c r="O134" s="108"/>
      <c r="P134" s="108"/>
      <c r="R134" s="100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9"/>
      <c r="AD134" s="108"/>
      <c r="AE134" s="108"/>
      <c r="AF134" s="48"/>
      <c r="AG134" s="110"/>
    </row>
    <row r="135" spans="5:33" x14ac:dyDescent="0.4">
      <c r="E135" s="107"/>
      <c r="F135" s="107"/>
      <c r="H135" s="108"/>
      <c r="I135" s="108"/>
      <c r="J135" s="108"/>
      <c r="K135" s="108"/>
      <c r="L135" s="108"/>
      <c r="M135" s="108"/>
      <c r="N135" s="108"/>
      <c r="O135" s="108"/>
      <c r="P135" s="108"/>
      <c r="R135" s="100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9"/>
      <c r="AD135" s="108"/>
      <c r="AE135" s="108"/>
      <c r="AF135" s="48"/>
      <c r="AG135" s="110"/>
    </row>
    <row r="136" spans="5:33" x14ac:dyDescent="0.4">
      <c r="E136" s="107"/>
      <c r="F136" s="107"/>
      <c r="H136" s="108"/>
      <c r="I136" s="108"/>
      <c r="J136" s="108"/>
      <c r="K136" s="108"/>
      <c r="L136" s="108"/>
      <c r="M136" s="108"/>
      <c r="N136" s="108"/>
      <c r="O136" s="108"/>
      <c r="P136" s="108"/>
      <c r="R136" s="100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9"/>
      <c r="AD136" s="108"/>
      <c r="AE136" s="108"/>
      <c r="AF136" s="48"/>
      <c r="AG136" s="110"/>
    </row>
    <row r="137" spans="5:33" x14ac:dyDescent="0.4">
      <c r="E137" s="107"/>
      <c r="F137" s="107"/>
      <c r="H137" s="108"/>
      <c r="I137" s="108"/>
      <c r="J137" s="108"/>
      <c r="K137" s="108"/>
      <c r="L137" s="108"/>
      <c r="M137" s="108"/>
      <c r="N137" s="108"/>
      <c r="O137" s="108"/>
      <c r="P137" s="108"/>
      <c r="R137" s="100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9"/>
      <c r="AD137" s="108"/>
      <c r="AE137" s="108"/>
      <c r="AF137" s="48"/>
      <c r="AG137" s="110"/>
    </row>
    <row r="138" spans="5:33" x14ac:dyDescent="0.4">
      <c r="E138" s="107"/>
      <c r="F138" s="107"/>
      <c r="H138" s="108"/>
      <c r="I138" s="108"/>
      <c r="J138" s="108"/>
      <c r="K138" s="108"/>
      <c r="L138" s="108"/>
      <c r="M138" s="108"/>
      <c r="N138" s="108"/>
      <c r="O138" s="108"/>
      <c r="P138" s="108"/>
      <c r="R138" s="100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9"/>
      <c r="AD138" s="108"/>
      <c r="AE138" s="108"/>
      <c r="AF138" s="48"/>
      <c r="AG138" s="110"/>
    </row>
    <row r="139" spans="5:33" x14ac:dyDescent="0.4">
      <c r="E139" s="107"/>
      <c r="F139" s="107"/>
      <c r="H139" s="108"/>
      <c r="I139" s="108"/>
      <c r="J139" s="108"/>
      <c r="K139" s="108"/>
      <c r="L139" s="108"/>
      <c r="M139" s="108"/>
      <c r="N139" s="108"/>
      <c r="O139" s="108"/>
      <c r="P139" s="108"/>
      <c r="R139" s="100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9"/>
      <c r="AD139" s="108"/>
      <c r="AE139" s="108"/>
      <c r="AF139" s="48"/>
      <c r="AG139" s="110"/>
    </row>
    <row r="140" spans="5:33" x14ac:dyDescent="0.4">
      <c r="E140" s="107"/>
      <c r="F140" s="107"/>
      <c r="H140" s="108"/>
      <c r="I140" s="108"/>
      <c r="J140" s="108"/>
      <c r="K140" s="108"/>
      <c r="L140" s="108"/>
      <c r="M140" s="108"/>
      <c r="N140" s="108"/>
      <c r="O140" s="108"/>
      <c r="P140" s="108"/>
      <c r="R140" s="100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9"/>
      <c r="AD140" s="108"/>
      <c r="AE140" s="108"/>
      <c r="AF140" s="48"/>
      <c r="AG140" s="110"/>
    </row>
    <row r="141" spans="5:33" x14ac:dyDescent="0.4">
      <c r="E141" s="107"/>
      <c r="F141" s="107"/>
      <c r="H141" s="108"/>
      <c r="I141" s="108"/>
      <c r="J141" s="108"/>
      <c r="K141" s="108"/>
      <c r="L141" s="108"/>
      <c r="M141" s="108"/>
      <c r="N141" s="108"/>
      <c r="O141" s="108"/>
      <c r="P141" s="108"/>
      <c r="R141" s="100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9"/>
      <c r="AD141" s="108"/>
      <c r="AE141" s="108"/>
      <c r="AF141" s="48"/>
      <c r="AG141" s="110"/>
    </row>
    <row r="142" spans="5:33" x14ac:dyDescent="0.4">
      <c r="E142" s="107"/>
      <c r="F142" s="107"/>
      <c r="H142" s="108"/>
      <c r="I142" s="108"/>
      <c r="J142" s="108"/>
      <c r="K142" s="108"/>
      <c r="L142" s="108"/>
      <c r="M142" s="108"/>
      <c r="N142" s="108"/>
      <c r="O142" s="108"/>
      <c r="P142" s="108"/>
      <c r="R142" s="100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9"/>
      <c r="AD142" s="108"/>
      <c r="AE142" s="108"/>
      <c r="AF142" s="48"/>
      <c r="AG142" s="110"/>
    </row>
    <row r="143" spans="5:33" x14ac:dyDescent="0.4">
      <c r="E143" s="107"/>
      <c r="F143" s="107"/>
      <c r="H143" s="108"/>
      <c r="I143" s="108"/>
      <c r="J143" s="108"/>
      <c r="K143" s="108"/>
      <c r="L143" s="108"/>
      <c r="M143" s="108"/>
      <c r="N143" s="108"/>
      <c r="O143" s="108"/>
      <c r="P143" s="108"/>
      <c r="R143" s="100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9"/>
      <c r="AD143" s="108"/>
      <c r="AE143" s="108"/>
      <c r="AF143" s="48"/>
      <c r="AG143" s="110"/>
    </row>
    <row r="144" spans="5:33" x14ac:dyDescent="0.4">
      <c r="E144" s="107"/>
      <c r="F144" s="107"/>
      <c r="H144" s="108"/>
      <c r="I144" s="108"/>
      <c r="J144" s="108"/>
      <c r="K144" s="108"/>
      <c r="L144" s="108"/>
      <c r="M144" s="108"/>
      <c r="N144" s="108"/>
      <c r="O144" s="108"/>
      <c r="P144" s="108"/>
      <c r="R144" s="100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9"/>
      <c r="AD144" s="108"/>
      <c r="AE144" s="108"/>
      <c r="AF144" s="48"/>
      <c r="AG144" s="110"/>
    </row>
    <row r="145" spans="5:33" x14ac:dyDescent="0.4">
      <c r="E145" s="107"/>
      <c r="F145" s="107"/>
      <c r="H145" s="108"/>
      <c r="I145" s="108"/>
      <c r="J145" s="108"/>
      <c r="K145" s="108"/>
      <c r="L145" s="108"/>
      <c r="M145" s="108"/>
      <c r="N145" s="108"/>
      <c r="O145" s="108"/>
      <c r="P145" s="108"/>
      <c r="R145" s="100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9"/>
      <c r="AD145" s="108"/>
      <c r="AE145" s="108"/>
      <c r="AF145" s="48"/>
      <c r="AG145" s="110"/>
    </row>
    <row r="146" spans="5:33" x14ac:dyDescent="0.4">
      <c r="E146" s="107"/>
      <c r="F146" s="107"/>
      <c r="H146" s="108"/>
      <c r="I146" s="108"/>
      <c r="J146" s="108"/>
      <c r="K146" s="108"/>
      <c r="L146" s="108"/>
      <c r="M146" s="108"/>
      <c r="N146" s="108"/>
      <c r="O146" s="108"/>
      <c r="P146" s="108"/>
      <c r="R146" s="100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9"/>
      <c r="AD146" s="108"/>
      <c r="AE146" s="108"/>
      <c r="AF146" s="48"/>
      <c r="AG146" s="110"/>
    </row>
    <row r="147" spans="5:33" x14ac:dyDescent="0.4">
      <c r="E147" s="107"/>
      <c r="F147" s="107"/>
      <c r="H147" s="108"/>
      <c r="I147" s="108"/>
      <c r="J147" s="108"/>
      <c r="K147" s="108"/>
      <c r="L147" s="108"/>
      <c r="M147" s="108"/>
      <c r="N147" s="108"/>
      <c r="O147" s="108"/>
      <c r="P147" s="108"/>
      <c r="R147" s="100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9"/>
      <c r="AD147" s="108"/>
      <c r="AE147" s="108"/>
      <c r="AF147" s="48"/>
      <c r="AG147" s="110"/>
    </row>
    <row r="148" spans="5:33" x14ac:dyDescent="0.4">
      <c r="E148" s="107"/>
      <c r="F148" s="107"/>
      <c r="H148" s="108"/>
      <c r="I148" s="108"/>
      <c r="J148" s="108"/>
      <c r="K148" s="108"/>
      <c r="L148" s="108"/>
      <c r="M148" s="108"/>
      <c r="N148" s="108"/>
      <c r="O148" s="108"/>
      <c r="P148" s="108"/>
      <c r="R148" s="100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9"/>
      <c r="AD148" s="108"/>
      <c r="AE148" s="108"/>
      <c r="AF148" s="48"/>
      <c r="AG148" s="110"/>
    </row>
    <row r="149" spans="5:33" x14ac:dyDescent="0.4">
      <c r="E149" s="107"/>
      <c r="F149" s="107"/>
      <c r="H149" s="108"/>
      <c r="I149" s="108"/>
      <c r="J149" s="108"/>
      <c r="K149" s="108"/>
      <c r="L149" s="108"/>
      <c r="M149" s="108"/>
      <c r="N149" s="108"/>
      <c r="O149" s="108"/>
      <c r="P149" s="108"/>
      <c r="R149" s="100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9"/>
      <c r="AD149" s="108"/>
      <c r="AE149" s="108"/>
      <c r="AF149" s="48"/>
      <c r="AG149" s="110"/>
    </row>
    <row r="150" spans="5:33" x14ac:dyDescent="0.4">
      <c r="E150" s="107"/>
      <c r="F150" s="107"/>
      <c r="H150" s="108"/>
      <c r="I150" s="108"/>
      <c r="J150" s="108"/>
      <c r="K150" s="108"/>
      <c r="L150" s="108"/>
      <c r="M150" s="108"/>
      <c r="N150" s="108"/>
      <c r="O150" s="108"/>
      <c r="P150" s="108"/>
      <c r="R150" s="100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9"/>
      <c r="AD150" s="108"/>
      <c r="AE150" s="108"/>
      <c r="AF150" s="48"/>
      <c r="AG150" s="110"/>
    </row>
    <row r="151" spans="5:33" x14ac:dyDescent="0.4">
      <c r="E151" s="107"/>
      <c r="F151" s="107"/>
      <c r="H151" s="108"/>
      <c r="I151" s="108"/>
      <c r="J151" s="108"/>
      <c r="K151" s="108"/>
      <c r="L151" s="108"/>
      <c r="M151" s="108"/>
      <c r="N151" s="108"/>
      <c r="O151" s="108"/>
      <c r="P151" s="108"/>
      <c r="R151" s="100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9"/>
      <c r="AD151" s="108"/>
      <c r="AE151" s="108"/>
      <c r="AF151" s="48"/>
      <c r="AG151" s="110"/>
    </row>
    <row r="152" spans="5:33" x14ac:dyDescent="0.4">
      <c r="E152" s="107"/>
      <c r="F152" s="107"/>
      <c r="H152" s="108"/>
      <c r="I152" s="108"/>
      <c r="J152" s="108"/>
      <c r="K152" s="108"/>
      <c r="L152" s="108"/>
      <c r="M152" s="108"/>
      <c r="N152" s="108"/>
      <c r="O152" s="108"/>
      <c r="P152" s="108"/>
      <c r="R152" s="100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9"/>
      <c r="AD152" s="108"/>
      <c r="AE152" s="108"/>
      <c r="AF152" s="48"/>
      <c r="AG152" s="110"/>
    </row>
    <row r="153" spans="5:33" x14ac:dyDescent="0.4">
      <c r="E153" s="107"/>
      <c r="F153" s="107"/>
      <c r="H153" s="108"/>
      <c r="I153" s="108"/>
      <c r="J153" s="108"/>
      <c r="K153" s="108"/>
      <c r="L153" s="108"/>
      <c r="M153" s="108"/>
      <c r="N153" s="108"/>
      <c r="O153" s="108"/>
      <c r="P153" s="108"/>
      <c r="R153" s="100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9"/>
      <c r="AD153" s="108"/>
      <c r="AE153" s="108"/>
      <c r="AF153" s="48"/>
      <c r="AG153" s="110"/>
    </row>
    <row r="154" spans="5:33" x14ac:dyDescent="0.4">
      <c r="E154" s="107"/>
      <c r="F154" s="107"/>
      <c r="H154" s="108"/>
      <c r="I154" s="108"/>
      <c r="J154" s="108"/>
      <c r="K154" s="108"/>
      <c r="L154" s="108"/>
      <c r="M154" s="108"/>
      <c r="N154" s="108"/>
      <c r="O154" s="108"/>
      <c r="P154" s="108"/>
      <c r="R154" s="100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9"/>
      <c r="AD154" s="108"/>
      <c r="AE154" s="108"/>
      <c r="AF154" s="48"/>
      <c r="AG154" s="110"/>
    </row>
    <row r="155" spans="5:33" x14ac:dyDescent="0.4">
      <c r="E155" s="107"/>
      <c r="F155" s="107"/>
      <c r="H155" s="108"/>
      <c r="I155" s="108"/>
      <c r="J155" s="108"/>
      <c r="K155" s="108"/>
      <c r="L155" s="108"/>
      <c r="M155" s="108"/>
      <c r="N155" s="108"/>
      <c r="O155" s="108"/>
      <c r="P155" s="108"/>
      <c r="R155" s="100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9"/>
      <c r="AD155" s="108"/>
      <c r="AE155" s="108"/>
      <c r="AF155" s="48"/>
      <c r="AG155" s="110"/>
    </row>
    <row r="156" spans="5:33" x14ac:dyDescent="0.4">
      <c r="E156" s="107"/>
      <c r="F156" s="107"/>
      <c r="H156" s="108"/>
      <c r="I156" s="108"/>
      <c r="J156" s="108"/>
      <c r="K156" s="108"/>
      <c r="L156" s="108"/>
      <c r="M156" s="108"/>
      <c r="N156" s="108"/>
      <c r="O156" s="108"/>
      <c r="P156" s="108"/>
      <c r="R156" s="100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9"/>
      <c r="AD156" s="108"/>
      <c r="AE156" s="108"/>
      <c r="AF156" s="48"/>
      <c r="AG156" s="110"/>
    </row>
    <row r="157" spans="5:33" x14ac:dyDescent="0.4">
      <c r="E157" s="107"/>
      <c r="F157" s="107"/>
      <c r="H157" s="108"/>
      <c r="I157" s="108"/>
      <c r="J157" s="108"/>
      <c r="K157" s="108"/>
      <c r="L157" s="108"/>
      <c r="M157" s="108"/>
      <c r="N157" s="108"/>
      <c r="O157" s="108"/>
      <c r="P157" s="108"/>
      <c r="R157" s="100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9"/>
      <c r="AD157" s="108"/>
      <c r="AE157" s="108"/>
      <c r="AF157" s="48"/>
      <c r="AG157" s="110"/>
    </row>
    <row r="158" spans="5:33" x14ac:dyDescent="0.4">
      <c r="E158" s="107"/>
      <c r="F158" s="107"/>
      <c r="H158" s="108"/>
      <c r="I158" s="108"/>
      <c r="J158" s="108"/>
      <c r="K158" s="108"/>
      <c r="L158" s="108"/>
      <c r="M158" s="108"/>
      <c r="N158" s="108"/>
      <c r="O158" s="108"/>
      <c r="P158" s="108"/>
      <c r="R158" s="100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9"/>
      <c r="AD158" s="108"/>
      <c r="AE158" s="108"/>
      <c r="AF158" s="48"/>
      <c r="AG158" s="110"/>
    </row>
    <row r="159" spans="5:33" x14ac:dyDescent="0.4">
      <c r="E159" s="107"/>
      <c r="F159" s="107"/>
      <c r="H159" s="108"/>
      <c r="I159" s="108"/>
      <c r="J159" s="108"/>
      <c r="K159" s="108"/>
      <c r="L159" s="108"/>
      <c r="M159" s="108"/>
      <c r="N159" s="108"/>
      <c r="O159" s="108"/>
      <c r="P159" s="108"/>
      <c r="R159" s="100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9"/>
      <c r="AD159" s="108"/>
      <c r="AE159" s="108"/>
      <c r="AF159" s="48"/>
      <c r="AG159" s="110"/>
    </row>
    <row r="160" spans="5:33" x14ac:dyDescent="0.4">
      <c r="E160" s="107"/>
      <c r="F160" s="107"/>
      <c r="H160" s="108"/>
      <c r="I160" s="108"/>
      <c r="J160" s="108"/>
      <c r="K160" s="108"/>
      <c r="L160" s="108"/>
      <c r="M160" s="108"/>
      <c r="N160" s="108"/>
      <c r="O160" s="108"/>
      <c r="P160" s="108"/>
      <c r="R160" s="100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9"/>
      <c r="AD160" s="108"/>
      <c r="AE160" s="108"/>
      <c r="AF160" s="48"/>
      <c r="AG160" s="110"/>
    </row>
    <row r="161" spans="5:33" x14ac:dyDescent="0.4">
      <c r="E161" s="107"/>
      <c r="F161" s="107"/>
      <c r="H161" s="108"/>
      <c r="I161" s="108"/>
      <c r="J161" s="108"/>
      <c r="K161" s="108"/>
      <c r="L161" s="108"/>
      <c r="M161" s="108"/>
      <c r="N161" s="108"/>
      <c r="O161" s="108"/>
      <c r="P161" s="108"/>
      <c r="R161" s="100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9"/>
      <c r="AD161" s="108"/>
      <c r="AE161" s="108"/>
      <c r="AF161" s="48"/>
      <c r="AG161" s="110"/>
    </row>
    <row r="162" spans="5:33" x14ac:dyDescent="0.4">
      <c r="E162" s="107"/>
      <c r="F162" s="107"/>
      <c r="H162" s="108"/>
      <c r="I162" s="108"/>
      <c r="J162" s="108"/>
      <c r="K162" s="108"/>
      <c r="L162" s="108"/>
      <c r="M162" s="108"/>
      <c r="N162" s="108"/>
      <c r="O162" s="108"/>
      <c r="P162" s="108"/>
      <c r="R162" s="100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9"/>
      <c r="AD162" s="108"/>
      <c r="AE162" s="108"/>
      <c r="AF162" s="48"/>
      <c r="AG162" s="110"/>
    </row>
    <row r="163" spans="5:33" x14ac:dyDescent="0.4">
      <c r="E163" s="107"/>
      <c r="F163" s="107"/>
      <c r="H163" s="108"/>
      <c r="I163" s="108"/>
      <c r="J163" s="108"/>
      <c r="K163" s="108"/>
      <c r="L163" s="108"/>
      <c r="M163" s="108"/>
      <c r="N163" s="108"/>
      <c r="O163" s="108"/>
      <c r="P163" s="108"/>
      <c r="R163" s="100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9"/>
      <c r="AD163" s="108"/>
      <c r="AE163" s="108"/>
      <c r="AF163" s="48"/>
      <c r="AG163" s="110"/>
    </row>
    <row r="164" spans="5:33" x14ac:dyDescent="0.4">
      <c r="E164" s="107"/>
      <c r="F164" s="107"/>
      <c r="H164" s="108"/>
      <c r="I164" s="108"/>
      <c r="J164" s="108"/>
      <c r="K164" s="108"/>
      <c r="L164" s="108"/>
      <c r="M164" s="108"/>
      <c r="N164" s="108"/>
      <c r="O164" s="108"/>
      <c r="P164" s="108"/>
      <c r="R164" s="100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9"/>
      <c r="AD164" s="108"/>
      <c r="AE164" s="108"/>
      <c r="AF164" s="48"/>
      <c r="AG164" s="110"/>
    </row>
    <row r="165" spans="5:33" x14ac:dyDescent="0.4">
      <c r="E165" s="107"/>
      <c r="F165" s="107"/>
      <c r="H165" s="108"/>
      <c r="I165" s="108"/>
      <c r="J165" s="108"/>
      <c r="K165" s="108"/>
      <c r="L165" s="108"/>
      <c r="M165" s="108"/>
      <c r="N165" s="108"/>
      <c r="O165" s="108"/>
      <c r="P165" s="108"/>
      <c r="R165" s="100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9"/>
      <c r="AD165" s="108"/>
      <c r="AE165" s="108"/>
      <c r="AF165" s="48"/>
      <c r="AG165" s="110"/>
    </row>
    <row r="166" spans="5:33" x14ac:dyDescent="0.4">
      <c r="E166" s="107"/>
      <c r="F166" s="107"/>
      <c r="H166" s="108"/>
      <c r="I166" s="108"/>
      <c r="J166" s="108"/>
      <c r="K166" s="108"/>
      <c r="L166" s="108"/>
      <c r="M166" s="108"/>
      <c r="N166" s="108"/>
      <c r="O166" s="108"/>
      <c r="P166" s="108"/>
      <c r="R166" s="100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9"/>
      <c r="AD166" s="108"/>
      <c r="AE166" s="108"/>
      <c r="AF166" s="48"/>
      <c r="AG166" s="110"/>
    </row>
    <row r="167" spans="5:33" x14ac:dyDescent="0.4">
      <c r="E167" s="107"/>
      <c r="F167" s="107"/>
      <c r="H167" s="108"/>
      <c r="I167" s="108"/>
      <c r="J167" s="108"/>
      <c r="K167" s="108"/>
      <c r="L167" s="108"/>
      <c r="M167" s="108"/>
      <c r="N167" s="108"/>
      <c r="O167" s="108"/>
      <c r="P167" s="108"/>
      <c r="R167" s="100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9"/>
      <c r="AD167" s="108"/>
      <c r="AE167" s="108"/>
      <c r="AF167" s="48"/>
      <c r="AG167" s="110"/>
    </row>
    <row r="168" spans="5:33" x14ac:dyDescent="0.4">
      <c r="E168" s="107"/>
      <c r="F168" s="107"/>
      <c r="H168" s="108"/>
      <c r="I168" s="108"/>
      <c r="J168" s="108"/>
      <c r="K168" s="108"/>
      <c r="L168" s="108"/>
      <c r="M168" s="108"/>
      <c r="N168" s="108"/>
      <c r="O168" s="108"/>
      <c r="P168" s="108"/>
      <c r="R168" s="100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9"/>
      <c r="AD168" s="108"/>
      <c r="AE168" s="108"/>
      <c r="AF168" s="48"/>
      <c r="AG168" s="110"/>
    </row>
    <row r="169" spans="5:33" x14ac:dyDescent="0.4">
      <c r="E169" s="107"/>
      <c r="F169" s="107"/>
      <c r="H169" s="108"/>
      <c r="I169" s="108"/>
      <c r="J169" s="108"/>
      <c r="K169" s="108"/>
      <c r="L169" s="108"/>
      <c r="M169" s="108"/>
      <c r="N169" s="108"/>
      <c r="O169" s="108"/>
      <c r="P169" s="108"/>
      <c r="R169" s="100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9"/>
      <c r="AD169" s="108"/>
      <c r="AE169" s="108"/>
      <c r="AF169" s="48"/>
      <c r="AG169" s="110"/>
    </row>
    <row r="170" spans="5:33" x14ac:dyDescent="0.4">
      <c r="E170" s="107"/>
      <c r="F170" s="107"/>
      <c r="H170" s="108"/>
      <c r="I170" s="108"/>
      <c r="J170" s="108"/>
      <c r="K170" s="108"/>
      <c r="L170" s="108"/>
      <c r="M170" s="108"/>
      <c r="N170" s="108"/>
      <c r="O170" s="108"/>
      <c r="P170" s="108"/>
      <c r="R170" s="100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9"/>
      <c r="AD170" s="108"/>
      <c r="AE170" s="108"/>
      <c r="AF170" s="48"/>
      <c r="AG170" s="110"/>
    </row>
    <row r="171" spans="5:33" x14ac:dyDescent="0.4">
      <c r="E171" s="107"/>
      <c r="F171" s="107"/>
      <c r="H171" s="108"/>
      <c r="I171" s="108"/>
      <c r="J171" s="108"/>
      <c r="K171" s="108"/>
      <c r="L171" s="108"/>
      <c r="M171" s="108"/>
      <c r="N171" s="108"/>
      <c r="O171" s="108"/>
      <c r="P171" s="108"/>
      <c r="R171" s="100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9"/>
      <c r="AD171" s="108"/>
      <c r="AE171" s="108"/>
      <c r="AF171" s="48"/>
      <c r="AG171" s="110"/>
    </row>
    <row r="172" spans="5:33" x14ac:dyDescent="0.4">
      <c r="E172" s="107"/>
      <c r="F172" s="107"/>
      <c r="H172" s="108"/>
      <c r="I172" s="108"/>
      <c r="J172" s="108"/>
      <c r="K172" s="108"/>
      <c r="L172" s="108"/>
      <c r="M172" s="108"/>
      <c r="N172" s="108"/>
      <c r="O172" s="108"/>
      <c r="P172" s="108"/>
      <c r="R172" s="100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9"/>
      <c r="AD172" s="108"/>
      <c r="AE172" s="108"/>
      <c r="AF172" s="48"/>
      <c r="AG172" s="110"/>
    </row>
    <row r="173" spans="5:33" x14ac:dyDescent="0.4">
      <c r="E173" s="107"/>
      <c r="F173" s="107"/>
      <c r="H173" s="108"/>
      <c r="I173" s="108"/>
      <c r="J173" s="108"/>
      <c r="K173" s="108"/>
      <c r="L173" s="108"/>
      <c r="M173" s="108"/>
      <c r="N173" s="108"/>
      <c r="O173" s="108"/>
      <c r="P173" s="108"/>
      <c r="R173" s="100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9"/>
      <c r="AD173" s="108"/>
      <c r="AE173" s="108"/>
      <c r="AF173" s="48"/>
      <c r="AG173" s="110"/>
    </row>
    <row r="174" spans="5:33" x14ac:dyDescent="0.4">
      <c r="E174" s="107"/>
      <c r="F174" s="107"/>
      <c r="H174" s="108"/>
      <c r="I174" s="108"/>
      <c r="J174" s="108"/>
      <c r="K174" s="108"/>
      <c r="L174" s="108"/>
      <c r="M174" s="108"/>
      <c r="N174" s="108"/>
      <c r="O174" s="108"/>
      <c r="P174" s="108"/>
      <c r="R174" s="100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9"/>
      <c r="AD174" s="108"/>
      <c r="AE174" s="108"/>
      <c r="AF174" s="48"/>
      <c r="AG174" s="110"/>
    </row>
    <row r="175" spans="5:33" x14ac:dyDescent="0.4">
      <c r="E175" s="107"/>
      <c r="F175" s="107"/>
      <c r="H175" s="108"/>
      <c r="I175" s="108"/>
      <c r="J175" s="108"/>
      <c r="K175" s="108"/>
      <c r="L175" s="108"/>
      <c r="M175" s="108"/>
      <c r="N175" s="108"/>
      <c r="O175" s="108"/>
      <c r="P175" s="108"/>
      <c r="R175" s="100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9"/>
      <c r="AD175" s="108"/>
      <c r="AE175" s="108"/>
      <c r="AF175" s="48"/>
      <c r="AG175" s="110"/>
    </row>
    <row r="176" spans="5:33" x14ac:dyDescent="0.4">
      <c r="E176" s="107"/>
      <c r="F176" s="107"/>
      <c r="H176" s="108"/>
      <c r="I176" s="108"/>
      <c r="J176" s="108"/>
      <c r="K176" s="108"/>
      <c r="L176" s="108"/>
      <c r="M176" s="108"/>
      <c r="N176" s="108"/>
      <c r="O176" s="108"/>
      <c r="P176" s="108"/>
      <c r="R176" s="100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9"/>
      <c r="AD176" s="108"/>
      <c r="AE176" s="108"/>
      <c r="AF176" s="48"/>
      <c r="AG176" s="110"/>
    </row>
    <row r="177" spans="5:33" x14ac:dyDescent="0.4">
      <c r="E177" s="107"/>
      <c r="F177" s="107"/>
      <c r="H177" s="108"/>
      <c r="I177" s="108"/>
      <c r="J177" s="108"/>
      <c r="K177" s="108"/>
      <c r="L177" s="108"/>
      <c r="M177" s="108"/>
      <c r="N177" s="108"/>
      <c r="O177" s="108"/>
      <c r="P177" s="108"/>
      <c r="R177" s="100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9"/>
      <c r="AD177" s="108"/>
      <c r="AE177" s="108"/>
      <c r="AF177" s="48"/>
      <c r="AG177" s="110"/>
    </row>
    <row r="178" spans="5:33" x14ac:dyDescent="0.4">
      <c r="E178" s="107"/>
      <c r="F178" s="107"/>
      <c r="H178" s="108"/>
      <c r="I178" s="108"/>
      <c r="J178" s="108"/>
      <c r="K178" s="108"/>
      <c r="L178" s="108"/>
      <c r="M178" s="108"/>
      <c r="N178" s="108"/>
      <c r="O178" s="108"/>
      <c r="P178" s="108"/>
      <c r="R178" s="100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9"/>
      <c r="AD178" s="108"/>
      <c r="AE178" s="108"/>
      <c r="AF178" s="48"/>
      <c r="AG178" s="110"/>
    </row>
    <row r="179" spans="5:33" x14ac:dyDescent="0.4">
      <c r="E179" s="107"/>
      <c r="F179" s="107"/>
      <c r="H179" s="108"/>
      <c r="I179" s="108"/>
      <c r="J179" s="108"/>
      <c r="K179" s="108"/>
      <c r="L179" s="108"/>
      <c r="M179" s="108"/>
      <c r="N179" s="108"/>
      <c r="O179" s="108"/>
      <c r="P179" s="108"/>
      <c r="R179" s="100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9"/>
      <c r="AD179" s="108"/>
      <c r="AE179" s="108"/>
      <c r="AF179" s="48"/>
      <c r="AG179" s="110"/>
    </row>
    <row r="180" spans="5:33" x14ac:dyDescent="0.4">
      <c r="E180" s="107"/>
      <c r="F180" s="107"/>
      <c r="H180" s="108"/>
      <c r="I180" s="108"/>
      <c r="J180" s="108"/>
      <c r="K180" s="108"/>
      <c r="L180" s="108"/>
      <c r="M180" s="108"/>
      <c r="N180" s="108"/>
      <c r="O180" s="108"/>
      <c r="P180" s="108"/>
      <c r="R180" s="100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9"/>
      <c r="AD180" s="108"/>
      <c r="AE180" s="108"/>
      <c r="AF180" s="48"/>
      <c r="AG180" s="110"/>
    </row>
    <row r="181" spans="5:33" x14ac:dyDescent="0.4">
      <c r="E181" s="107"/>
      <c r="F181" s="107"/>
      <c r="H181" s="108"/>
      <c r="I181" s="108"/>
      <c r="J181" s="108"/>
      <c r="K181" s="108"/>
      <c r="L181" s="108"/>
      <c r="M181" s="108"/>
      <c r="N181" s="108"/>
      <c r="O181" s="108"/>
      <c r="P181" s="108"/>
      <c r="R181" s="100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9"/>
      <c r="AD181" s="108"/>
      <c r="AE181" s="108"/>
      <c r="AF181" s="48"/>
      <c r="AG181" s="110"/>
    </row>
    <row r="182" spans="5:33" x14ac:dyDescent="0.4">
      <c r="E182" s="107"/>
      <c r="F182" s="107"/>
      <c r="H182" s="108"/>
      <c r="I182" s="108"/>
      <c r="J182" s="108"/>
      <c r="K182" s="108"/>
      <c r="L182" s="108"/>
      <c r="M182" s="108"/>
      <c r="N182" s="108"/>
      <c r="O182" s="108"/>
      <c r="P182" s="108"/>
      <c r="R182" s="100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9"/>
      <c r="AD182" s="108"/>
      <c r="AE182" s="108"/>
      <c r="AF182" s="48"/>
      <c r="AG182" s="110"/>
    </row>
    <row r="183" spans="5:33" x14ac:dyDescent="0.4">
      <c r="E183" s="107"/>
      <c r="F183" s="107"/>
      <c r="H183" s="108"/>
      <c r="I183" s="108"/>
      <c r="J183" s="108"/>
      <c r="K183" s="108"/>
      <c r="L183" s="108"/>
      <c r="M183" s="108"/>
      <c r="N183" s="108"/>
      <c r="O183" s="108"/>
      <c r="P183" s="108"/>
      <c r="R183" s="100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9"/>
      <c r="AD183" s="108"/>
      <c r="AE183" s="108"/>
      <c r="AF183" s="48"/>
      <c r="AG183" s="110"/>
    </row>
    <row r="184" spans="5:33" x14ac:dyDescent="0.4">
      <c r="E184" s="107"/>
      <c r="F184" s="107"/>
      <c r="H184" s="108"/>
      <c r="I184" s="108"/>
      <c r="J184" s="108"/>
      <c r="K184" s="108"/>
      <c r="L184" s="108"/>
      <c r="M184" s="108"/>
      <c r="N184" s="108"/>
      <c r="O184" s="108"/>
      <c r="P184" s="108"/>
      <c r="R184" s="100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9"/>
      <c r="AD184" s="108"/>
      <c r="AE184" s="108"/>
      <c r="AF184" s="48"/>
      <c r="AG184" s="110"/>
    </row>
    <row r="185" spans="5:33" x14ac:dyDescent="0.4">
      <c r="E185" s="107"/>
      <c r="F185" s="107"/>
      <c r="H185" s="108"/>
      <c r="I185" s="108"/>
      <c r="J185" s="108"/>
      <c r="K185" s="108"/>
      <c r="L185" s="108"/>
      <c r="M185" s="108"/>
      <c r="N185" s="108"/>
      <c r="O185" s="108"/>
      <c r="P185" s="108"/>
      <c r="R185" s="100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9"/>
      <c r="AD185" s="108"/>
      <c r="AE185" s="108"/>
      <c r="AF185" s="48"/>
      <c r="AG185" s="110"/>
    </row>
    <row r="186" spans="5:33" x14ac:dyDescent="0.4">
      <c r="E186" s="107"/>
      <c r="F186" s="107"/>
      <c r="H186" s="108"/>
      <c r="I186" s="108"/>
      <c r="J186" s="108"/>
      <c r="K186" s="108"/>
      <c r="L186" s="108"/>
      <c r="M186" s="108"/>
      <c r="N186" s="108"/>
      <c r="O186" s="108"/>
      <c r="P186" s="108"/>
      <c r="R186" s="100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9"/>
      <c r="AD186" s="108"/>
      <c r="AE186" s="108"/>
      <c r="AF186" s="48"/>
      <c r="AG186" s="110"/>
    </row>
    <row r="187" spans="5:33" x14ac:dyDescent="0.4">
      <c r="E187" s="107"/>
      <c r="F187" s="107"/>
      <c r="H187" s="108"/>
      <c r="I187" s="108"/>
      <c r="J187" s="108"/>
      <c r="K187" s="108"/>
      <c r="L187" s="108"/>
      <c r="M187" s="108"/>
      <c r="N187" s="108"/>
      <c r="O187" s="108"/>
      <c r="P187" s="108"/>
      <c r="R187" s="100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9"/>
      <c r="AD187" s="108"/>
      <c r="AE187" s="108"/>
      <c r="AF187" s="48"/>
      <c r="AG187" s="110"/>
    </row>
    <row r="188" spans="5:33" x14ac:dyDescent="0.4">
      <c r="E188" s="107"/>
      <c r="F188" s="107"/>
      <c r="H188" s="108"/>
      <c r="I188" s="108"/>
      <c r="J188" s="108"/>
      <c r="K188" s="108"/>
      <c r="L188" s="108"/>
      <c r="M188" s="108"/>
      <c r="N188" s="108"/>
      <c r="O188" s="108"/>
      <c r="P188" s="108"/>
      <c r="R188" s="100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9"/>
      <c r="AD188" s="108"/>
      <c r="AE188" s="108"/>
      <c r="AF188" s="48"/>
      <c r="AG188" s="110"/>
    </row>
    <row r="189" spans="5:33" x14ac:dyDescent="0.4">
      <c r="E189" s="107"/>
      <c r="F189" s="107"/>
      <c r="H189" s="108"/>
      <c r="I189" s="108"/>
      <c r="J189" s="108"/>
      <c r="K189" s="108"/>
      <c r="L189" s="108"/>
      <c r="M189" s="108"/>
      <c r="N189" s="108"/>
      <c r="O189" s="108"/>
      <c r="P189" s="108"/>
      <c r="R189" s="100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9"/>
      <c r="AD189" s="108"/>
      <c r="AE189" s="108"/>
      <c r="AF189" s="48"/>
      <c r="AG189" s="110"/>
    </row>
    <row r="190" spans="5:33" x14ac:dyDescent="0.4">
      <c r="E190" s="107"/>
      <c r="F190" s="107"/>
      <c r="H190" s="108"/>
      <c r="I190" s="108"/>
      <c r="J190" s="108"/>
      <c r="K190" s="108"/>
      <c r="L190" s="108"/>
      <c r="M190" s="108"/>
      <c r="N190" s="108"/>
      <c r="O190" s="108"/>
      <c r="P190" s="108"/>
      <c r="R190" s="100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9"/>
      <c r="AD190" s="108"/>
      <c r="AE190" s="108"/>
      <c r="AF190" s="48"/>
      <c r="AG190" s="110"/>
    </row>
    <row r="191" spans="5:33" x14ac:dyDescent="0.4">
      <c r="E191" s="107"/>
      <c r="F191" s="107"/>
      <c r="H191" s="108"/>
      <c r="I191" s="108"/>
      <c r="J191" s="108"/>
      <c r="K191" s="108"/>
      <c r="L191" s="108"/>
      <c r="M191" s="108"/>
      <c r="N191" s="108"/>
      <c r="O191" s="108"/>
      <c r="P191" s="108"/>
      <c r="R191" s="100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9"/>
      <c r="AD191" s="108"/>
      <c r="AE191" s="108"/>
      <c r="AF191" s="48"/>
      <c r="AG191" s="110"/>
    </row>
    <row r="192" spans="5:33" x14ac:dyDescent="0.4">
      <c r="E192" s="107"/>
      <c r="F192" s="107"/>
      <c r="H192" s="108"/>
      <c r="I192" s="108"/>
      <c r="J192" s="108"/>
      <c r="K192" s="108"/>
      <c r="L192" s="108"/>
      <c r="M192" s="108"/>
      <c r="N192" s="108"/>
      <c r="O192" s="108"/>
      <c r="P192" s="108"/>
      <c r="R192" s="100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9"/>
      <c r="AD192" s="108"/>
      <c r="AE192" s="108"/>
      <c r="AF192" s="48"/>
      <c r="AG192" s="110"/>
    </row>
    <row r="193" spans="5:33" x14ac:dyDescent="0.4">
      <c r="E193" s="107"/>
      <c r="F193" s="107"/>
      <c r="H193" s="108"/>
      <c r="I193" s="108"/>
      <c r="J193" s="108"/>
      <c r="K193" s="108"/>
      <c r="L193" s="108"/>
      <c r="M193" s="108"/>
      <c r="N193" s="108"/>
      <c r="O193" s="108"/>
      <c r="P193" s="108"/>
      <c r="R193" s="100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9"/>
      <c r="AD193" s="108"/>
      <c r="AE193" s="108"/>
      <c r="AF193" s="48"/>
      <c r="AG193" s="110"/>
    </row>
    <row r="194" spans="5:33" x14ac:dyDescent="0.4">
      <c r="E194" s="107"/>
      <c r="F194" s="107"/>
      <c r="H194" s="108"/>
      <c r="I194" s="108"/>
      <c r="J194" s="108"/>
      <c r="K194" s="108"/>
      <c r="L194" s="108"/>
      <c r="M194" s="108"/>
      <c r="N194" s="108"/>
      <c r="O194" s="108"/>
      <c r="P194" s="108"/>
      <c r="R194" s="100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9"/>
      <c r="AD194" s="108"/>
      <c r="AE194" s="108"/>
      <c r="AF194" s="48"/>
      <c r="AG194" s="110"/>
    </row>
    <row r="195" spans="5:33" x14ac:dyDescent="0.4">
      <c r="E195" s="107"/>
      <c r="F195" s="107"/>
      <c r="H195" s="108"/>
      <c r="I195" s="108"/>
      <c r="J195" s="108"/>
      <c r="K195" s="108"/>
      <c r="L195" s="108"/>
      <c r="M195" s="108"/>
      <c r="N195" s="108"/>
      <c r="O195" s="108"/>
      <c r="P195" s="108"/>
      <c r="R195" s="100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9"/>
      <c r="AD195" s="108"/>
      <c r="AE195" s="108"/>
      <c r="AF195" s="48"/>
      <c r="AG195" s="110"/>
    </row>
    <row r="196" spans="5:33" x14ac:dyDescent="0.4">
      <c r="E196" s="107"/>
      <c r="F196" s="107"/>
      <c r="H196" s="108"/>
      <c r="I196" s="108"/>
      <c r="J196" s="108"/>
      <c r="K196" s="108"/>
      <c r="L196" s="108"/>
      <c r="M196" s="108"/>
      <c r="N196" s="108"/>
      <c r="O196" s="108"/>
      <c r="P196" s="108"/>
      <c r="R196" s="100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9"/>
      <c r="AD196" s="108"/>
      <c r="AE196" s="108"/>
      <c r="AF196" s="48"/>
      <c r="AG196" s="110"/>
    </row>
    <row r="197" spans="5:33" x14ac:dyDescent="0.4">
      <c r="E197" s="107"/>
      <c r="F197" s="107"/>
      <c r="H197" s="108"/>
      <c r="I197" s="108"/>
      <c r="J197" s="108"/>
      <c r="K197" s="108"/>
      <c r="L197" s="108"/>
      <c r="M197" s="108"/>
      <c r="N197" s="108"/>
      <c r="O197" s="108"/>
      <c r="P197" s="108"/>
      <c r="R197" s="100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9"/>
      <c r="AD197" s="108"/>
      <c r="AE197" s="108"/>
      <c r="AF197" s="48"/>
      <c r="AG197" s="110"/>
    </row>
    <row r="198" spans="5:33" x14ac:dyDescent="0.4">
      <c r="E198" s="107"/>
      <c r="F198" s="107"/>
      <c r="H198" s="108"/>
      <c r="I198" s="108"/>
      <c r="J198" s="108"/>
      <c r="K198" s="108"/>
      <c r="L198" s="108"/>
      <c r="M198" s="108"/>
      <c r="N198" s="108"/>
      <c r="O198" s="108"/>
      <c r="P198" s="108"/>
      <c r="R198" s="100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9"/>
      <c r="AD198" s="108"/>
      <c r="AE198" s="108"/>
      <c r="AF198" s="48"/>
      <c r="AG198" s="110"/>
    </row>
    <row r="199" spans="5:33" x14ac:dyDescent="0.4">
      <c r="E199" s="107"/>
      <c r="F199" s="107"/>
      <c r="H199" s="108"/>
      <c r="I199" s="108"/>
      <c r="J199" s="108"/>
      <c r="K199" s="108"/>
      <c r="L199" s="108"/>
      <c r="M199" s="108"/>
      <c r="N199" s="108"/>
      <c r="O199" s="108"/>
      <c r="P199" s="108"/>
      <c r="R199" s="100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9"/>
      <c r="AD199" s="108"/>
      <c r="AE199" s="108"/>
      <c r="AF199" s="48"/>
      <c r="AG199" s="110"/>
    </row>
    <row r="200" spans="5:33" x14ac:dyDescent="0.4">
      <c r="E200" s="107"/>
      <c r="F200" s="107"/>
      <c r="H200" s="108"/>
      <c r="I200" s="108"/>
      <c r="J200" s="108"/>
      <c r="K200" s="108"/>
      <c r="L200" s="108"/>
      <c r="M200" s="108"/>
      <c r="N200" s="108"/>
      <c r="O200" s="108"/>
      <c r="P200" s="108"/>
      <c r="R200" s="100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9"/>
      <c r="AD200" s="108"/>
      <c r="AE200" s="108"/>
      <c r="AF200" s="48"/>
      <c r="AG200" s="110"/>
    </row>
    <row r="201" spans="5:33" x14ac:dyDescent="0.4">
      <c r="E201" s="107"/>
      <c r="F201" s="107"/>
      <c r="H201" s="108"/>
      <c r="I201" s="108"/>
      <c r="J201" s="108"/>
      <c r="K201" s="108"/>
      <c r="L201" s="108"/>
      <c r="M201" s="108"/>
      <c r="N201" s="108"/>
      <c r="O201" s="108"/>
      <c r="P201" s="108"/>
      <c r="R201" s="100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9"/>
      <c r="AD201" s="108"/>
      <c r="AE201" s="108"/>
      <c r="AF201" s="48"/>
      <c r="AG201" s="110"/>
    </row>
    <row r="202" spans="5:33" x14ac:dyDescent="0.4">
      <c r="E202" s="107"/>
      <c r="F202" s="107"/>
      <c r="H202" s="108"/>
      <c r="I202" s="108"/>
      <c r="J202" s="108"/>
      <c r="K202" s="108"/>
      <c r="L202" s="108"/>
      <c r="M202" s="108"/>
      <c r="N202" s="108"/>
      <c r="O202" s="108"/>
      <c r="P202" s="108"/>
      <c r="R202" s="100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9"/>
      <c r="AD202" s="108"/>
      <c r="AE202" s="108"/>
      <c r="AF202" s="48"/>
      <c r="AG202" s="110"/>
    </row>
    <row r="203" spans="5:33" x14ac:dyDescent="0.4">
      <c r="E203" s="107"/>
      <c r="F203" s="107"/>
      <c r="H203" s="108"/>
      <c r="I203" s="108"/>
      <c r="J203" s="108"/>
      <c r="K203" s="108"/>
      <c r="L203" s="108"/>
      <c r="M203" s="108"/>
      <c r="N203" s="108"/>
      <c r="O203" s="108"/>
      <c r="P203" s="108"/>
      <c r="R203" s="100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9"/>
      <c r="AD203" s="108"/>
      <c r="AE203" s="108"/>
      <c r="AF203" s="48"/>
      <c r="AG203" s="110"/>
    </row>
    <row r="204" spans="5:33" x14ac:dyDescent="0.4">
      <c r="E204" s="107"/>
      <c r="F204" s="107"/>
      <c r="H204" s="108"/>
      <c r="I204" s="108"/>
      <c r="J204" s="108"/>
      <c r="K204" s="108"/>
      <c r="L204" s="108"/>
      <c r="M204" s="108"/>
      <c r="N204" s="108"/>
      <c r="O204" s="108"/>
      <c r="P204" s="108"/>
      <c r="R204" s="100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9"/>
      <c r="AD204" s="108"/>
      <c r="AE204" s="108"/>
      <c r="AF204" s="48"/>
      <c r="AG204" s="110"/>
    </row>
    <row r="205" spans="5:33" x14ac:dyDescent="0.4">
      <c r="E205" s="107"/>
      <c r="F205" s="107"/>
      <c r="H205" s="108"/>
      <c r="I205" s="108"/>
      <c r="J205" s="108"/>
      <c r="K205" s="108"/>
      <c r="L205" s="108"/>
      <c r="M205" s="108"/>
      <c r="N205" s="108"/>
      <c r="O205" s="108"/>
      <c r="P205" s="108"/>
      <c r="R205" s="100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9"/>
      <c r="AD205" s="108"/>
      <c r="AE205" s="108"/>
      <c r="AF205" s="48"/>
      <c r="AG205" s="110"/>
    </row>
    <row r="206" spans="5:33" x14ac:dyDescent="0.4">
      <c r="E206" s="107"/>
      <c r="F206" s="107"/>
      <c r="H206" s="108"/>
      <c r="I206" s="108"/>
      <c r="J206" s="108"/>
      <c r="K206" s="108"/>
      <c r="L206" s="108"/>
      <c r="M206" s="108"/>
      <c r="N206" s="108"/>
      <c r="O206" s="108"/>
      <c r="P206" s="108"/>
      <c r="R206" s="100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9"/>
      <c r="AD206" s="108"/>
      <c r="AE206" s="108"/>
      <c r="AF206" s="48"/>
      <c r="AG206" s="110"/>
    </row>
    <row r="207" spans="5:33" x14ac:dyDescent="0.4">
      <c r="E207" s="107"/>
      <c r="F207" s="107"/>
      <c r="H207" s="108"/>
      <c r="I207" s="108"/>
      <c r="J207" s="108"/>
      <c r="K207" s="108"/>
      <c r="L207" s="108"/>
      <c r="M207" s="108"/>
      <c r="N207" s="108"/>
      <c r="O207" s="108"/>
      <c r="P207" s="108"/>
      <c r="R207" s="100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9"/>
      <c r="AD207" s="108"/>
      <c r="AE207" s="108"/>
      <c r="AF207" s="48"/>
      <c r="AG207" s="110"/>
    </row>
    <row r="208" spans="5:33" x14ac:dyDescent="0.4">
      <c r="E208" s="107"/>
      <c r="F208" s="107"/>
      <c r="H208" s="108"/>
      <c r="I208" s="108"/>
      <c r="J208" s="108"/>
      <c r="K208" s="108"/>
      <c r="L208" s="108"/>
      <c r="M208" s="108"/>
      <c r="N208" s="108"/>
      <c r="O208" s="108"/>
      <c r="P208" s="108"/>
      <c r="R208" s="100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9"/>
      <c r="AD208" s="108"/>
      <c r="AE208" s="108"/>
      <c r="AF208" s="48"/>
      <c r="AG208" s="110"/>
    </row>
    <row r="209" spans="5:33" x14ac:dyDescent="0.4">
      <c r="E209" s="107"/>
      <c r="F209" s="107"/>
      <c r="H209" s="108"/>
      <c r="I209" s="108"/>
      <c r="J209" s="108"/>
      <c r="K209" s="108"/>
      <c r="L209" s="108"/>
      <c r="M209" s="108"/>
      <c r="N209" s="108"/>
      <c r="O209" s="108"/>
      <c r="P209" s="108"/>
      <c r="R209" s="100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9"/>
      <c r="AD209" s="108"/>
      <c r="AE209" s="108"/>
      <c r="AF209" s="48"/>
      <c r="AG209" s="110"/>
    </row>
    <row r="210" spans="5:33" x14ac:dyDescent="0.4">
      <c r="E210" s="107"/>
      <c r="F210" s="107"/>
      <c r="H210" s="108"/>
      <c r="I210" s="108"/>
      <c r="J210" s="108"/>
      <c r="K210" s="108"/>
      <c r="L210" s="108"/>
      <c r="M210" s="108"/>
      <c r="N210" s="108"/>
      <c r="O210" s="108"/>
      <c r="P210" s="108"/>
      <c r="R210" s="100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9"/>
      <c r="AD210" s="108"/>
      <c r="AE210" s="108"/>
      <c r="AF210" s="48"/>
      <c r="AG210" s="110"/>
    </row>
    <row r="211" spans="5:33" x14ac:dyDescent="0.4">
      <c r="E211" s="107"/>
      <c r="F211" s="107"/>
      <c r="H211" s="108"/>
      <c r="I211" s="108"/>
      <c r="J211" s="108"/>
      <c r="K211" s="108"/>
      <c r="L211" s="108"/>
      <c r="M211" s="108"/>
      <c r="N211" s="108"/>
      <c r="O211" s="108"/>
      <c r="P211" s="108"/>
      <c r="R211" s="100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9"/>
      <c r="AD211" s="108"/>
      <c r="AE211" s="108"/>
      <c r="AF211" s="48"/>
      <c r="AG211" s="110"/>
    </row>
    <row r="212" spans="5:33" x14ac:dyDescent="0.4">
      <c r="E212" s="107"/>
      <c r="F212" s="107"/>
      <c r="H212" s="108"/>
      <c r="I212" s="108"/>
      <c r="J212" s="108"/>
      <c r="K212" s="108"/>
      <c r="L212" s="108"/>
      <c r="M212" s="108"/>
      <c r="N212" s="108"/>
      <c r="O212" s="108"/>
      <c r="P212" s="108"/>
      <c r="R212" s="100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9"/>
      <c r="AD212" s="108"/>
      <c r="AE212" s="108"/>
      <c r="AF212" s="48"/>
      <c r="AG212" s="110"/>
    </row>
    <row r="213" spans="5:33" x14ac:dyDescent="0.4">
      <c r="E213" s="107"/>
      <c r="F213" s="107"/>
      <c r="H213" s="108"/>
      <c r="I213" s="108"/>
      <c r="J213" s="108"/>
      <c r="K213" s="108"/>
      <c r="L213" s="108"/>
      <c r="M213" s="108"/>
      <c r="N213" s="108"/>
      <c r="O213" s="108"/>
      <c r="P213" s="108"/>
      <c r="R213" s="100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9"/>
      <c r="AD213" s="108"/>
      <c r="AE213" s="108"/>
      <c r="AF213" s="48"/>
      <c r="AG213" s="110"/>
    </row>
    <row r="214" spans="5:33" x14ac:dyDescent="0.4">
      <c r="E214" s="107"/>
      <c r="F214" s="107"/>
      <c r="H214" s="108"/>
      <c r="I214" s="108"/>
      <c r="J214" s="108"/>
      <c r="K214" s="108"/>
      <c r="L214" s="108"/>
      <c r="M214" s="108"/>
      <c r="N214" s="108"/>
      <c r="O214" s="108"/>
      <c r="P214" s="108"/>
      <c r="R214" s="100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9"/>
      <c r="AD214" s="108"/>
      <c r="AE214" s="108"/>
      <c r="AF214" s="48"/>
      <c r="AG214" s="110"/>
    </row>
    <row r="215" spans="5:33" x14ac:dyDescent="0.4">
      <c r="E215" s="107"/>
      <c r="F215" s="107"/>
      <c r="H215" s="108"/>
      <c r="I215" s="108"/>
      <c r="J215" s="108"/>
      <c r="K215" s="108"/>
      <c r="L215" s="108"/>
      <c r="M215" s="108"/>
      <c r="N215" s="108"/>
      <c r="O215" s="108"/>
      <c r="P215" s="108"/>
      <c r="R215" s="100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9"/>
      <c r="AD215" s="108"/>
      <c r="AE215" s="108"/>
      <c r="AF215" s="48"/>
      <c r="AG215" s="110"/>
    </row>
    <row r="216" spans="5:33" x14ac:dyDescent="0.4">
      <c r="E216" s="107"/>
      <c r="F216" s="107"/>
      <c r="H216" s="108"/>
      <c r="I216" s="108"/>
      <c r="J216" s="108"/>
      <c r="K216" s="108"/>
      <c r="L216" s="108"/>
      <c r="M216" s="108"/>
      <c r="N216" s="108"/>
      <c r="O216" s="108"/>
      <c r="P216" s="108"/>
      <c r="R216" s="100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9"/>
      <c r="AD216" s="108"/>
      <c r="AE216" s="108"/>
      <c r="AF216" s="48"/>
      <c r="AG216" s="110"/>
    </row>
    <row r="217" spans="5:33" x14ac:dyDescent="0.4">
      <c r="E217" s="107"/>
      <c r="F217" s="107"/>
      <c r="H217" s="108"/>
      <c r="I217" s="108"/>
      <c r="J217" s="108"/>
      <c r="K217" s="108"/>
      <c r="L217" s="108"/>
      <c r="M217" s="108"/>
      <c r="N217" s="108"/>
      <c r="O217" s="108"/>
      <c r="P217" s="108"/>
      <c r="R217" s="100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9"/>
      <c r="AD217" s="108"/>
      <c r="AE217" s="108"/>
      <c r="AF217" s="48"/>
      <c r="AG217" s="110"/>
    </row>
    <row r="218" spans="5:33" x14ac:dyDescent="0.4">
      <c r="E218" s="107"/>
      <c r="F218" s="107"/>
      <c r="H218" s="108"/>
      <c r="I218" s="108"/>
      <c r="J218" s="108"/>
      <c r="K218" s="108"/>
      <c r="L218" s="108"/>
      <c r="M218" s="108"/>
      <c r="N218" s="108"/>
      <c r="O218" s="108"/>
      <c r="P218" s="108"/>
      <c r="R218" s="100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9"/>
      <c r="AD218" s="108"/>
      <c r="AE218" s="108"/>
      <c r="AF218" s="48"/>
      <c r="AG218" s="110"/>
    </row>
    <row r="219" spans="5:33" x14ac:dyDescent="0.4">
      <c r="E219" s="107"/>
      <c r="F219" s="107"/>
      <c r="H219" s="108"/>
      <c r="I219" s="108"/>
      <c r="J219" s="108"/>
      <c r="K219" s="108"/>
      <c r="L219" s="108"/>
      <c r="M219" s="108"/>
      <c r="N219" s="108"/>
      <c r="O219" s="108"/>
      <c r="P219" s="108"/>
      <c r="R219" s="100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9"/>
      <c r="AD219" s="108"/>
      <c r="AE219" s="108"/>
      <c r="AF219" s="48"/>
      <c r="AG219" s="110"/>
    </row>
    <row r="220" spans="5:33" x14ac:dyDescent="0.4">
      <c r="E220" s="107"/>
      <c r="F220" s="107"/>
      <c r="H220" s="108"/>
      <c r="I220" s="108"/>
      <c r="J220" s="108"/>
      <c r="K220" s="108"/>
      <c r="L220" s="108"/>
      <c r="M220" s="108"/>
      <c r="N220" s="108"/>
      <c r="O220" s="108"/>
      <c r="P220" s="108"/>
      <c r="R220" s="100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9"/>
      <c r="AD220" s="108"/>
      <c r="AE220" s="108"/>
      <c r="AF220" s="48"/>
      <c r="AG220" s="110"/>
    </row>
    <row r="221" spans="5:33" x14ac:dyDescent="0.4">
      <c r="E221" s="107"/>
      <c r="F221" s="107"/>
      <c r="H221" s="108"/>
      <c r="I221" s="108"/>
      <c r="J221" s="108"/>
      <c r="K221" s="108"/>
      <c r="L221" s="108"/>
      <c r="M221" s="108"/>
      <c r="N221" s="108"/>
      <c r="O221" s="108"/>
      <c r="P221" s="108"/>
      <c r="R221" s="100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9"/>
      <c r="AD221" s="108"/>
      <c r="AE221" s="108"/>
      <c r="AF221" s="48"/>
      <c r="AG221" s="110"/>
    </row>
    <row r="222" spans="5:33" x14ac:dyDescent="0.4">
      <c r="E222" s="107"/>
      <c r="F222" s="107"/>
      <c r="H222" s="108"/>
      <c r="I222" s="108"/>
      <c r="J222" s="108"/>
      <c r="K222" s="108"/>
      <c r="L222" s="108"/>
      <c r="M222" s="108"/>
      <c r="N222" s="108"/>
      <c r="O222" s="108"/>
      <c r="P222" s="108"/>
      <c r="R222" s="100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9"/>
      <c r="AD222" s="108"/>
      <c r="AE222" s="108"/>
      <c r="AF222" s="48"/>
      <c r="AG222" s="110"/>
    </row>
    <row r="223" spans="5:33" x14ac:dyDescent="0.4">
      <c r="E223" s="107"/>
      <c r="F223" s="107"/>
      <c r="H223" s="108"/>
      <c r="I223" s="108"/>
      <c r="J223" s="108"/>
      <c r="K223" s="108"/>
      <c r="L223" s="108"/>
      <c r="M223" s="108"/>
      <c r="N223" s="108"/>
      <c r="O223" s="108"/>
      <c r="P223" s="108"/>
      <c r="R223" s="100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9"/>
      <c r="AD223" s="108"/>
      <c r="AE223" s="108"/>
      <c r="AF223" s="48"/>
      <c r="AG223" s="110"/>
    </row>
    <row r="224" spans="5:33" x14ac:dyDescent="0.4">
      <c r="E224" s="107"/>
      <c r="F224" s="107"/>
      <c r="H224" s="108"/>
      <c r="I224" s="108"/>
      <c r="J224" s="108"/>
      <c r="K224" s="108"/>
      <c r="L224" s="108"/>
      <c r="M224" s="108"/>
      <c r="N224" s="108"/>
      <c r="O224" s="108"/>
      <c r="P224" s="108"/>
      <c r="R224" s="100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9"/>
      <c r="AD224" s="108"/>
      <c r="AE224" s="108"/>
      <c r="AF224" s="48"/>
      <c r="AG224" s="110"/>
    </row>
    <row r="225" spans="5:33" x14ac:dyDescent="0.4">
      <c r="E225" s="107"/>
      <c r="F225" s="107"/>
      <c r="H225" s="108"/>
      <c r="I225" s="108"/>
      <c r="J225" s="108"/>
      <c r="K225" s="108"/>
      <c r="L225" s="108"/>
      <c r="M225" s="108"/>
      <c r="N225" s="108"/>
      <c r="O225" s="108"/>
      <c r="P225" s="108"/>
      <c r="R225" s="100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9"/>
      <c r="AD225" s="108"/>
      <c r="AE225" s="108"/>
      <c r="AF225" s="48"/>
      <c r="AG225" s="110"/>
    </row>
    <row r="226" spans="5:33" x14ac:dyDescent="0.4">
      <c r="E226" s="107"/>
      <c r="F226" s="107"/>
      <c r="H226" s="108"/>
      <c r="I226" s="108"/>
      <c r="J226" s="108"/>
      <c r="K226" s="108"/>
      <c r="L226" s="108"/>
      <c r="M226" s="108"/>
      <c r="N226" s="108"/>
      <c r="O226" s="108"/>
      <c r="P226" s="108"/>
      <c r="R226" s="100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9"/>
      <c r="AD226" s="108"/>
      <c r="AE226" s="108"/>
      <c r="AF226" s="48"/>
      <c r="AG226" s="110"/>
    </row>
    <row r="227" spans="5:33" x14ac:dyDescent="0.4">
      <c r="E227" s="107"/>
      <c r="F227" s="107"/>
      <c r="H227" s="108"/>
      <c r="I227" s="108"/>
      <c r="J227" s="108"/>
      <c r="K227" s="108"/>
      <c r="L227" s="108"/>
      <c r="M227" s="108"/>
      <c r="N227" s="108"/>
      <c r="O227" s="108"/>
      <c r="P227" s="108"/>
      <c r="R227" s="100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9"/>
      <c r="AD227" s="108"/>
      <c r="AE227" s="108"/>
      <c r="AF227" s="48"/>
      <c r="AG227" s="110"/>
    </row>
    <row r="228" spans="5:33" x14ac:dyDescent="0.4">
      <c r="E228" s="107"/>
      <c r="F228" s="107"/>
      <c r="H228" s="108"/>
      <c r="I228" s="108"/>
      <c r="J228" s="108"/>
      <c r="K228" s="108"/>
      <c r="L228" s="108"/>
      <c r="M228" s="108"/>
      <c r="N228" s="108"/>
      <c r="O228" s="108"/>
      <c r="P228" s="108"/>
      <c r="R228" s="100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9"/>
      <c r="AD228" s="108"/>
      <c r="AE228" s="108"/>
      <c r="AF228" s="48"/>
      <c r="AG228" s="110"/>
    </row>
    <row r="229" spans="5:33" x14ac:dyDescent="0.4">
      <c r="E229" s="107"/>
      <c r="F229" s="107"/>
      <c r="H229" s="108"/>
      <c r="I229" s="108"/>
      <c r="J229" s="108"/>
      <c r="K229" s="108"/>
      <c r="L229" s="108"/>
      <c r="M229" s="108"/>
      <c r="N229" s="108"/>
      <c r="O229" s="108"/>
      <c r="P229" s="108"/>
      <c r="R229" s="100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9"/>
      <c r="AD229" s="108"/>
      <c r="AE229" s="108"/>
      <c r="AF229" s="48"/>
      <c r="AG229" s="110"/>
    </row>
    <row r="230" spans="5:33" x14ac:dyDescent="0.4">
      <c r="E230" s="107"/>
      <c r="F230" s="107"/>
      <c r="H230" s="108"/>
      <c r="I230" s="108"/>
      <c r="J230" s="108"/>
      <c r="K230" s="108"/>
      <c r="L230" s="108"/>
      <c r="M230" s="108"/>
      <c r="N230" s="108"/>
      <c r="O230" s="108"/>
      <c r="P230" s="108"/>
      <c r="R230" s="100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9"/>
      <c r="AD230" s="108"/>
      <c r="AE230" s="108"/>
      <c r="AF230" s="48"/>
      <c r="AG230" s="110"/>
    </row>
    <row r="231" spans="5:33" x14ac:dyDescent="0.4">
      <c r="E231" s="107"/>
      <c r="F231" s="107"/>
      <c r="H231" s="108"/>
      <c r="I231" s="108"/>
      <c r="J231" s="108"/>
      <c r="K231" s="108"/>
      <c r="L231" s="108"/>
      <c r="M231" s="108"/>
      <c r="N231" s="108"/>
      <c r="O231" s="108"/>
      <c r="P231" s="108"/>
      <c r="R231" s="100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9"/>
      <c r="AD231" s="108"/>
      <c r="AE231" s="108"/>
      <c r="AF231" s="48"/>
      <c r="AG231" s="110"/>
    </row>
    <row r="232" spans="5:33" x14ac:dyDescent="0.4">
      <c r="E232" s="107"/>
      <c r="F232" s="107"/>
      <c r="H232" s="108"/>
      <c r="I232" s="108"/>
      <c r="J232" s="108"/>
      <c r="K232" s="108"/>
      <c r="L232" s="108"/>
      <c r="M232" s="108"/>
      <c r="N232" s="108"/>
      <c r="O232" s="108"/>
      <c r="P232" s="108"/>
      <c r="R232" s="100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9"/>
      <c r="AD232" s="108"/>
      <c r="AE232" s="108"/>
      <c r="AF232" s="48"/>
      <c r="AG232" s="110"/>
    </row>
    <row r="233" spans="5:33" x14ac:dyDescent="0.4">
      <c r="E233" s="107"/>
      <c r="F233" s="126"/>
      <c r="H233" s="108"/>
      <c r="I233" s="108"/>
      <c r="J233" s="108"/>
      <c r="K233" s="108"/>
      <c r="L233" s="127"/>
      <c r="M233" s="108"/>
      <c r="N233" s="127"/>
      <c r="O233" s="127"/>
      <c r="P233" s="127"/>
      <c r="Q233" s="128"/>
      <c r="R233" s="128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9"/>
      <c r="AD233" s="127"/>
      <c r="AE233" s="127"/>
      <c r="AF233" s="130"/>
      <c r="AG233" s="110"/>
    </row>
    <row r="234" spans="5:33" x14ac:dyDescent="0.4">
      <c r="E234" s="107"/>
      <c r="F234" s="107"/>
      <c r="AG234" s="110"/>
    </row>
    <row r="235" spans="5:33" x14ac:dyDescent="0.4">
      <c r="E235" s="107"/>
      <c r="F235" s="107"/>
      <c r="AG235" s="110"/>
    </row>
    <row r="236" spans="5:33" x14ac:dyDescent="0.4">
      <c r="E236" s="107"/>
      <c r="F236" s="107"/>
      <c r="AG236" s="110"/>
    </row>
    <row r="237" spans="5:33" x14ac:dyDescent="0.4">
      <c r="E237" s="107"/>
      <c r="F237" s="107"/>
      <c r="AG237" s="110"/>
    </row>
    <row r="238" spans="5:33" x14ac:dyDescent="0.4">
      <c r="E238" s="107"/>
      <c r="F238" s="107"/>
      <c r="AG238" s="110"/>
    </row>
    <row r="239" spans="5:33" x14ac:dyDescent="0.4">
      <c r="E239" s="107"/>
      <c r="F239" s="107"/>
      <c r="AG239" s="110"/>
    </row>
    <row r="240" spans="5:33" x14ac:dyDescent="0.4">
      <c r="E240" s="107"/>
      <c r="F240" s="107"/>
      <c r="AG240" s="110"/>
    </row>
    <row r="241" spans="5:33" x14ac:dyDescent="0.4">
      <c r="E241" s="107"/>
      <c r="F241" s="107"/>
      <c r="AG241" s="110"/>
    </row>
    <row r="242" spans="5:33" x14ac:dyDescent="0.4">
      <c r="E242" s="107"/>
      <c r="F242" s="107"/>
      <c r="AG242" s="110"/>
    </row>
    <row r="243" spans="5:33" x14ac:dyDescent="0.4">
      <c r="E243" s="107"/>
      <c r="F243" s="107"/>
      <c r="AG243" s="110"/>
    </row>
    <row r="244" spans="5:33" x14ac:dyDescent="0.4">
      <c r="E244" s="107"/>
      <c r="F244" s="107"/>
      <c r="AG244" s="110"/>
    </row>
    <row r="245" spans="5:33" x14ac:dyDescent="0.4">
      <c r="E245" s="107"/>
      <c r="F245" s="107"/>
      <c r="AG245" s="110"/>
    </row>
    <row r="246" spans="5:33" x14ac:dyDescent="0.4">
      <c r="E246" s="107"/>
      <c r="F246" s="107"/>
      <c r="AG246" s="110"/>
    </row>
    <row r="247" spans="5:33" x14ac:dyDescent="0.4">
      <c r="E247" s="126"/>
      <c r="F247" s="107"/>
      <c r="AG247" s="131"/>
    </row>
    <row r="248" spans="5:33" x14ac:dyDescent="0.4">
      <c r="E248" s="107"/>
      <c r="F248" s="107"/>
    </row>
    <row r="249" spans="5:33" x14ac:dyDescent="0.4">
      <c r="E249" s="107"/>
      <c r="F249" s="107"/>
    </row>
    <row r="250" spans="5:33" x14ac:dyDescent="0.4">
      <c r="E250" s="107"/>
      <c r="F250" s="107"/>
    </row>
    <row r="251" spans="5:33" x14ac:dyDescent="0.4">
      <c r="E251" s="107"/>
      <c r="F251" s="107"/>
    </row>
    <row r="252" spans="5:33" x14ac:dyDescent="0.4">
      <c r="E252" s="107"/>
      <c r="F252" s="107"/>
    </row>
    <row r="253" spans="5:33" x14ac:dyDescent="0.4">
      <c r="E253" s="107"/>
      <c r="F253" s="107"/>
    </row>
    <row r="254" spans="5:33" x14ac:dyDescent="0.4">
      <c r="E254" s="107"/>
      <c r="F254" s="107"/>
    </row>
    <row r="255" spans="5:33" x14ac:dyDescent="0.4">
      <c r="E255" s="107"/>
      <c r="F255" s="107"/>
    </row>
    <row r="256" spans="5:33" x14ac:dyDescent="0.4">
      <c r="E256" s="107"/>
      <c r="F256" s="107"/>
    </row>
    <row r="257" spans="5:6" x14ac:dyDescent="0.4">
      <c r="E257" s="107"/>
      <c r="F257" s="107"/>
    </row>
    <row r="258" spans="5:6" x14ac:dyDescent="0.4">
      <c r="E258" s="107"/>
      <c r="F258" s="107"/>
    </row>
    <row r="259" spans="5:6" x14ac:dyDescent="0.4">
      <c r="E259" s="107"/>
      <c r="F259" s="107"/>
    </row>
    <row r="260" spans="5:6" x14ac:dyDescent="0.4">
      <c r="E260" s="107"/>
      <c r="F260" s="107"/>
    </row>
    <row r="261" spans="5:6" x14ac:dyDescent="0.4">
      <c r="E261" s="107"/>
      <c r="F261" s="107"/>
    </row>
    <row r="262" spans="5:6" x14ac:dyDescent="0.4">
      <c r="E262" s="107"/>
      <c r="F262" s="107"/>
    </row>
    <row r="263" spans="5:6" x14ac:dyDescent="0.4">
      <c r="E263" s="107"/>
      <c r="F263" s="107"/>
    </row>
    <row r="264" spans="5:6" x14ac:dyDescent="0.4">
      <c r="E264" s="107"/>
      <c r="F264" s="107"/>
    </row>
    <row r="265" spans="5:6" x14ac:dyDescent="0.4">
      <c r="E265" s="107"/>
      <c r="F265" s="107"/>
    </row>
    <row r="266" spans="5:6" x14ac:dyDescent="0.4">
      <c r="E266" s="107"/>
      <c r="F266" s="107"/>
    </row>
    <row r="267" spans="5:6" x14ac:dyDescent="0.4">
      <c r="E267" s="107"/>
      <c r="F267" s="107"/>
    </row>
    <row r="268" spans="5:6" x14ac:dyDescent="0.4">
      <c r="E268" s="107"/>
      <c r="F268" s="107"/>
    </row>
    <row r="269" spans="5:6" x14ac:dyDescent="0.4">
      <c r="E269" s="107"/>
      <c r="F269" s="107"/>
    </row>
    <row r="270" spans="5:6" x14ac:dyDescent="0.4">
      <c r="E270" s="107"/>
      <c r="F270" s="107"/>
    </row>
    <row r="271" spans="5:6" x14ac:dyDescent="0.4">
      <c r="E271" s="107"/>
      <c r="F271" s="107"/>
    </row>
    <row r="272" spans="5:6" x14ac:dyDescent="0.4">
      <c r="E272" s="107"/>
      <c r="F272" s="107"/>
    </row>
    <row r="273" spans="5:6" x14ac:dyDescent="0.4">
      <c r="E273" s="107"/>
      <c r="F273" s="107"/>
    </row>
    <row r="274" spans="5:6" x14ac:dyDescent="0.4">
      <c r="E274" s="107"/>
      <c r="F274" s="107"/>
    </row>
    <row r="275" spans="5:6" x14ac:dyDescent="0.4">
      <c r="E275" s="107"/>
      <c r="F275" s="107"/>
    </row>
    <row r="276" spans="5:6" x14ac:dyDescent="0.4">
      <c r="E276" s="107"/>
      <c r="F276" s="107"/>
    </row>
    <row r="277" spans="5:6" x14ac:dyDescent="0.4">
      <c r="E277" s="107"/>
      <c r="F277" s="107"/>
    </row>
    <row r="278" spans="5:6" x14ac:dyDescent="0.4">
      <c r="E278" s="107"/>
      <c r="F278" s="107"/>
    </row>
    <row r="279" spans="5:6" x14ac:dyDescent="0.4">
      <c r="E279" s="107"/>
      <c r="F279" s="107"/>
    </row>
    <row r="280" spans="5:6" x14ac:dyDescent="0.4">
      <c r="E280" s="107"/>
      <c r="F280" s="107"/>
    </row>
    <row r="281" spans="5:6" x14ac:dyDescent="0.4">
      <c r="E281" s="107"/>
      <c r="F281" s="107"/>
    </row>
    <row r="282" spans="5:6" x14ac:dyDescent="0.4">
      <c r="E282" s="107"/>
    </row>
    <row r="283" spans="5:6" x14ac:dyDescent="0.4">
      <c r="E283" s="107"/>
    </row>
    <row r="284" spans="5:6" x14ac:dyDescent="0.4">
      <c r="E284" s="107"/>
    </row>
    <row r="285" spans="5:6" x14ac:dyDescent="0.4">
      <c r="E285" s="107"/>
    </row>
    <row r="286" spans="5:6" x14ac:dyDescent="0.4">
      <c r="E286" s="107"/>
    </row>
    <row r="287" spans="5:6" x14ac:dyDescent="0.4">
      <c r="E287" s="107"/>
    </row>
    <row r="288" spans="5:6" x14ac:dyDescent="0.4">
      <c r="E288" s="107"/>
    </row>
    <row r="289" spans="5:5" x14ac:dyDescent="0.4">
      <c r="E289" s="107"/>
    </row>
    <row r="290" spans="5:5" x14ac:dyDescent="0.4">
      <c r="E290" s="107"/>
    </row>
    <row r="291" spans="5:5" x14ac:dyDescent="0.4">
      <c r="E291" s="107"/>
    </row>
    <row r="292" spans="5:5" x14ac:dyDescent="0.4">
      <c r="E292" s="107"/>
    </row>
    <row r="293" spans="5:5" x14ac:dyDescent="0.4">
      <c r="E293" s="107"/>
    </row>
    <row r="294" spans="5:5" x14ac:dyDescent="0.4">
      <c r="E294" s="107"/>
    </row>
    <row r="295" spans="5:5" x14ac:dyDescent="0.4">
      <c r="E295" s="107"/>
    </row>
  </sheetData>
  <mergeCells count="6">
    <mergeCell ref="E2:F2"/>
    <mergeCell ref="G2:L2"/>
    <mergeCell ref="N2:O2"/>
    <mergeCell ref="Q2:S2"/>
    <mergeCell ref="T2:W2"/>
    <mergeCell ref="B4:C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AD12D-C72A-4D38-B16F-C4E7B14DD2F2}">
  <sheetPr>
    <tabColor rgb="FF009639"/>
  </sheetPr>
  <dimension ref="B2:AI295"/>
  <sheetViews>
    <sheetView showGridLines="0" topLeftCell="AA1" zoomScale="78" zoomScaleNormal="115" workbookViewId="0">
      <selection activeCell="Q5" sqref="Q5:Q124"/>
    </sheetView>
  </sheetViews>
  <sheetFormatPr defaultColWidth="8.88671875" defaultRowHeight="16.8" x14ac:dyDescent="0.4"/>
  <cols>
    <col min="1" max="1" width="2.88671875" style="35" customWidth="1"/>
    <col min="2" max="2" width="54.33203125" style="35" bestFit="1" customWidth="1"/>
    <col min="3" max="3" width="19.109375" style="35" bestFit="1" customWidth="1"/>
    <col min="4" max="4" width="3.44140625" style="35" customWidth="1"/>
    <col min="5" max="6" width="7.21875" style="35" bestFit="1" customWidth="1"/>
    <col min="7" max="7" width="22.77734375" style="138" bestFit="1" customWidth="1"/>
    <col min="8" max="8" width="15.109375" style="35" bestFit="1" customWidth="1"/>
    <col min="9" max="9" width="18.88671875" style="35" bestFit="1" customWidth="1"/>
    <col min="10" max="10" width="19.21875" style="35" bestFit="1" customWidth="1"/>
    <col min="11" max="11" width="17.21875" style="35" bestFit="1" customWidth="1"/>
    <col min="12" max="12" width="18" style="35" bestFit="1" customWidth="1"/>
    <col min="13" max="13" width="13.77734375" style="35" bestFit="1" customWidth="1"/>
    <col min="14" max="14" width="15.44140625" style="35" bestFit="1" customWidth="1"/>
    <col min="15" max="15" width="17.77734375" style="35" bestFit="1" customWidth="1"/>
    <col min="16" max="16" width="17.6640625" style="35" bestFit="1" customWidth="1"/>
    <col min="17" max="17" width="11" style="100" bestFit="1" customWidth="1"/>
    <col min="18" max="18" width="12.33203125" style="101" bestFit="1" customWidth="1"/>
    <col min="19" max="19" width="12.6640625" style="35" bestFit="1" customWidth="1"/>
    <col min="20" max="20" width="15.77734375" style="35" bestFit="1" customWidth="1"/>
    <col min="21" max="21" width="12.77734375" style="35" bestFit="1" customWidth="1"/>
    <col min="22" max="22" width="13.77734375" style="35" bestFit="1" customWidth="1"/>
    <col min="23" max="23" width="15.21875" style="35" bestFit="1" customWidth="1"/>
    <col min="24" max="24" width="14" style="35" bestFit="1" customWidth="1"/>
    <col min="25" max="25" width="13.44140625" style="35" bestFit="1" customWidth="1"/>
    <col min="26" max="26" width="13.6640625" style="35" bestFit="1" customWidth="1"/>
    <col min="27" max="27" width="14.6640625" style="35" bestFit="1" customWidth="1"/>
    <col min="28" max="28" width="15.6640625" style="35" bestFit="1" customWidth="1"/>
    <col min="29" max="29" width="12" style="35" bestFit="1" customWidth="1"/>
    <col min="30" max="30" width="15" style="35" bestFit="1" customWidth="1"/>
    <col min="31" max="31" width="13.5546875" style="35" bestFit="1" customWidth="1"/>
    <col min="32" max="32" width="8.6640625" style="35" bestFit="1" customWidth="1"/>
    <col min="33" max="33" width="8.88671875" style="35"/>
    <col min="34" max="34" width="16.21875" style="35" bestFit="1" customWidth="1"/>
    <col min="35" max="35" width="22.33203125" style="35" bestFit="1" customWidth="1"/>
    <col min="36" max="36" width="12.33203125" style="35" bestFit="1" customWidth="1"/>
    <col min="37" max="37" width="11.44140625" style="35" bestFit="1" customWidth="1"/>
    <col min="38" max="38" width="10.109375" style="35" bestFit="1" customWidth="1"/>
    <col min="39" max="39" width="11.44140625" style="35" bestFit="1" customWidth="1"/>
    <col min="40" max="41" width="12.33203125" style="35" bestFit="1" customWidth="1"/>
    <col min="42" max="42" width="9.33203125" style="35" bestFit="1" customWidth="1"/>
    <col min="43" max="43" width="8.88671875" style="35"/>
    <col min="44" max="45" width="9.33203125" style="35" bestFit="1" customWidth="1"/>
    <col min="46" max="46" width="10.5546875" style="35" bestFit="1" customWidth="1"/>
    <col min="47" max="47" width="10.109375" style="35" bestFit="1" customWidth="1"/>
    <col min="48" max="48" width="13.5546875" style="35" bestFit="1" customWidth="1"/>
    <col min="49" max="53" width="8.88671875" style="35"/>
    <col min="54" max="54" width="9.5546875" style="35" bestFit="1" customWidth="1"/>
    <col min="55" max="55" width="10.109375" style="35" bestFit="1" customWidth="1"/>
    <col min="56" max="56" width="9.33203125" style="35" bestFit="1" customWidth="1"/>
    <col min="57" max="57" width="8.88671875" style="35"/>
    <col min="58" max="58" width="9.33203125" style="35" bestFit="1" customWidth="1"/>
    <col min="59" max="59" width="10.88671875" style="35" bestFit="1" customWidth="1"/>
    <col min="60" max="60" width="13.88671875" style="35" bestFit="1" customWidth="1"/>
    <col min="61" max="61" width="9.33203125" style="35" bestFit="1" customWidth="1"/>
    <col min="62" max="62" width="10.5546875" style="35" bestFit="1" customWidth="1"/>
    <col min="63" max="63" width="11.109375" style="35" bestFit="1" customWidth="1"/>
    <col min="64" max="64" width="12" style="35" bestFit="1" customWidth="1"/>
    <col min="65" max="65" width="8.88671875" style="35"/>
    <col min="66" max="66" width="13.88671875" style="35" bestFit="1" customWidth="1"/>
    <col min="67" max="67" width="9.33203125" style="35" bestFit="1" customWidth="1"/>
    <col min="68" max="16384" width="8.88671875" style="35"/>
  </cols>
  <sheetData>
    <row r="2" spans="2:35" x14ac:dyDescent="0.4">
      <c r="E2" s="159" t="s">
        <v>45</v>
      </c>
      <c r="F2" s="159"/>
      <c r="G2" s="160" t="s">
        <v>46</v>
      </c>
      <c r="H2" s="160"/>
      <c r="I2" s="160"/>
      <c r="J2" s="160"/>
      <c r="K2" s="160"/>
      <c r="L2" s="160"/>
      <c r="N2" s="161"/>
      <c r="O2" s="161"/>
      <c r="P2" s="91" t="s">
        <v>47</v>
      </c>
      <c r="Q2" s="162" t="s">
        <v>48</v>
      </c>
      <c r="R2" s="162"/>
      <c r="S2" s="162"/>
      <c r="T2" s="157" t="s">
        <v>49</v>
      </c>
      <c r="U2" s="157"/>
      <c r="V2" s="157"/>
      <c r="W2" s="157"/>
      <c r="X2" s="92"/>
      <c r="Y2" s="93" t="s">
        <v>50</v>
      </c>
      <c r="Z2" s="92"/>
      <c r="AA2" s="94" t="s">
        <v>51</v>
      </c>
      <c r="AB2" s="95" t="s">
        <v>52</v>
      </c>
      <c r="AC2" s="96" t="s">
        <v>53</v>
      </c>
      <c r="AD2" s="97"/>
      <c r="AE2" s="97"/>
      <c r="AF2" s="98" t="s">
        <v>54</v>
      </c>
    </row>
    <row r="3" spans="2:35" x14ac:dyDescent="0.4">
      <c r="B3" s="99"/>
    </row>
    <row r="4" spans="2:35" ht="47.4" customHeight="1" thickBot="1" x14ac:dyDescent="0.45">
      <c r="B4" s="158"/>
      <c r="C4" s="158"/>
      <c r="E4" s="102" t="s">
        <v>55</v>
      </c>
      <c r="F4" s="102" t="s">
        <v>56</v>
      </c>
      <c r="G4" s="139" t="s">
        <v>57</v>
      </c>
      <c r="H4" s="104" t="s">
        <v>58</v>
      </c>
      <c r="I4" s="104" t="s">
        <v>59</v>
      </c>
      <c r="J4" s="104" t="s">
        <v>60</v>
      </c>
      <c r="K4" s="104" t="s">
        <v>61</v>
      </c>
      <c r="L4" s="102" t="s">
        <v>62</v>
      </c>
      <c r="M4" s="105" t="s">
        <v>63</v>
      </c>
      <c r="N4" s="102" t="s">
        <v>64</v>
      </c>
      <c r="O4" s="103" t="s">
        <v>65</v>
      </c>
      <c r="P4" s="104" t="s">
        <v>66</v>
      </c>
      <c r="Q4" s="104" t="s">
        <v>67</v>
      </c>
      <c r="R4" s="104" t="s">
        <v>68</v>
      </c>
      <c r="S4" s="104" t="s">
        <v>69</v>
      </c>
      <c r="T4" s="104" t="s">
        <v>70</v>
      </c>
      <c r="U4" s="104" t="s">
        <v>71</v>
      </c>
      <c r="V4" s="104" t="s">
        <v>72</v>
      </c>
      <c r="W4" s="102" t="s">
        <v>73</v>
      </c>
      <c r="X4" s="104" t="s">
        <v>74</v>
      </c>
      <c r="Y4" s="104" t="s">
        <v>50</v>
      </c>
      <c r="Z4" s="104" t="s">
        <v>75</v>
      </c>
      <c r="AA4" s="104" t="s">
        <v>51</v>
      </c>
      <c r="AB4" s="104" t="s">
        <v>52</v>
      </c>
      <c r="AC4" s="104" t="s">
        <v>76</v>
      </c>
      <c r="AD4" s="104" t="s">
        <v>77</v>
      </c>
      <c r="AE4" s="104" t="s">
        <v>78</v>
      </c>
      <c r="AF4" s="105" t="s">
        <v>54</v>
      </c>
    </row>
    <row r="5" spans="2:35" ht="17.399999999999999" thickTop="1" x14ac:dyDescent="0.4">
      <c r="B5" s="106" t="s">
        <v>79</v>
      </c>
      <c r="C5" s="106"/>
      <c r="E5" s="107">
        <v>1</v>
      </c>
      <c r="F5" s="107">
        <v>1</v>
      </c>
      <c r="G5" s="141">
        <v>100000000</v>
      </c>
      <c r="H5" s="141">
        <f>PMT($C$11/12,$C$8,-$C$7)</f>
        <v>1537668.1158701384</v>
      </c>
      <c r="I5" s="141">
        <f>($C$11/12)*G5</f>
        <v>1145833.3333333335</v>
      </c>
      <c r="J5" s="141">
        <f>H5-I5</f>
        <v>391834.78253680491</v>
      </c>
      <c r="K5" s="108">
        <f>G5-J5</f>
        <v>99608165.217463195</v>
      </c>
      <c r="L5" s="108">
        <f>G5*(1+$C$11/12)^4</f>
        <v>104662712.86022516</v>
      </c>
      <c r="M5" s="108">
        <f>G5*($C$11-$C$10)/12</f>
        <v>166666.66666666683</v>
      </c>
      <c r="N5" s="108">
        <f>($C$13+$C$14)</f>
        <v>1262500</v>
      </c>
      <c r="O5" s="108">
        <f>SUM(M5:N5)</f>
        <v>1429166.6666666667</v>
      </c>
      <c r="P5" s="108">
        <f>0.4*O5</f>
        <v>571666.66666666674</v>
      </c>
      <c r="Q5" s="100">
        <f>15.7%/12</f>
        <v>1.3083333333333334E-2</v>
      </c>
      <c r="R5" s="100">
        <f>20%</f>
        <v>0.2</v>
      </c>
      <c r="S5" s="108">
        <f>Q5*R5*L5</f>
        <v>273867.43198425585</v>
      </c>
      <c r="T5" s="108">
        <f>L5*($C$22/12)*$C$28</f>
        <v>372075.9442181004</v>
      </c>
      <c r="U5" s="108">
        <f>O5*$C$23</f>
        <v>48558.829698413516</v>
      </c>
      <c r="V5" s="108">
        <f>O5*$C$24</f>
        <v>83942.761589911606</v>
      </c>
      <c r="W5" s="108">
        <f>SUM(T5:V5)</f>
        <v>504577.53550642548</v>
      </c>
      <c r="X5" s="108">
        <f>O5-P5-S5</f>
        <v>583632.56801574421</v>
      </c>
      <c r="Y5" s="108">
        <f>0.27*X5</f>
        <v>157580.79336425095</v>
      </c>
      <c r="Z5" s="108">
        <f>X5-Y5</f>
        <v>426051.7746514933</v>
      </c>
      <c r="AA5" s="108">
        <f>W5*($C$36/12)</f>
        <v>6039.4900609787537</v>
      </c>
      <c r="AB5" s="108">
        <f>Z5-AA5</f>
        <v>420012.28459051455</v>
      </c>
      <c r="AC5" s="109">
        <f>(1+($C$37/12))^-E5</f>
        <v>0.99042508289053799</v>
      </c>
      <c r="AD5" s="108">
        <f>Z5*AC5</f>
        <v>421972.36422486603</v>
      </c>
      <c r="AE5" s="108">
        <f>W5*AC5</f>
        <v>499746.24742865481</v>
      </c>
      <c r="AF5" s="48">
        <f>Z5/W5</f>
        <v>0.84437325221758275</v>
      </c>
      <c r="AG5" s="110"/>
      <c r="AH5" s="169" t="s">
        <v>97</v>
      </c>
      <c r="AI5" s="169" t="s">
        <v>96</v>
      </c>
    </row>
    <row r="6" spans="2:35" x14ac:dyDescent="0.4">
      <c r="E6" s="107">
        <v>2</v>
      </c>
      <c r="F6" s="107">
        <v>1</v>
      </c>
      <c r="G6" s="141">
        <f>K5</f>
        <v>99608165.217463195</v>
      </c>
      <c r="H6" s="141">
        <f t="shared" ref="H6:H69" si="0">PMT($C$11/12,$C$8,-$C$7)</f>
        <v>1537668.1158701384</v>
      </c>
      <c r="I6" s="141">
        <f t="shared" ref="I6:I69" si="1">($C$11/12)*G6</f>
        <v>1141343.5597834326</v>
      </c>
      <c r="J6" s="141">
        <f t="shared" ref="J6:J69" si="2">H6-I6</f>
        <v>396324.55608670576</v>
      </c>
      <c r="K6" s="108">
        <f t="shared" ref="K6:K69" si="3">G6-J6</f>
        <v>99211840.661376491</v>
      </c>
      <c r="L6" s="108">
        <f t="shared" ref="L6:L69" si="4">G6*(1+$C$11/12)^4</f>
        <v>104252607.94689217</v>
      </c>
      <c r="M6" s="108">
        <f t="shared" ref="M6:M69" si="5">G6*($C$11-$C$10)/12</f>
        <v>166013.60869577216</v>
      </c>
      <c r="N6" s="108">
        <f t="shared" ref="N6:N69" si="6">$C$14</f>
        <v>12500</v>
      </c>
      <c r="O6" s="108">
        <f t="shared" ref="O6:O69" si="7">SUM(M6:N6)</f>
        <v>178513.60869577216</v>
      </c>
      <c r="P6" s="108">
        <f t="shared" ref="P6:P69" si="8">0.4*O6</f>
        <v>71405.443478308865</v>
      </c>
      <c r="Q6" s="100">
        <f t="shared" ref="Q6:Q69" si="9">15.7%/12</f>
        <v>1.3083333333333334E-2</v>
      </c>
      <c r="R6" s="100">
        <f>20%</f>
        <v>0.2</v>
      </c>
      <c r="S6" s="108">
        <f t="shared" ref="S6:S69" si="10">Q6*R6*L6</f>
        <v>272794.32412770123</v>
      </c>
      <c r="T6" s="108">
        <f t="shared" ref="T6:T69" si="11">L6*($C$22/12)*$C$28</f>
        <v>370618.02125120169</v>
      </c>
      <c r="U6" s="108">
        <f t="shared" ref="U6:U69" si="12">O6*$C$23</f>
        <v>6065.36111265812</v>
      </c>
      <c r="V6" s="108">
        <f t="shared" ref="V6:V69" si="13">O6*$C$24</f>
        <v>10485.078923827852</v>
      </c>
      <c r="W6" s="108">
        <f t="shared" ref="W6:W69" si="14">SUM(T6:V6)</f>
        <v>387168.46128768765</v>
      </c>
      <c r="X6" s="108">
        <f t="shared" ref="X6:X69" si="15">O6-P6-S6</f>
        <v>-165686.15891023795</v>
      </c>
      <c r="Y6" s="108">
        <f t="shared" ref="Y6:Y69" si="16">0.27*X6</f>
        <v>-44735.262905764248</v>
      </c>
      <c r="Z6" s="108">
        <f t="shared" ref="Z6:Z69" si="17">X6-Y6</f>
        <v>-120950.8960044737</v>
      </c>
      <c r="AA6" s="108">
        <f t="shared" ref="AA6:AA69" si="18">W6*($C$36/12)</f>
        <v>4634.1739560889546</v>
      </c>
      <c r="AB6" s="108">
        <f t="shared" ref="AB6:AB69" si="19">Z6-AA6</f>
        <v>-125585.06996056266</v>
      </c>
      <c r="AC6" s="109">
        <f t="shared" ref="AC6:AC69" si="20">(1+($C$37/12))^-E6</f>
        <v>0.98094184481872915</v>
      </c>
      <c r="AD6" s="108">
        <f t="shared" ref="AD6:AD69" si="21">Z6*AC6</f>
        <v>-118645.79505910669</v>
      </c>
      <c r="AE6" s="108">
        <f t="shared" ref="AE6:AE69" si="22">W6*AC6</f>
        <v>379789.74467117304</v>
      </c>
      <c r="AF6" s="48">
        <f t="shared" ref="AF6:AF69" si="23">Z6/W6</f>
        <v>-0.31239862772448418</v>
      </c>
      <c r="AG6" s="110"/>
      <c r="AH6" s="173">
        <v>5.0000000000000002E-5</v>
      </c>
      <c r="AI6" s="170">
        <v>0.23</v>
      </c>
    </row>
    <row r="7" spans="2:35" x14ac:dyDescent="0.4">
      <c r="B7" s="111" t="s">
        <v>80</v>
      </c>
      <c r="C7" s="142">
        <v>100000000</v>
      </c>
      <c r="E7" s="107">
        <v>3</v>
      </c>
      <c r="F7" s="107">
        <v>1</v>
      </c>
      <c r="G7" s="141">
        <f t="shared" ref="G7:G70" si="24">K6</f>
        <v>99211840.661376491</v>
      </c>
      <c r="H7" s="141">
        <f t="shared" si="0"/>
        <v>1537668.1158701384</v>
      </c>
      <c r="I7" s="141">
        <f t="shared" si="1"/>
        <v>1136802.3409116056</v>
      </c>
      <c r="J7" s="141">
        <f t="shared" si="2"/>
        <v>400865.77495853277</v>
      </c>
      <c r="K7" s="108">
        <f t="shared" si="3"/>
        <v>98810974.886417955</v>
      </c>
      <c r="L7" s="108">
        <f t="shared" si="4"/>
        <v>103837803.91476057</v>
      </c>
      <c r="M7" s="108">
        <f t="shared" si="5"/>
        <v>165353.06776896096</v>
      </c>
      <c r="N7" s="108">
        <f t="shared" si="6"/>
        <v>12500</v>
      </c>
      <c r="O7" s="108">
        <f t="shared" si="7"/>
        <v>177853.06776896096</v>
      </c>
      <c r="P7" s="108">
        <f t="shared" si="8"/>
        <v>71141.227107584389</v>
      </c>
      <c r="Q7" s="100">
        <f t="shared" si="9"/>
        <v>1.3083333333333334E-2</v>
      </c>
      <c r="R7" s="100">
        <f>20%</f>
        <v>0.2</v>
      </c>
      <c r="S7" s="108">
        <f t="shared" si="10"/>
        <v>271708.92024362355</v>
      </c>
      <c r="T7" s="108">
        <f t="shared" si="11"/>
        <v>369143.3929169738</v>
      </c>
      <c r="U7" s="108">
        <f t="shared" si="12"/>
        <v>6042.9178979358876</v>
      </c>
      <c r="V7" s="108">
        <f t="shared" si="13"/>
        <v>10446.281748639731</v>
      </c>
      <c r="W7" s="108">
        <f t="shared" si="14"/>
        <v>385632.59256354941</v>
      </c>
      <c r="X7" s="108">
        <f t="shared" si="15"/>
        <v>-164997.07958224698</v>
      </c>
      <c r="Y7" s="108">
        <f t="shared" si="16"/>
        <v>-44549.211487206689</v>
      </c>
      <c r="Z7" s="108">
        <f t="shared" si="17"/>
        <v>-120447.86809504029</v>
      </c>
      <c r="AA7" s="108">
        <f t="shared" si="18"/>
        <v>4615.7905298726228</v>
      </c>
      <c r="AB7" s="108">
        <f t="shared" si="19"/>
        <v>-125063.65862491292</v>
      </c>
      <c r="AC7" s="109">
        <f t="shared" si="20"/>
        <v>0.97154940796538714</v>
      </c>
      <c r="AD7" s="108">
        <f t="shared" si="21"/>
        <v>-117021.05493842944</v>
      </c>
      <c r="AE7" s="108">
        <f t="shared" si="22"/>
        <v>374661.11699727376</v>
      </c>
      <c r="AF7" s="48">
        <f t="shared" si="23"/>
        <v>-0.31233840297145365</v>
      </c>
      <c r="AG7" s="110"/>
      <c r="AH7" s="171">
        <v>1E-4</v>
      </c>
      <c r="AI7" s="170">
        <v>0.23</v>
      </c>
    </row>
    <row r="8" spans="2:35" x14ac:dyDescent="0.4">
      <c r="B8" s="111" t="s">
        <v>81</v>
      </c>
      <c r="C8" s="112">
        <v>120</v>
      </c>
      <c r="E8" s="107">
        <v>4</v>
      </c>
      <c r="F8" s="107">
        <v>1</v>
      </c>
      <c r="G8" s="141">
        <f t="shared" si="24"/>
        <v>98810974.886417955</v>
      </c>
      <c r="H8" s="141">
        <f t="shared" si="0"/>
        <v>1537668.1158701384</v>
      </c>
      <c r="I8" s="141">
        <f t="shared" si="1"/>
        <v>1132209.0872402058</v>
      </c>
      <c r="J8" s="141">
        <f t="shared" si="2"/>
        <v>405459.02862993255</v>
      </c>
      <c r="K8" s="108">
        <f t="shared" si="3"/>
        <v>98405515.857788026</v>
      </c>
      <c r="L8" s="108">
        <f t="shared" si="4"/>
        <v>103418246.91976081</v>
      </c>
      <c r="M8" s="108">
        <f t="shared" si="5"/>
        <v>164684.95814403007</v>
      </c>
      <c r="N8" s="108">
        <f t="shared" si="6"/>
        <v>12500</v>
      </c>
      <c r="O8" s="108">
        <f t="shared" si="7"/>
        <v>177184.95814403007</v>
      </c>
      <c r="P8" s="108">
        <f t="shared" si="8"/>
        <v>70873.983257612024</v>
      </c>
      <c r="Q8" s="100">
        <f t="shared" si="9"/>
        <v>1.3083333333333334E-2</v>
      </c>
      <c r="R8" s="100">
        <f>20%</f>
        <v>0.2</v>
      </c>
      <c r="S8" s="108">
        <f t="shared" si="10"/>
        <v>270611.0794400408</v>
      </c>
      <c r="T8" s="108">
        <f t="shared" si="11"/>
        <v>367651.86779974966</v>
      </c>
      <c r="U8" s="108">
        <f t="shared" si="12"/>
        <v>6020.2175213782966</v>
      </c>
      <c r="V8" s="108">
        <f t="shared" si="13"/>
        <v>10407.040022485911</v>
      </c>
      <c r="W8" s="108">
        <f t="shared" si="14"/>
        <v>384079.12534361385</v>
      </c>
      <c r="X8" s="108">
        <f t="shared" si="15"/>
        <v>-164300.10455362278</v>
      </c>
      <c r="Y8" s="108">
        <f t="shared" si="16"/>
        <v>-44361.02822947815</v>
      </c>
      <c r="Z8" s="108">
        <f t="shared" si="17"/>
        <v>-119939.07632414463</v>
      </c>
      <c r="AA8" s="108">
        <f t="shared" si="18"/>
        <v>4597.1964602308963</v>
      </c>
      <c r="AB8" s="108">
        <f t="shared" si="19"/>
        <v>-124536.27278437553</v>
      </c>
      <c r="AC8" s="109">
        <f t="shared" si="20"/>
        <v>0.9622469029163716</v>
      </c>
      <c r="AD8" s="108">
        <f t="shared" si="21"/>
        <v>-115411.00473155848</v>
      </c>
      <c r="AE8" s="108">
        <f t="shared" si="22"/>
        <v>369578.94883672131</v>
      </c>
      <c r="AF8" s="48">
        <f t="shared" si="23"/>
        <v>-0.31227699817542004</v>
      </c>
      <c r="AG8" s="110"/>
      <c r="AH8" s="171">
        <v>5.0000000000000001E-4</v>
      </c>
      <c r="AI8" s="170">
        <v>0.23</v>
      </c>
    </row>
    <row r="9" spans="2:35" x14ac:dyDescent="0.4">
      <c r="B9" s="111" t="s">
        <v>82</v>
      </c>
      <c r="C9" s="112"/>
      <c r="E9" s="107">
        <v>5</v>
      </c>
      <c r="F9" s="107">
        <v>1</v>
      </c>
      <c r="G9" s="141">
        <f t="shared" si="24"/>
        <v>98405515.857788026</v>
      </c>
      <c r="H9" s="141">
        <f t="shared" si="0"/>
        <v>1537668.1158701384</v>
      </c>
      <c r="I9" s="141">
        <f t="shared" si="1"/>
        <v>1127563.2025371545</v>
      </c>
      <c r="J9" s="141">
        <f t="shared" si="2"/>
        <v>410104.91333298385</v>
      </c>
      <c r="K9" s="108">
        <f t="shared" si="3"/>
        <v>97995410.944455042</v>
      </c>
      <c r="L9" s="108">
        <f t="shared" si="4"/>
        <v>102993882.50086001</v>
      </c>
      <c r="M9" s="108">
        <f t="shared" si="5"/>
        <v>164009.19309631354</v>
      </c>
      <c r="N9" s="108">
        <f t="shared" si="6"/>
        <v>12500</v>
      </c>
      <c r="O9" s="108">
        <f t="shared" si="7"/>
        <v>176509.19309631354</v>
      </c>
      <c r="P9" s="108">
        <f t="shared" si="8"/>
        <v>70603.677238525415</v>
      </c>
      <c r="Q9" s="100">
        <f t="shared" si="9"/>
        <v>1.3083333333333334E-2</v>
      </c>
      <c r="R9" s="100">
        <f>20%</f>
        <v>0.2</v>
      </c>
      <c r="S9" s="108">
        <f t="shared" si="10"/>
        <v>269500.65921058372</v>
      </c>
      <c r="T9" s="108">
        <f t="shared" si="11"/>
        <v>366143.25229055731</v>
      </c>
      <c r="U9" s="108">
        <f t="shared" si="12"/>
        <v>5997.2570363393179</v>
      </c>
      <c r="V9" s="108">
        <f t="shared" si="13"/>
        <v>10367.34865155325</v>
      </c>
      <c r="W9" s="108">
        <f t="shared" si="14"/>
        <v>382507.8579784499</v>
      </c>
      <c r="X9" s="108">
        <f t="shared" si="15"/>
        <v>-163595.1433527956</v>
      </c>
      <c r="Y9" s="108">
        <f t="shared" si="16"/>
        <v>-44170.688705254812</v>
      </c>
      <c r="Z9" s="108">
        <f t="shared" si="17"/>
        <v>-119424.45464754078</v>
      </c>
      <c r="AA9" s="108">
        <f t="shared" si="18"/>
        <v>4578.3893335411922</v>
      </c>
      <c r="AB9" s="108">
        <f t="shared" si="19"/>
        <v>-124002.84398108197</v>
      </c>
      <c r="AC9" s="109">
        <f t="shared" si="20"/>
        <v>0.9530334685821108</v>
      </c>
      <c r="AD9" s="108">
        <f t="shared" si="21"/>
        <v>-113815.50224627278</v>
      </c>
      <c r="AE9" s="108">
        <f t="shared" si="22"/>
        <v>364542.79064911552</v>
      </c>
      <c r="AF9" s="48">
        <f t="shared" si="23"/>
        <v>-0.3122143824147765</v>
      </c>
      <c r="AG9" s="110"/>
      <c r="AH9" s="171">
        <v>6.7000000000000002E-3</v>
      </c>
      <c r="AI9" s="170">
        <v>0.21</v>
      </c>
    </row>
    <row r="10" spans="2:35" x14ac:dyDescent="0.4">
      <c r="B10" s="111" t="s">
        <v>83</v>
      </c>
      <c r="C10" s="140">
        <v>0.11749999999999999</v>
      </c>
      <c r="E10" s="107">
        <v>6</v>
      </c>
      <c r="F10" s="107">
        <v>1</v>
      </c>
      <c r="G10" s="141">
        <f t="shared" si="24"/>
        <v>97995410.944455042</v>
      </c>
      <c r="H10" s="141">
        <f t="shared" si="0"/>
        <v>1537668.1158701384</v>
      </c>
      <c r="I10" s="141">
        <f t="shared" si="1"/>
        <v>1122864.0837385475</v>
      </c>
      <c r="J10" s="141">
        <f t="shared" si="2"/>
        <v>414804.03213159088</v>
      </c>
      <c r="K10" s="108">
        <f t="shared" si="3"/>
        <v>97580606.912323445</v>
      </c>
      <c r="L10" s="108">
        <f t="shared" si="4"/>
        <v>102564655.57299264</v>
      </c>
      <c r="M10" s="108">
        <f t="shared" si="5"/>
        <v>163325.68490742522</v>
      </c>
      <c r="N10" s="108">
        <f t="shared" si="6"/>
        <v>12500</v>
      </c>
      <c r="O10" s="108">
        <f t="shared" si="7"/>
        <v>175825.68490742522</v>
      </c>
      <c r="P10" s="108">
        <f t="shared" si="8"/>
        <v>70330.273962970095</v>
      </c>
      <c r="Q10" s="100">
        <f t="shared" si="9"/>
        <v>1.3083333333333334E-2</v>
      </c>
      <c r="R10" s="100">
        <f>20%</f>
        <v>0.2</v>
      </c>
      <c r="S10" s="108">
        <f t="shared" si="10"/>
        <v>268377.51541599742</v>
      </c>
      <c r="T10" s="108">
        <f t="shared" si="11"/>
        <v>364617.35056198883</v>
      </c>
      <c r="U10" s="108">
        <f t="shared" si="12"/>
        <v>5974.0334624092666</v>
      </c>
      <c r="V10" s="108">
        <f t="shared" si="13"/>
        <v>10327.20248366198</v>
      </c>
      <c r="W10" s="108">
        <f t="shared" si="14"/>
        <v>380918.58650806011</v>
      </c>
      <c r="X10" s="108">
        <f t="shared" si="15"/>
        <v>-162882.10447154229</v>
      </c>
      <c r="Y10" s="108">
        <f t="shared" si="16"/>
        <v>-43978.168207316419</v>
      </c>
      <c r="Z10" s="108">
        <f t="shared" si="17"/>
        <v>-118903.93626422586</v>
      </c>
      <c r="AA10" s="108">
        <f t="shared" si="18"/>
        <v>4559.3667085248353</v>
      </c>
      <c r="AB10" s="108">
        <f t="shared" si="19"/>
        <v>-123463.30297275069</v>
      </c>
      <c r="AC10" s="109">
        <f t="shared" si="20"/>
        <v>0.94390825211789409</v>
      </c>
      <c r="AD10" s="108">
        <f t="shared" si="21"/>
        <v>-112234.40664910292</v>
      </c>
      <c r="AE10" s="108">
        <f t="shared" si="22"/>
        <v>359552.19719004183</v>
      </c>
      <c r="AF10" s="48">
        <f t="shared" si="23"/>
        <v>-0.31215052369651147</v>
      </c>
      <c r="AG10" s="110"/>
      <c r="AH10" s="171">
        <v>1.5299999999999999E-2</v>
      </c>
      <c r="AI10" s="170">
        <v>0.18</v>
      </c>
    </row>
    <row r="11" spans="2:35" x14ac:dyDescent="0.4">
      <c r="B11" s="111" t="s">
        <v>84</v>
      </c>
      <c r="C11" s="140">
        <v>0.13750000000000001</v>
      </c>
      <c r="E11" s="107">
        <v>7</v>
      </c>
      <c r="F11" s="107">
        <v>1</v>
      </c>
      <c r="G11" s="141">
        <f t="shared" si="24"/>
        <v>97580606.912323445</v>
      </c>
      <c r="H11" s="141">
        <f t="shared" si="0"/>
        <v>1537668.1158701384</v>
      </c>
      <c r="I11" s="141">
        <f t="shared" si="1"/>
        <v>1118111.120870373</v>
      </c>
      <c r="J11" s="141">
        <f t="shared" si="2"/>
        <v>419556.99499976542</v>
      </c>
      <c r="K11" s="108">
        <f t="shared" si="3"/>
        <v>97161049.917323679</v>
      </c>
      <c r="L11" s="108">
        <f t="shared" si="4"/>
        <v>102130510.4199101</v>
      </c>
      <c r="M11" s="108">
        <f t="shared" si="5"/>
        <v>162634.34485387255</v>
      </c>
      <c r="N11" s="108">
        <f t="shared" si="6"/>
        <v>12500</v>
      </c>
      <c r="O11" s="108">
        <f t="shared" si="7"/>
        <v>175134.34485387255</v>
      </c>
      <c r="P11" s="108">
        <f t="shared" si="8"/>
        <v>70053.737941549029</v>
      </c>
      <c r="Q11" s="100">
        <f t="shared" si="9"/>
        <v>1.3083333333333334E-2</v>
      </c>
      <c r="R11" s="100">
        <f>20%</f>
        <v>0.2</v>
      </c>
      <c r="S11" s="108">
        <f t="shared" si="10"/>
        <v>267241.50226543145</v>
      </c>
      <c r="T11" s="108">
        <f t="shared" si="11"/>
        <v>363073.96454278042</v>
      </c>
      <c r="U11" s="108">
        <f t="shared" si="12"/>
        <v>5950.5437850279322</v>
      </c>
      <c r="V11" s="108">
        <f t="shared" si="13"/>
        <v>10286.596307596958</v>
      </c>
      <c r="W11" s="108">
        <f t="shared" si="14"/>
        <v>379311.1046354053</v>
      </c>
      <c r="X11" s="108">
        <f t="shared" si="15"/>
        <v>-162160.89535310795</v>
      </c>
      <c r="Y11" s="108">
        <f t="shared" si="16"/>
        <v>-43783.441745339151</v>
      </c>
      <c r="Z11" s="108">
        <f t="shared" si="17"/>
        <v>-118377.4536077688</v>
      </c>
      <c r="AA11" s="108">
        <f t="shared" si="18"/>
        <v>4540.1261159301648</v>
      </c>
      <c r="AB11" s="108">
        <f t="shared" si="19"/>
        <v>-122917.57972369896</v>
      </c>
      <c r="AC11" s="109">
        <f t="shared" si="20"/>
        <v>0.93487040884492822</v>
      </c>
      <c r="AD11" s="108">
        <f t="shared" si="21"/>
        <v>-110667.57845231633</v>
      </c>
      <c r="AE11" s="108">
        <f t="shared" si="22"/>
        <v>354606.72746992268</v>
      </c>
      <c r="AF11" s="48">
        <f t="shared" si="23"/>
        <v>-0.31208538890933202</v>
      </c>
      <c r="AG11" s="110"/>
      <c r="AH11" s="171">
        <v>0.02</v>
      </c>
      <c r="AI11" s="170">
        <v>0.16</v>
      </c>
    </row>
    <row r="12" spans="2:35" x14ac:dyDescent="0.4">
      <c r="E12" s="107">
        <v>8</v>
      </c>
      <c r="F12" s="107">
        <v>1</v>
      </c>
      <c r="G12" s="141">
        <f t="shared" si="24"/>
        <v>97161049.917323679</v>
      </c>
      <c r="H12" s="141">
        <f t="shared" si="0"/>
        <v>1537668.1158701384</v>
      </c>
      <c r="I12" s="141">
        <f t="shared" si="1"/>
        <v>1113303.6969693338</v>
      </c>
      <c r="J12" s="141">
        <f t="shared" si="2"/>
        <v>424364.41890080459</v>
      </c>
      <c r="K12" s="108">
        <f t="shared" si="3"/>
        <v>96736685.498422876</v>
      </c>
      <c r="L12" s="108">
        <f t="shared" si="4"/>
        <v>101691390.68694851</v>
      </c>
      <c r="M12" s="108">
        <f t="shared" si="5"/>
        <v>161935.0831955396</v>
      </c>
      <c r="N12" s="108">
        <f t="shared" si="6"/>
        <v>12500</v>
      </c>
      <c r="O12" s="108">
        <f t="shared" si="7"/>
        <v>174435.0831955396</v>
      </c>
      <c r="P12" s="108">
        <f t="shared" si="8"/>
        <v>69774.033278215837</v>
      </c>
      <c r="Q12" s="100">
        <f t="shared" si="9"/>
        <v>1.3083333333333334E-2</v>
      </c>
      <c r="R12" s="100">
        <f>20%</f>
        <v>0.2</v>
      </c>
      <c r="S12" s="108">
        <f t="shared" si="10"/>
        <v>266092.47229751531</v>
      </c>
      <c r="T12" s="108">
        <f t="shared" si="11"/>
        <v>361512.89389210194</v>
      </c>
      <c r="U12" s="108">
        <f t="shared" si="12"/>
        <v>5926.7849550932706</v>
      </c>
      <c r="V12" s="108">
        <f t="shared" si="13"/>
        <v>10245.52485243119</v>
      </c>
      <c r="W12" s="108">
        <f t="shared" si="14"/>
        <v>377685.20369962644</v>
      </c>
      <c r="X12" s="108">
        <f t="shared" si="15"/>
        <v>-161431.42238019157</v>
      </c>
      <c r="Y12" s="108">
        <f t="shared" si="16"/>
        <v>-43586.484042651726</v>
      </c>
      <c r="Z12" s="108">
        <f t="shared" si="17"/>
        <v>-117844.93833753985</v>
      </c>
      <c r="AA12" s="108">
        <f t="shared" si="18"/>
        <v>4520.6650582120146</v>
      </c>
      <c r="AB12" s="108">
        <f t="shared" si="19"/>
        <v>-122365.60339575187</v>
      </c>
      <c r="AC12" s="109">
        <f t="shared" si="20"/>
        <v>0.92591910217214912</v>
      </c>
      <c r="AD12" s="108">
        <f t="shared" si="21"/>
        <v>-109114.87950102717</v>
      </c>
      <c r="AE12" s="108">
        <f t="shared" si="22"/>
        <v>349705.94471326336</v>
      </c>
      <c r="AF12" s="48">
        <f t="shared" si="23"/>
        <v>-0.31201894377430284</v>
      </c>
      <c r="AG12" s="110"/>
      <c r="AH12" s="171">
        <v>3.5700000000000003E-2</v>
      </c>
      <c r="AI12" s="170">
        <v>0.11</v>
      </c>
    </row>
    <row r="13" spans="2:35" x14ac:dyDescent="0.4">
      <c r="B13" s="111" t="s">
        <v>85</v>
      </c>
      <c r="C13" s="142">
        <v>1250000</v>
      </c>
      <c r="E13" s="107">
        <v>9</v>
      </c>
      <c r="F13" s="107">
        <v>1</v>
      </c>
      <c r="G13" s="141">
        <f t="shared" si="24"/>
        <v>96736685.498422876</v>
      </c>
      <c r="H13" s="141">
        <f t="shared" si="0"/>
        <v>1537668.1158701384</v>
      </c>
      <c r="I13" s="141">
        <f t="shared" si="1"/>
        <v>1108441.1880027622</v>
      </c>
      <c r="J13" s="141">
        <f t="shared" si="2"/>
        <v>429226.92786737625</v>
      </c>
      <c r="K13" s="108">
        <f t="shared" si="3"/>
        <v>96307458.570555493</v>
      </c>
      <c r="L13" s="108">
        <f t="shared" si="4"/>
        <v>101247239.37371339</v>
      </c>
      <c r="M13" s="108">
        <f t="shared" si="5"/>
        <v>161227.80916403828</v>
      </c>
      <c r="N13" s="108">
        <f t="shared" si="6"/>
        <v>12500</v>
      </c>
      <c r="O13" s="108">
        <f t="shared" si="7"/>
        <v>173727.80916403828</v>
      </c>
      <c r="P13" s="108">
        <f t="shared" si="8"/>
        <v>69491.12366561532</v>
      </c>
      <c r="Q13" s="100">
        <f t="shared" si="9"/>
        <v>1.3083333333333334E-2</v>
      </c>
      <c r="R13" s="100">
        <f>20%</f>
        <v>0.2</v>
      </c>
      <c r="S13" s="108">
        <f t="shared" si="10"/>
        <v>264930.27636121673</v>
      </c>
      <c r="T13" s="108">
        <f t="shared" si="11"/>
        <v>359933.93597355107</v>
      </c>
      <c r="U13" s="108">
        <f t="shared" si="12"/>
        <v>5902.7538885656095</v>
      </c>
      <c r="V13" s="108">
        <f t="shared" si="13"/>
        <v>10203.982786841651</v>
      </c>
      <c r="W13" s="108">
        <f t="shared" si="14"/>
        <v>376040.67264895828</v>
      </c>
      <c r="X13" s="108">
        <f t="shared" si="15"/>
        <v>-160693.59086279379</v>
      </c>
      <c r="Y13" s="108">
        <f t="shared" si="16"/>
        <v>-43387.269532954328</v>
      </c>
      <c r="Z13" s="108">
        <f t="shared" si="17"/>
        <v>-117306.32132983947</v>
      </c>
      <c r="AA13" s="108">
        <f t="shared" si="18"/>
        <v>4500.9810092075086</v>
      </c>
      <c r="AB13" s="108">
        <f t="shared" si="19"/>
        <v>-121807.30233904698</v>
      </c>
      <c r="AC13" s="109">
        <f t="shared" si="20"/>
        <v>0.91705350351878334</v>
      </c>
      <c r="AD13" s="108">
        <f t="shared" si="21"/>
        <v>-107576.17296042947</v>
      </c>
      <c r="AE13" s="108">
        <f t="shared" si="22"/>
        <v>344849.41631828714</v>
      </c>
      <c r="AF13" s="48">
        <f t="shared" si="23"/>
        <v>-0.31195115279284519</v>
      </c>
      <c r="AG13" s="110"/>
      <c r="AH13" s="171">
        <v>5.5500000000000001E-2</v>
      </c>
      <c r="AI13" s="170">
        <v>0.05</v>
      </c>
    </row>
    <row r="14" spans="2:35" x14ac:dyDescent="0.4">
      <c r="B14" s="111" t="s">
        <v>86</v>
      </c>
      <c r="C14" s="142">
        <v>12500</v>
      </c>
      <c r="E14" s="107">
        <v>10</v>
      </c>
      <c r="F14" s="107">
        <v>1</v>
      </c>
      <c r="G14" s="141">
        <f t="shared" si="24"/>
        <v>96307458.570555493</v>
      </c>
      <c r="H14" s="141">
        <f t="shared" si="0"/>
        <v>1537668.1158701384</v>
      </c>
      <c r="I14" s="141">
        <f t="shared" si="1"/>
        <v>1103522.9627876151</v>
      </c>
      <c r="J14" s="141">
        <f t="shared" si="2"/>
        <v>434145.15308252326</v>
      </c>
      <c r="K14" s="108">
        <f t="shared" si="3"/>
        <v>95873313.417472973</v>
      </c>
      <c r="L14" s="108">
        <f t="shared" si="4"/>
        <v>100797998.82668079</v>
      </c>
      <c r="M14" s="108">
        <f t="shared" si="5"/>
        <v>160512.43095092595</v>
      </c>
      <c r="N14" s="108">
        <f t="shared" si="6"/>
        <v>12500</v>
      </c>
      <c r="O14" s="108">
        <f t="shared" si="7"/>
        <v>173012.43095092595</v>
      </c>
      <c r="P14" s="108">
        <f t="shared" si="8"/>
        <v>69204.972380370382</v>
      </c>
      <c r="Q14" s="100">
        <f t="shared" si="9"/>
        <v>1.3083333333333334E-2</v>
      </c>
      <c r="R14" s="100">
        <f>20%</f>
        <v>0.2</v>
      </c>
      <c r="S14" s="108">
        <f t="shared" si="10"/>
        <v>263754.76359648141</v>
      </c>
      <c r="T14" s="108">
        <f t="shared" si="11"/>
        <v>358336.88582885021</v>
      </c>
      <c r="U14" s="108">
        <f t="shared" si="12"/>
        <v>5878.4474660673168</v>
      </c>
      <c r="V14" s="108">
        <f t="shared" si="13"/>
        <v>10161.964718417226</v>
      </c>
      <c r="W14" s="108">
        <f t="shared" si="14"/>
        <v>374377.29801333474</v>
      </c>
      <c r="X14" s="108">
        <f t="shared" si="15"/>
        <v>-159947.30502592586</v>
      </c>
      <c r="Y14" s="108">
        <f t="shared" si="16"/>
        <v>-43185.772356999987</v>
      </c>
      <c r="Z14" s="108">
        <f t="shared" si="17"/>
        <v>-116761.53266892588</v>
      </c>
      <c r="AA14" s="108">
        <f t="shared" si="18"/>
        <v>4481.0714138081621</v>
      </c>
      <c r="AB14" s="108">
        <f t="shared" si="19"/>
        <v>-121242.60408273405</v>
      </c>
      <c r="AC14" s="109">
        <f t="shared" si="20"/>
        <v>0.90827279223764934</v>
      </c>
      <c r="AD14" s="108">
        <f t="shared" si="21"/>
        <v>-106051.32330315282</v>
      </c>
      <c r="AE14" s="108">
        <f t="shared" si="22"/>
        <v>340036.71381695813</v>
      </c>
      <c r="AF14" s="48">
        <f t="shared" si="23"/>
        <v>-0.31188197919193011</v>
      </c>
      <c r="AG14" s="110"/>
      <c r="AH14" s="171">
        <v>8.7300000000000003E-2</v>
      </c>
      <c r="AI14" s="170">
        <v>-0.06</v>
      </c>
    </row>
    <row r="15" spans="2:35" x14ac:dyDescent="0.4">
      <c r="E15" s="107">
        <v>11</v>
      </c>
      <c r="F15" s="107">
        <v>1</v>
      </c>
      <c r="G15" s="141">
        <f t="shared" si="24"/>
        <v>95873313.417472973</v>
      </c>
      <c r="H15" s="141">
        <f t="shared" si="0"/>
        <v>1537668.1158701384</v>
      </c>
      <c r="I15" s="141">
        <f t="shared" si="1"/>
        <v>1098548.3829085445</v>
      </c>
      <c r="J15" s="141">
        <f t="shared" si="2"/>
        <v>439119.73296159389</v>
      </c>
      <c r="K15" s="108">
        <f t="shared" si="3"/>
        <v>95434193.684511378</v>
      </c>
      <c r="L15" s="108">
        <f t="shared" si="4"/>
        <v>100343610.73171344</v>
      </c>
      <c r="M15" s="108">
        <f t="shared" si="5"/>
        <v>159788.85569578843</v>
      </c>
      <c r="N15" s="108">
        <f t="shared" si="6"/>
        <v>12500</v>
      </c>
      <c r="O15" s="108">
        <f t="shared" si="7"/>
        <v>172288.85569578843</v>
      </c>
      <c r="P15" s="108">
        <f t="shared" si="8"/>
        <v>68915.542278315377</v>
      </c>
      <c r="Q15" s="100">
        <f t="shared" si="9"/>
        <v>1.3083333333333334E-2</v>
      </c>
      <c r="R15" s="100">
        <f>20%</f>
        <v>0.2</v>
      </c>
      <c r="S15" s="108">
        <f t="shared" si="10"/>
        <v>262565.78141465021</v>
      </c>
      <c r="T15" s="108">
        <f t="shared" si="11"/>
        <v>356721.53615124128</v>
      </c>
      <c r="U15" s="108">
        <f t="shared" si="12"/>
        <v>5853.8625324778995</v>
      </c>
      <c r="V15" s="108">
        <f t="shared" si="13"/>
        <v>10119.465192958776</v>
      </c>
      <c r="W15" s="108">
        <f t="shared" si="14"/>
        <v>372694.86387667793</v>
      </c>
      <c r="X15" s="108">
        <f t="shared" si="15"/>
        <v>-159192.46799717715</v>
      </c>
      <c r="Y15" s="108">
        <f t="shared" si="16"/>
        <v>-42981.966359237835</v>
      </c>
      <c r="Z15" s="108">
        <f t="shared" si="17"/>
        <v>-116210.50163793932</v>
      </c>
      <c r="AA15" s="108">
        <f t="shared" si="18"/>
        <v>4460.9336876281959</v>
      </c>
      <c r="AB15" s="108">
        <f t="shared" si="19"/>
        <v>-120671.43532556752</v>
      </c>
      <c r="AC15" s="109">
        <f t="shared" si="20"/>
        <v>0.89957615553919423</v>
      </c>
      <c r="AD15" s="108">
        <f t="shared" si="21"/>
        <v>-104540.19629673869</v>
      </c>
      <c r="AE15" s="108">
        <f t="shared" si="22"/>
        <v>335267.41283538524</v>
      </c>
      <c r="AF15" s="48">
        <f t="shared" si="23"/>
        <v>-0.31181138486628712</v>
      </c>
      <c r="AG15" s="110"/>
      <c r="AH15" s="171">
        <v>0.1011</v>
      </c>
      <c r="AI15" s="170">
        <v>-0.1</v>
      </c>
    </row>
    <row r="16" spans="2:35" x14ac:dyDescent="0.4">
      <c r="B16" s="106" t="s">
        <v>87</v>
      </c>
      <c r="C16" s="106"/>
      <c r="E16" s="107">
        <v>12</v>
      </c>
      <c r="F16" s="107">
        <v>1</v>
      </c>
      <c r="G16" s="141">
        <f t="shared" si="24"/>
        <v>95434193.684511378</v>
      </c>
      <c r="H16" s="141">
        <f t="shared" si="0"/>
        <v>1537668.1158701384</v>
      </c>
      <c r="I16" s="141">
        <f t="shared" si="1"/>
        <v>1093516.8026350264</v>
      </c>
      <c r="J16" s="141">
        <f t="shared" si="2"/>
        <v>444151.313235112</v>
      </c>
      <c r="K16" s="108">
        <f t="shared" si="3"/>
        <v>94990042.371276259</v>
      </c>
      <c r="L16" s="108">
        <f t="shared" si="4"/>
        <v>99884016.106491268</v>
      </c>
      <c r="M16" s="108">
        <f t="shared" si="5"/>
        <v>159056.98947418577</v>
      </c>
      <c r="N16" s="108">
        <f t="shared" si="6"/>
        <v>12500</v>
      </c>
      <c r="O16" s="108">
        <f t="shared" si="7"/>
        <v>171556.98947418577</v>
      </c>
      <c r="P16" s="108">
        <f t="shared" si="8"/>
        <v>68622.795789674317</v>
      </c>
      <c r="Q16" s="100">
        <f t="shared" si="9"/>
        <v>1.3083333333333334E-2</v>
      </c>
      <c r="R16" s="100">
        <f>20%</f>
        <v>0.2</v>
      </c>
      <c r="S16" s="108">
        <f t="shared" si="10"/>
        <v>261363.17547865218</v>
      </c>
      <c r="T16" s="108">
        <f t="shared" si="11"/>
        <v>355087.67725857638</v>
      </c>
      <c r="U16" s="108">
        <f t="shared" si="12"/>
        <v>5828.9958965244359</v>
      </c>
      <c r="V16" s="108">
        <f t="shared" si="13"/>
        <v>10076.478693771114</v>
      </c>
      <c r="W16" s="108">
        <f t="shared" si="14"/>
        <v>370993.15184887196</v>
      </c>
      <c r="X16" s="108">
        <f t="shared" si="15"/>
        <v>-158428.98179414071</v>
      </c>
      <c r="Y16" s="108">
        <f t="shared" si="16"/>
        <v>-42775.825084417993</v>
      </c>
      <c r="Z16" s="108">
        <f t="shared" si="17"/>
        <v>-115653.15670972271</v>
      </c>
      <c r="AA16" s="108">
        <f t="shared" si="18"/>
        <v>4440.5652166690861</v>
      </c>
      <c r="AB16" s="108">
        <f t="shared" si="19"/>
        <v>-120093.72192639179</v>
      </c>
      <c r="AC16" s="109">
        <f t="shared" si="20"/>
        <v>0.89096278841625787</v>
      </c>
      <c r="AD16" s="108">
        <f t="shared" si="21"/>
        <v>-103042.65899123698</v>
      </c>
      <c r="AE16" s="108">
        <f t="shared" si="22"/>
        <v>330541.09305460716</v>
      </c>
      <c r="AF16" s="48">
        <f t="shared" si="23"/>
        <v>-0.31173933031743739</v>
      </c>
      <c r="AG16" s="110"/>
      <c r="AH16" s="171">
        <v>0.157</v>
      </c>
      <c r="AI16" s="170">
        <v>-0.28000000000000003</v>
      </c>
    </row>
    <row r="17" spans="2:33" x14ac:dyDescent="0.4">
      <c r="E17" s="107">
        <v>13</v>
      </c>
      <c r="F17" s="107">
        <v>2</v>
      </c>
      <c r="G17" s="141">
        <f t="shared" si="24"/>
        <v>94990042.371276259</v>
      </c>
      <c r="H17" s="141">
        <f t="shared" si="0"/>
        <v>1537668.1158701384</v>
      </c>
      <c r="I17" s="141">
        <f t="shared" si="1"/>
        <v>1088427.5688375405</v>
      </c>
      <c r="J17" s="141">
        <f t="shared" si="2"/>
        <v>449240.54703259794</v>
      </c>
      <c r="K17" s="108">
        <f t="shared" si="3"/>
        <v>94540801.824243665</v>
      </c>
      <c r="L17" s="108">
        <f t="shared" si="4"/>
        <v>99419155.292855069</v>
      </c>
      <c r="M17" s="108">
        <f t="shared" si="5"/>
        <v>158316.73728546058</v>
      </c>
      <c r="N17" s="108">
        <f t="shared" si="6"/>
        <v>12500</v>
      </c>
      <c r="O17" s="108">
        <f t="shared" si="7"/>
        <v>170816.73728546058</v>
      </c>
      <c r="P17" s="108">
        <f t="shared" si="8"/>
        <v>68326.694914184234</v>
      </c>
      <c r="Q17" s="100">
        <f t="shared" si="9"/>
        <v>1.3083333333333334E-2</v>
      </c>
      <c r="R17" s="100">
        <f>20%</f>
        <v>0.2</v>
      </c>
      <c r="S17" s="108">
        <f t="shared" si="10"/>
        <v>260146.78968297079</v>
      </c>
      <c r="T17" s="108">
        <f t="shared" si="11"/>
        <v>353435.09706609976</v>
      </c>
      <c r="U17" s="108">
        <f t="shared" si="12"/>
        <v>5803.8443303673384</v>
      </c>
      <c r="V17" s="108">
        <f t="shared" si="13"/>
        <v>10032.999640946926</v>
      </c>
      <c r="W17" s="108">
        <f t="shared" si="14"/>
        <v>369271.94103741401</v>
      </c>
      <c r="X17" s="108">
        <f t="shared" si="15"/>
        <v>-157656.74731169443</v>
      </c>
      <c r="Y17" s="108">
        <f t="shared" si="16"/>
        <v>-42567.321774157499</v>
      </c>
      <c r="Z17" s="108">
        <f t="shared" si="17"/>
        <v>-115089.42553753694</v>
      </c>
      <c r="AA17" s="108">
        <f t="shared" si="18"/>
        <v>4419.9633569802354</v>
      </c>
      <c r="AB17" s="108">
        <f t="shared" si="19"/>
        <v>-119509.38889451718</v>
      </c>
      <c r="AC17" s="109">
        <f t="shared" si="20"/>
        <v>0.88243189356955709</v>
      </c>
      <c r="AD17" s="108">
        <f t="shared" si="21"/>
        <v>-101558.57970692126</v>
      </c>
      <c r="AE17" s="108">
        <f t="shared" si="22"/>
        <v>325857.33817175106</v>
      </c>
      <c r="AF17" s="48">
        <f t="shared" si="23"/>
        <v>-0.31166577458934597</v>
      </c>
      <c r="AG17" s="110"/>
    </row>
    <row r="18" spans="2:33" x14ac:dyDescent="0.4">
      <c r="B18" s="111" t="s">
        <v>88</v>
      </c>
      <c r="C18" s="112"/>
      <c r="E18" s="107">
        <v>14</v>
      </c>
      <c r="F18" s="107">
        <v>2</v>
      </c>
      <c r="G18" s="141">
        <f t="shared" si="24"/>
        <v>94540801.824243665</v>
      </c>
      <c r="H18" s="141">
        <f t="shared" si="0"/>
        <v>1537668.1158701384</v>
      </c>
      <c r="I18" s="141">
        <f t="shared" si="1"/>
        <v>1083280.020902792</v>
      </c>
      <c r="J18" s="141">
        <f t="shared" si="2"/>
        <v>454388.09496734641</v>
      </c>
      <c r="K18" s="108">
        <f t="shared" si="3"/>
        <v>94086413.729276314</v>
      </c>
      <c r="L18" s="108">
        <f t="shared" si="4"/>
        <v>98948967.949062645</v>
      </c>
      <c r="M18" s="108">
        <f t="shared" si="5"/>
        <v>157568.00304040624</v>
      </c>
      <c r="N18" s="108">
        <f t="shared" si="6"/>
        <v>12500</v>
      </c>
      <c r="O18" s="108">
        <f t="shared" si="7"/>
        <v>170068.00304040624</v>
      </c>
      <c r="P18" s="108">
        <f t="shared" si="8"/>
        <v>68027.201216162503</v>
      </c>
      <c r="Q18" s="100">
        <f t="shared" si="9"/>
        <v>1.3083333333333334E-2</v>
      </c>
      <c r="R18" s="100">
        <f>20%</f>
        <v>0.2</v>
      </c>
      <c r="S18" s="108">
        <f t="shared" si="10"/>
        <v>258916.4661333806</v>
      </c>
      <c r="T18" s="108">
        <f t="shared" si="11"/>
        <v>351763.58105891768</v>
      </c>
      <c r="U18" s="108">
        <f t="shared" si="12"/>
        <v>5778.4045691813581</v>
      </c>
      <c r="V18" s="108">
        <f t="shared" si="13"/>
        <v>9989.0223906424599</v>
      </c>
      <c r="W18" s="108">
        <f t="shared" si="14"/>
        <v>367531.0080187415</v>
      </c>
      <c r="X18" s="108">
        <f t="shared" si="15"/>
        <v>-156875.66430913686</v>
      </c>
      <c r="Y18" s="108">
        <f t="shared" si="16"/>
        <v>-42356.429363466952</v>
      </c>
      <c r="Z18" s="108">
        <f t="shared" si="17"/>
        <v>-114519.23494566992</v>
      </c>
      <c r="AA18" s="108">
        <f t="shared" si="18"/>
        <v>4399.1254343157834</v>
      </c>
      <c r="AB18" s="108">
        <f t="shared" si="19"/>
        <v>-118918.36037998569</v>
      </c>
      <c r="AC18" s="109">
        <f t="shared" si="20"/>
        <v>0.87398268133388302</v>
      </c>
      <c r="AD18" s="108">
        <f t="shared" si="21"/>
        <v>-100087.82802212151</v>
      </c>
      <c r="AE18" s="108">
        <f t="shared" si="22"/>
        <v>321215.73586156458</v>
      </c>
      <c r="AF18" s="48">
        <f t="shared" si="23"/>
        <v>-0.31159067520047246</v>
      </c>
      <c r="AG18" s="110"/>
    </row>
    <row r="19" spans="2:33" x14ac:dyDescent="0.4">
      <c r="E19" s="107">
        <v>15</v>
      </c>
      <c r="F19" s="107">
        <v>2</v>
      </c>
      <c r="G19" s="141">
        <f t="shared" si="24"/>
        <v>94086413.729276314</v>
      </c>
      <c r="H19" s="141">
        <f t="shared" si="0"/>
        <v>1537668.1158701384</v>
      </c>
      <c r="I19" s="141">
        <f t="shared" si="1"/>
        <v>1078073.4906479579</v>
      </c>
      <c r="J19" s="141">
        <f t="shared" si="2"/>
        <v>459594.6252221805</v>
      </c>
      <c r="K19" s="108">
        <f t="shared" si="3"/>
        <v>93626819.104054138</v>
      </c>
      <c r="L19" s="108">
        <f t="shared" si="4"/>
        <v>98473393.041955918</v>
      </c>
      <c r="M19" s="108">
        <f t="shared" si="5"/>
        <v>156810.68954879401</v>
      </c>
      <c r="N19" s="108">
        <f t="shared" si="6"/>
        <v>12500</v>
      </c>
      <c r="O19" s="108">
        <f t="shared" si="7"/>
        <v>169310.68954879401</v>
      </c>
      <c r="P19" s="108">
        <f t="shared" si="8"/>
        <v>67724.275819517599</v>
      </c>
      <c r="Q19" s="100">
        <f t="shared" si="9"/>
        <v>1.3083333333333334E-2</v>
      </c>
      <c r="R19" s="100">
        <f>20%</f>
        <v>0.2</v>
      </c>
      <c r="S19" s="108">
        <f t="shared" si="10"/>
        <v>257672.04512645135</v>
      </c>
      <c r="T19" s="108">
        <f t="shared" si="11"/>
        <v>350072.91226415324</v>
      </c>
      <c r="U19" s="108">
        <f t="shared" si="12"/>
        <v>5752.6733107317887</v>
      </c>
      <c r="V19" s="108">
        <f t="shared" si="13"/>
        <v>9944.5412343449243</v>
      </c>
      <c r="W19" s="108">
        <f t="shared" si="14"/>
        <v>365770.12680922996</v>
      </c>
      <c r="X19" s="108">
        <f t="shared" si="15"/>
        <v>-156085.63139717496</v>
      </c>
      <c r="Y19" s="108">
        <f t="shared" si="16"/>
        <v>-42143.120477237244</v>
      </c>
      <c r="Z19" s="108">
        <f t="shared" si="17"/>
        <v>-113942.51091993772</v>
      </c>
      <c r="AA19" s="108">
        <f t="shared" si="18"/>
        <v>4378.0487437874681</v>
      </c>
      <c r="AB19" s="108">
        <f t="shared" si="19"/>
        <v>-118320.55966372519</v>
      </c>
      <c r="AC19" s="109">
        <f t="shared" si="20"/>
        <v>0.86561436960500604</v>
      </c>
      <c r="AD19" s="108">
        <f t="shared" si="21"/>
        <v>-98630.274761173408</v>
      </c>
      <c r="AE19" s="108">
        <f t="shared" si="22"/>
        <v>316615.87773831468</v>
      </c>
      <c r="AF19" s="48">
        <f t="shared" si="23"/>
        <v>-0.31151398807198177</v>
      </c>
      <c r="AG19" s="110"/>
    </row>
    <row r="20" spans="2:33" x14ac:dyDescent="0.4">
      <c r="B20" s="106" t="s">
        <v>89</v>
      </c>
      <c r="C20" s="106"/>
      <c r="E20" s="107">
        <v>16</v>
      </c>
      <c r="F20" s="107">
        <v>2</v>
      </c>
      <c r="G20" s="141">
        <f t="shared" si="24"/>
        <v>93626819.104054138</v>
      </c>
      <c r="H20" s="141">
        <f t="shared" si="0"/>
        <v>1537668.1158701384</v>
      </c>
      <c r="I20" s="141">
        <f t="shared" si="1"/>
        <v>1072807.3022339537</v>
      </c>
      <c r="J20" s="141">
        <f t="shared" si="2"/>
        <v>464860.81363618467</v>
      </c>
      <c r="K20" s="108">
        <f t="shared" si="3"/>
        <v>93161958.290417954</v>
      </c>
      <c r="L20" s="108">
        <f t="shared" si="4"/>
        <v>97992368.83903861</v>
      </c>
      <c r="M20" s="108">
        <f t="shared" si="5"/>
        <v>156044.69850675703</v>
      </c>
      <c r="N20" s="108">
        <f t="shared" si="6"/>
        <v>12500</v>
      </c>
      <c r="O20" s="108">
        <f t="shared" si="7"/>
        <v>168544.69850675703</v>
      </c>
      <c r="P20" s="108">
        <f t="shared" si="8"/>
        <v>67417.87940270282</v>
      </c>
      <c r="Q20" s="100">
        <f t="shared" si="9"/>
        <v>1.3083333333333334E-2</v>
      </c>
      <c r="R20" s="100">
        <f>20%</f>
        <v>0.2</v>
      </c>
      <c r="S20" s="108">
        <f t="shared" si="10"/>
        <v>256413.36512881771</v>
      </c>
      <c r="T20" s="108">
        <f t="shared" si="11"/>
        <v>348362.87122278224</v>
      </c>
      <c r="U20" s="108">
        <f t="shared" si="12"/>
        <v>5726.6472149458177</v>
      </c>
      <c r="V20" s="108">
        <f t="shared" si="13"/>
        <v>9899.5503981314778</v>
      </c>
      <c r="W20" s="108">
        <f t="shared" si="14"/>
        <v>363989.06883585954</v>
      </c>
      <c r="X20" s="108">
        <f t="shared" si="15"/>
        <v>-155286.54602476349</v>
      </c>
      <c r="Y20" s="108">
        <f t="shared" si="16"/>
        <v>-41927.367426686142</v>
      </c>
      <c r="Z20" s="108">
        <f t="shared" si="17"/>
        <v>-113359.17859807736</v>
      </c>
      <c r="AA20" s="108">
        <f t="shared" si="18"/>
        <v>4356.7305495135161</v>
      </c>
      <c r="AB20" s="108">
        <f t="shared" si="19"/>
        <v>-117715.90914759088</v>
      </c>
      <c r="AC20" s="109">
        <f t="shared" si="20"/>
        <v>0.85732618376727865</v>
      </c>
      <c r="AD20" s="108">
        <f t="shared" si="21"/>
        <v>-97185.791982483031</v>
      </c>
      <c r="AE20" s="108">
        <f t="shared" si="22"/>
        <v>312057.35931805277</v>
      </c>
      <c r="AF20" s="48">
        <f t="shared" si="23"/>
        <v>-0.31143566745186119</v>
      </c>
      <c r="AG20" s="110"/>
    </row>
    <row r="21" spans="2:33" x14ac:dyDescent="0.4">
      <c r="E21" s="107">
        <v>17</v>
      </c>
      <c r="F21" s="107">
        <v>2</v>
      </c>
      <c r="G21" s="141">
        <f t="shared" si="24"/>
        <v>93161958.290417954</v>
      </c>
      <c r="H21" s="141">
        <f t="shared" si="0"/>
        <v>1537668.1158701384</v>
      </c>
      <c r="I21" s="141">
        <f t="shared" si="1"/>
        <v>1067480.7720777057</v>
      </c>
      <c r="J21" s="141">
        <f t="shared" si="2"/>
        <v>470187.34379243269</v>
      </c>
      <c r="K21" s="108">
        <f t="shared" si="3"/>
        <v>92691770.946625516</v>
      </c>
      <c r="L21" s="108">
        <f t="shared" si="4"/>
        <v>97505832.900462866</v>
      </c>
      <c r="M21" s="108">
        <f t="shared" si="5"/>
        <v>155269.93048403008</v>
      </c>
      <c r="N21" s="108">
        <f t="shared" si="6"/>
        <v>12500</v>
      </c>
      <c r="O21" s="108">
        <f t="shared" si="7"/>
        <v>167769.93048403008</v>
      </c>
      <c r="P21" s="108">
        <f t="shared" si="8"/>
        <v>67107.972193612033</v>
      </c>
      <c r="Q21" s="100">
        <f t="shared" si="9"/>
        <v>1.3083333333333334E-2</v>
      </c>
      <c r="R21" s="100">
        <f>20%</f>
        <v>0.2</v>
      </c>
      <c r="S21" s="108">
        <f t="shared" si="10"/>
        <v>255140.26275621119</v>
      </c>
      <c r="T21" s="108">
        <f t="shared" si="11"/>
        <v>346633.23596114543</v>
      </c>
      <c r="U21" s="108">
        <f t="shared" si="12"/>
        <v>5700.3229034789665</v>
      </c>
      <c r="V21" s="108">
        <f t="shared" si="13"/>
        <v>9854.044041919753</v>
      </c>
      <c r="W21" s="108">
        <f t="shared" si="14"/>
        <v>362187.60290654417</v>
      </c>
      <c r="X21" s="108">
        <f t="shared" si="15"/>
        <v>-154478.30446579313</v>
      </c>
      <c r="Y21" s="108">
        <f t="shared" si="16"/>
        <v>-41709.142205764147</v>
      </c>
      <c r="Z21" s="108">
        <f t="shared" si="17"/>
        <v>-112769.16226002898</v>
      </c>
      <c r="AA21" s="108">
        <f t="shared" si="18"/>
        <v>4335.1680842635087</v>
      </c>
      <c r="AB21" s="108">
        <f t="shared" si="19"/>
        <v>-117104.3303442925</v>
      </c>
      <c r="AC21" s="109">
        <f t="shared" si="20"/>
        <v>0.84911735662193566</v>
      </c>
      <c r="AD21" s="108">
        <f t="shared" si="21"/>
        <v>-95754.252966705957</v>
      </c>
      <c r="AE21" s="108">
        <f t="shared" si="22"/>
        <v>307539.77998124011</v>
      </c>
      <c r="AF21" s="48">
        <f t="shared" si="23"/>
        <v>-0.31135566583466689</v>
      </c>
      <c r="AG21" s="110"/>
    </row>
    <row r="22" spans="2:33" x14ac:dyDescent="0.4">
      <c r="B22" s="113" t="s">
        <v>14</v>
      </c>
      <c r="C22" s="114">
        <v>4.4999999999999998E-2</v>
      </c>
      <c r="E22" s="107">
        <v>18</v>
      </c>
      <c r="F22" s="107">
        <v>2</v>
      </c>
      <c r="G22" s="141">
        <f t="shared" si="24"/>
        <v>92691770.946625516</v>
      </c>
      <c r="H22" s="141">
        <f t="shared" si="0"/>
        <v>1537668.1158701384</v>
      </c>
      <c r="I22" s="141">
        <f t="shared" si="1"/>
        <v>1062093.2087634176</v>
      </c>
      <c r="J22" s="141">
        <f t="shared" si="2"/>
        <v>475574.90710672084</v>
      </c>
      <c r="K22" s="108">
        <f t="shared" si="3"/>
        <v>92216196.039518788</v>
      </c>
      <c r="L22" s="108">
        <f t="shared" si="4"/>
        <v>97013722.070924267</v>
      </c>
      <c r="M22" s="108">
        <f t="shared" si="5"/>
        <v>154486.28491104266</v>
      </c>
      <c r="N22" s="108">
        <f t="shared" si="6"/>
        <v>12500</v>
      </c>
      <c r="O22" s="108">
        <f t="shared" si="7"/>
        <v>166986.28491104266</v>
      </c>
      <c r="P22" s="108">
        <f t="shared" si="8"/>
        <v>66794.51396441707</v>
      </c>
      <c r="Q22" s="100">
        <f t="shared" si="9"/>
        <v>1.3083333333333334E-2</v>
      </c>
      <c r="R22" s="100">
        <f>20%</f>
        <v>0.2</v>
      </c>
      <c r="S22" s="108">
        <f t="shared" si="10"/>
        <v>253852.57275225184</v>
      </c>
      <c r="T22" s="108">
        <f t="shared" si="11"/>
        <v>344883.78196213575</v>
      </c>
      <c r="U22" s="108">
        <f t="shared" si="12"/>
        <v>5673.6969592765563</v>
      </c>
      <c r="V22" s="108">
        <f t="shared" si="13"/>
        <v>9808.0162587097657</v>
      </c>
      <c r="W22" s="108">
        <f t="shared" si="14"/>
        <v>360365.49518012209</v>
      </c>
      <c r="X22" s="108">
        <f t="shared" si="15"/>
        <v>-153660.80180562625</v>
      </c>
      <c r="Y22" s="108">
        <f t="shared" si="16"/>
        <v>-41488.416487519091</v>
      </c>
      <c r="Z22" s="108">
        <f t="shared" si="17"/>
        <v>-112172.38531810716</v>
      </c>
      <c r="AA22" s="108">
        <f t="shared" si="18"/>
        <v>4313.3585490991773</v>
      </c>
      <c r="AB22" s="108">
        <f t="shared" si="19"/>
        <v>-116485.74386720634</v>
      </c>
      <c r="AC22" s="109">
        <f t="shared" si="20"/>
        <v>0.84098712831607514</v>
      </c>
      <c r="AD22" s="108">
        <f t="shared" si="21"/>
        <v>-94335.532205039213</v>
      </c>
      <c r="AE22" s="108">
        <f t="shared" si="22"/>
        <v>303062.74293573131</v>
      </c>
      <c r="AF22" s="48">
        <f t="shared" si="23"/>
        <v>-0.31127393387660451</v>
      </c>
      <c r="AG22" s="110"/>
    </row>
    <row r="23" spans="2:33" x14ac:dyDescent="0.4">
      <c r="B23" s="113" t="s">
        <v>17</v>
      </c>
      <c r="C23" s="48">
        <v>3.3977023695682923E-2</v>
      </c>
      <c r="E23" s="107">
        <v>19</v>
      </c>
      <c r="F23" s="107">
        <v>2</v>
      </c>
      <c r="G23" s="141">
        <f t="shared" si="24"/>
        <v>92216196.039518788</v>
      </c>
      <c r="H23" s="141">
        <f t="shared" si="0"/>
        <v>1537668.1158701384</v>
      </c>
      <c r="I23" s="141">
        <f t="shared" si="1"/>
        <v>1056643.9129528196</v>
      </c>
      <c r="J23" s="141">
        <f t="shared" si="2"/>
        <v>481024.20291731879</v>
      </c>
      <c r="K23" s="108">
        <f t="shared" si="3"/>
        <v>91735171.836601466</v>
      </c>
      <c r="L23" s="108">
        <f t="shared" si="4"/>
        <v>96515972.471463859</v>
      </c>
      <c r="M23" s="108">
        <f t="shared" si="5"/>
        <v>153693.66006586477</v>
      </c>
      <c r="N23" s="108">
        <f t="shared" si="6"/>
        <v>12500</v>
      </c>
      <c r="O23" s="108">
        <f t="shared" si="7"/>
        <v>166193.66006586477</v>
      </c>
      <c r="P23" s="108">
        <f t="shared" si="8"/>
        <v>66477.464026345915</v>
      </c>
      <c r="Q23" s="100">
        <f t="shared" si="9"/>
        <v>1.3083333333333334E-2</v>
      </c>
      <c r="R23" s="100">
        <f>20%</f>
        <v>0.2</v>
      </c>
      <c r="S23" s="108">
        <f t="shared" si="10"/>
        <v>252550.12796699713</v>
      </c>
      <c r="T23" s="108">
        <f t="shared" si="11"/>
        <v>343114.28213605395</v>
      </c>
      <c r="U23" s="108">
        <f t="shared" si="12"/>
        <v>5646.7659261301596</v>
      </c>
      <c r="V23" s="108">
        <f t="shared" si="13"/>
        <v>9761.461073817165</v>
      </c>
      <c r="W23" s="108">
        <f t="shared" si="14"/>
        <v>358522.50913600129</v>
      </c>
      <c r="X23" s="108">
        <f t="shared" si="15"/>
        <v>-152833.93192747829</v>
      </c>
      <c r="Y23" s="108">
        <f t="shared" si="16"/>
        <v>-41265.161620419138</v>
      </c>
      <c r="Z23" s="108">
        <f t="shared" si="17"/>
        <v>-111568.77030705915</v>
      </c>
      <c r="AA23" s="108">
        <f t="shared" si="18"/>
        <v>4291.2991130110877</v>
      </c>
      <c r="AB23" s="108">
        <f t="shared" si="19"/>
        <v>-115860.06942007024</v>
      </c>
      <c r="AC23" s="109">
        <f t="shared" si="20"/>
        <v>0.83293474627232422</v>
      </c>
      <c r="AD23" s="108">
        <f t="shared" si="21"/>
        <v>-92929.505387625541</v>
      </c>
      <c r="AE23" s="108">
        <f t="shared" si="22"/>
        <v>298625.8551801123</v>
      </c>
      <c r="AF23" s="48">
        <f t="shared" si="23"/>
        <v>-0.31119042030562399</v>
      </c>
      <c r="AG23" s="110"/>
    </row>
    <row r="24" spans="2:33" x14ac:dyDescent="0.4">
      <c r="B24" s="113" t="s">
        <v>20</v>
      </c>
      <c r="C24" s="48">
        <v>5.873546000460287E-2</v>
      </c>
      <c r="E24" s="107">
        <v>20</v>
      </c>
      <c r="F24" s="107">
        <v>2</v>
      </c>
      <c r="G24" s="141">
        <f t="shared" si="24"/>
        <v>91735171.836601466</v>
      </c>
      <c r="H24" s="141">
        <f t="shared" si="0"/>
        <v>1537668.1158701384</v>
      </c>
      <c r="I24" s="141">
        <f t="shared" si="1"/>
        <v>1051132.1772943919</v>
      </c>
      <c r="J24" s="141">
        <f t="shared" si="2"/>
        <v>486535.93857574649</v>
      </c>
      <c r="K24" s="108">
        <f t="shared" si="3"/>
        <v>91248635.898025721</v>
      </c>
      <c r="L24" s="108">
        <f t="shared" si="4"/>
        <v>96012519.491176322</v>
      </c>
      <c r="M24" s="108">
        <f t="shared" si="5"/>
        <v>152891.95306100257</v>
      </c>
      <c r="N24" s="108">
        <f t="shared" si="6"/>
        <v>12500</v>
      </c>
      <c r="O24" s="108">
        <f t="shared" si="7"/>
        <v>165391.95306100257</v>
      </c>
      <c r="P24" s="108">
        <f t="shared" si="8"/>
        <v>66156.781224401027</v>
      </c>
      <c r="Q24" s="100">
        <f t="shared" si="9"/>
        <v>1.3083333333333334E-2</v>
      </c>
      <c r="R24" s="100">
        <f>20%</f>
        <v>0.2</v>
      </c>
      <c r="S24" s="108">
        <f t="shared" si="10"/>
        <v>251232.75933524474</v>
      </c>
      <c r="T24" s="108">
        <f t="shared" si="11"/>
        <v>341324.5067911318</v>
      </c>
      <c r="U24" s="108">
        <f t="shared" si="12"/>
        <v>5619.5263082289621</v>
      </c>
      <c r="V24" s="108">
        <f t="shared" si="13"/>
        <v>9714.3724440976712</v>
      </c>
      <c r="W24" s="108">
        <f t="shared" si="14"/>
        <v>356658.40554345842</v>
      </c>
      <c r="X24" s="108">
        <f t="shared" si="15"/>
        <v>-151997.5874986432</v>
      </c>
      <c r="Y24" s="108">
        <f t="shared" si="16"/>
        <v>-41039.348624633669</v>
      </c>
      <c r="Z24" s="108">
        <f t="shared" si="17"/>
        <v>-110958.23887400953</v>
      </c>
      <c r="AA24" s="108">
        <f t="shared" si="18"/>
        <v>4268.9869125511559</v>
      </c>
      <c r="AB24" s="108">
        <f t="shared" si="19"/>
        <v>-115227.2257865607</v>
      </c>
      <c r="AC24" s="109">
        <f t="shared" si="20"/>
        <v>0.82495946511917606</v>
      </c>
      <c r="AD24" s="108">
        <f t="shared" si="21"/>
        <v>-91536.049392068671</v>
      </c>
      <c r="AE24" s="108">
        <f t="shared" si="22"/>
        <v>294228.72746738966</v>
      </c>
      <c r="AF24" s="48">
        <f t="shared" si="23"/>
        <v>-0.31110507182618302</v>
      </c>
      <c r="AG24" s="110"/>
    </row>
    <row r="25" spans="2:33" x14ac:dyDescent="0.4">
      <c r="E25" s="107">
        <v>21</v>
      </c>
      <c r="F25" s="107">
        <v>2</v>
      </c>
      <c r="G25" s="141">
        <f t="shared" si="24"/>
        <v>91248635.898025721</v>
      </c>
      <c r="H25" s="141">
        <f t="shared" si="0"/>
        <v>1537668.1158701384</v>
      </c>
      <c r="I25" s="141">
        <f t="shared" si="1"/>
        <v>1045557.2863315449</v>
      </c>
      <c r="J25" s="141">
        <f t="shared" si="2"/>
        <v>492110.82953859353</v>
      </c>
      <c r="K25" s="108">
        <f t="shared" si="3"/>
        <v>90756525.068487123</v>
      </c>
      <c r="L25" s="108">
        <f t="shared" si="4"/>
        <v>95503297.778822988</v>
      </c>
      <c r="M25" s="108">
        <f t="shared" si="5"/>
        <v>152081.059830043</v>
      </c>
      <c r="N25" s="108">
        <f t="shared" si="6"/>
        <v>12500</v>
      </c>
      <c r="O25" s="108">
        <f t="shared" si="7"/>
        <v>164581.059830043</v>
      </c>
      <c r="P25" s="108">
        <f t="shared" si="8"/>
        <v>65832.423932017206</v>
      </c>
      <c r="Q25" s="100">
        <f t="shared" si="9"/>
        <v>1.3083333333333334E-2</v>
      </c>
      <c r="R25" s="100">
        <f>20%</f>
        <v>0.2</v>
      </c>
      <c r="S25" s="108">
        <f t="shared" si="10"/>
        <v>249900.29585458685</v>
      </c>
      <c r="T25" s="108">
        <f t="shared" si="11"/>
        <v>339514.22360371565</v>
      </c>
      <c r="U25" s="108">
        <f t="shared" si="12"/>
        <v>5591.9745697059798</v>
      </c>
      <c r="V25" s="108">
        <f t="shared" si="13"/>
        <v>9666.7442571626434</v>
      </c>
      <c r="W25" s="108">
        <f t="shared" si="14"/>
        <v>354772.94243058423</v>
      </c>
      <c r="X25" s="108">
        <f t="shared" si="15"/>
        <v>-151151.65995656105</v>
      </c>
      <c r="Y25" s="108">
        <f t="shared" si="16"/>
        <v>-40810.94818827149</v>
      </c>
      <c r="Z25" s="108">
        <f t="shared" si="17"/>
        <v>-110340.71176828956</v>
      </c>
      <c r="AA25" s="108">
        <f t="shared" si="18"/>
        <v>4246.4190514609536</v>
      </c>
      <c r="AB25" s="108">
        <f t="shared" si="19"/>
        <v>-114587.13081975051</v>
      </c>
      <c r="AC25" s="109">
        <f t="shared" si="20"/>
        <v>0.81706054662199368</v>
      </c>
      <c r="AD25" s="108">
        <f t="shared" si="21"/>
        <v>-90155.042272058519</v>
      </c>
      <c r="AE25" s="108">
        <f t="shared" si="22"/>
        <v>289870.97426902625</v>
      </c>
      <c r="AF25" s="48">
        <f t="shared" si="23"/>
        <v>-0.31101783301830888</v>
      </c>
      <c r="AG25" s="110"/>
    </row>
    <row r="26" spans="2:33" x14ac:dyDescent="0.4">
      <c r="B26" s="106" t="s">
        <v>12</v>
      </c>
      <c r="C26" s="106"/>
      <c r="E26" s="107">
        <v>22</v>
      </c>
      <c r="F26" s="107">
        <v>2</v>
      </c>
      <c r="G26" s="141">
        <f t="shared" si="24"/>
        <v>90756525.068487123</v>
      </c>
      <c r="H26" s="141">
        <f t="shared" si="0"/>
        <v>1537668.1158701384</v>
      </c>
      <c r="I26" s="141">
        <f t="shared" si="1"/>
        <v>1039918.5164097484</v>
      </c>
      <c r="J26" s="141">
        <f t="shared" si="2"/>
        <v>497749.59946039005</v>
      </c>
      <c r="K26" s="108">
        <f t="shared" si="3"/>
        <v>90258775.469026729</v>
      </c>
      <c r="L26" s="108">
        <f t="shared" si="4"/>
        <v>94988241.234348938</v>
      </c>
      <c r="M26" s="108">
        <f t="shared" si="5"/>
        <v>151260.87511414534</v>
      </c>
      <c r="N26" s="108">
        <f t="shared" si="6"/>
        <v>12500</v>
      </c>
      <c r="O26" s="108">
        <f t="shared" si="7"/>
        <v>163760.87511414534</v>
      </c>
      <c r="P26" s="108">
        <f t="shared" si="8"/>
        <v>65504.350045658139</v>
      </c>
      <c r="Q26" s="100">
        <f t="shared" si="9"/>
        <v>1.3083333333333334E-2</v>
      </c>
      <c r="R26" s="100">
        <f>20%</f>
        <v>0.2</v>
      </c>
      <c r="S26" s="108">
        <f t="shared" si="10"/>
        <v>248552.56456321306</v>
      </c>
      <c r="T26" s="108">
        <f t="shared" si="11"/>
        <v>337683.19758811046</v>
      </c>
      <c r="U26" s="108">
        <f t="shared" si="12"/>
        <v>5564.1071341790885</v>
      </c>
      <c r="V26" s="108">
        <f t="shared" si="13"/>
        <v>9618.5703305856496</v>
      </c>
      <c r="W26" s="108">
        <f t="shared" si="14"/>
        <v>352865.8750528752</v>
      </c>
      <c r="X26" s="108">
        <f t="shared" si="15"/>
        <v>-150296.03949472588</v>
      </c>
      <c r="Y26" s="108">
        <f t="shared" si="16"/>
        <v>-40579.930663575986</v>
      </c>
      <c r="Z26" s="108">
        <f t="shared" si="17"/>
        <v>-109716.10883114989</v>
      </c>
      <c r="AA26" s="108">
        <f t="shared" si="18"/>
        <v>4223.5926002957613</v>
      </c>
      <c r="AB26" s="108">
        <f t="shared" si="19"/>
        <v>-113939.70143144565</v>
      </c>
      <c r="AC26" s="109">
        <f t="shared" si="20"/>
        <v>0.80923725961467652</v>
      </c>
      <c r="AD26" s="108">
        <f t="shared" si="21"/>
        <v>-88786.363246105349</v>
      </c>
      <c r="AE26" s="108">
        <f t="shared" si="22"/>
        <v>285552.21373932355</v>
      </c>
      <c r="AF26" s="48">
        <f t="shared" si="23"/>
        <v>-0.31092864623055283</v>
      </c>
      <c r="AG26" s="110"/>
    </row>
    <row r="27" spans="2:33" x14ac:dyDescent="0.4">
      <c r="D27" s="115">
        <v>1.3920062094741E-2</v>
      </c>
      <c r="E27" s="107">
        <v>23</v>
      </c>
      <c r="F27" s="107">
        <v>2</v>
      </c>
      <c r="G27" s="141">
        <f t="shared" si="24"/>
        <v>90258775.469026729</v>
      </c>
      <c r="H27" s="141">
        <f t="shared" si="0"/>
        <v>1537668.1158701384</v>
      </c>
      <c r="I27" s="141">
        <f t="shared" si="1"/>
        <v>1034215.135582598</v>
      </c>
      <c r="J27" s="141">
        <f t="shared" si="2"/>
        <v>503452.98028754035</v>
      </c>
      <c r="K27" s="108">
        <f t="shared" si="3"/>
        <v>89755322.488739192</v>
      </c>
      <c r="L27" s="108">
        <f t="shared" si="4"/>
        <v>94467283.000302777</v>
      </c>
      <c r="M27" s="108">
        <f t="shared" si="5"/>
        <v>150431.29244837802</v>
      </c>
      <c r="N27" s="108">
        <f t="shared" si="6"/>
        <v>12500</v>
      </c>
      <c r="O27" s="108">
        <f t="shared" si="7"/>
        <v>162931.29244837802</v>
      </c>
      <c r="P27" s="108">
        <f t="shared" si="8"/>
        <v>65172.51697935121</v>
      </c>
      <c r="Q27" s="100">
        <f t="shared" si="9"/>
        <v>1.3083333333333334E-2</v>
      </c>
      <c r="R27" s="100">
        <f>20%</f>
        <v>0.2</v>
      </c>
      <c r="S27" s="108">
        <f t="shared" si="10"/>
        <v>247189.39051745896</v>
      </c>
      <c r="T27" s="108">
        <f t="shared" si="11"/>
        <v>335831.1910660764</v>
      </c>
      <c r="U27" s="108">
        <f t="shared" si="12"/>
        <v>5535.9203842867846</v>
      </c>
      <c r="V27" s="108">
        <f t="shared" si="13"/>
        <v>9569.8444110999608</v>
      </c>
      <c r="W27" s="108">
        <f t="shared" si="14"/>
        <v>350936.95586146315</v>
      </c>
      <c r="X27" s="108">
        <f t="shared" si="15"/>
        <v>-149430.61504843214</v>
      </c>
      <c r="Y27" s="108">
        <f t="shared" si="16"/>
        <v>-40346.266063076684</v>
      </c>
      <c r="Z27" s="108">
        <f t="shared" si="17"/>
        <v>-109084.34898535546</v>
      </c>
      <c r="AA27" s="108">
        <f t="shared" si="18"/>
        <v>4200.5045960443003</v>
      </c>
      <c r="AB27" s="108">
        <f t="shared" si="19"/>
        <v>-113284.85358139976</v>
      </c>
      <c r="AC27" s="109">
        <f t="shared" si="20"/>
        <v>0.80148887993197793</v>
      </c>
      <c r="AD27" s="108">
        <f t="shared" si="21"/>
        <v>-87429.892686381543</v>
      </c>
      <c r="AE27" s="108">
        <f t="shared" si="22"/>
        <v>281272.06768014206</v>
      </c>
      <c r="AF27" s="48">
        <f t="shared" si="23"/>
        <v>-0.31083745146640501</v>
      </c>
      <c r="AG27" s="110"/>
    </row>
    <row r="28" spans="2:33" x14ac:dyDescent="0.4">
      <c r="B28" s="113" t="s">
        <v>15</v>
      </c>
      <c r="C28" s="114">
        <v>0.94799999999999995</v>
      </c>
      <c r="D28" s="115"/>
      <c r="E28" s="107">
        <v>24</v>
      </c>
      <c r="F28" s="107">
        <v>2</v>
      </c>
      <c r="G28" s="141">
        <f t="shared" si="24"/>
        <v>89755322.488739192</v>
      </c>
      <c r="H28" s="141">
        <f t="shared" si="0"/>
        <v>1537668.1158701384</v>
      </c>
      <c r="I28" s="141">
        <f t="shared" si="1"/>
        <v>1028446.4035168033</v>
      </c>
      <c r="J28" s="141">
        <f t="shared" si="2"/>
        <v>509221.71235333511</v>
      </c>
      <c r="K28" s="108">
        <f t="shared" si="3"/>
        <v>89246100.776385859</v>
      </c>
      <c r="L28" s="108">
        <f t="shared" si="4"/>
        <v>93940355.453158185</v>
      </c>
      <c r="M28" s="108">
        <f t="shared" si="5"/>
        <v>149592.2041478988</v>
      </c>
      <c r="N28" s="108">
        <f t="shared" si="6"/>
        <v>12500</v>
      </c>
      <c r="O28" s="108">
        <f t="shared" si="7"/>
        <v>162092.2041478988</v>
      </c>
      <c r="P28" s="108">
        <f t="shared" si="8"/>
        <v>64836.881659159524</v>
      </c>
      <c r="Q28" s="100">
        <f t="shared" si="9"/>
        <v>1.3083333333333334E-2</v>
      </c>
      <c r="R28" s="100">
        <f>20%</f>
        <v>0.2</v>
      </c>
      <c r="S28" s="108">
        <f t="shared" si="10"/>
        <v>245810.59676909726</v>
      </c>
      <c r="T28" s="108">
        <f t="shared" si="11"/>
        <v>333957.96363597736</v>
      </c>
      <c r="U28" s="108">
        <f t="shared" si="12"/>
        <v>5507.4106612186315</v>
      </c>
      <c r="V28" s="108">
        <f t="shared" si="13"/>
        <v>9520.5601737868328</v>
      </c>
      <c r="W28" s="108">
        <f t="shared" si="14"/>
        <v>348985.93447098281</v>
      </c>
      <c r="X28" s="108">
        <f t="shared" si="15"/>
        <v>-148555.27428035799</v>
      </c>
      <c r="Y28" s="108">
        <f t="shared" si="16"/>
        <v>-40109.924055696662</v>
      </c>
      <c r="Z28" s="108">
        <f t="shared" si="17"/>
        <v>-108445.35022466132</v>
      </c>
      <c r="AA28" s="108">
        <f t="shared" si="18"/>
        <v>4177.1520417441234</v>
      </c>
      <c r="AB28" s="108">
        <f t="shared" si="19"/>
        <v>-112622.50226640544</v>
      </c>
      <c r="AC28" s="109">
        <f t="shared" si="20"/>
        <v>0.79381469034247365</v>
      </c>
      <c r="AD28" s="108">
        <f t="shared" si="21"/>
        <v>-86085.512107670627</v>
      </c>
      <c r="AE28" s="108">
        <f t="shared" si="22"/>
        <v>277030.16150596202</v>
      </c>
      <c r="AF28" s="48">
        <f t="shared" si="23"/>
        <v>-0.31074418626369665</v>
      </c>
      <c r="AG28" s="110"/>
    </row>
    <row r="29" spans="2:33" x14ac:dyDescent="0.4">
      <c r="B29" s="113" t="s">
        <v>18</v>
      </c>
      <c r="C29" s="48">
        <v>0.56399999999999995</v>
      </c>
      <c r="E29" s="107">
        <v>25</v>
      </c>
      <c r="F29" s="107">
        <v>3</v>
      </c>
      <c r="G29" s="141">
        <f t="shared" si="24"/>
        <v>89246100.776385859</v>
      </c>
      <c r="H29" s="141">
        <f t="shared" si="0"/>
        <v>1537668.1158701384</v>
      </c>
      <c r="I29" s="141">
        <f t="shared" si="1"/>
        <v>1022611.571396088</v>
      </c>
      <c r="J29" s="141">
        <f t="shared" si="2"/>
        <v>515056.5444740504</v>
      </c>
      <c r="K29" s="108">
        <f t="shared" si="3"/>
        <v>88731044.231911808</v>
      </c>
      <c r="L29" s="108">
        <f t="shared" si="4"/>
        <v>93407390.194535896</v>
      </c>
      <c r="M29" s="108">
        <f t="shared" si="5"/>
        <v>148743.50129397656</v>
      </c>
      <c r="N29" s="108">
        <f t="shared" si="6"/>
        <v>12500</v>
      </c>
      <c r="O29" s="108">
        <f t="shared" si="7"/>
        <v>161243.50129397656</v>
      </c>
      <c r="P29" s="108">
        <f t="shared" si="8"/>
        <v>64497.400517590628</v>
      </c>
      <c r="Q29" s="100">
        <f t="shared" si="9"/>
        <v>1.3083333333333334E-2</v>
      </c>
      <c r="R29" s="100">
        <f>20%</f>
        <v>0.2</v>
      </c>
      <c r="S29" s="108">
        <f t="shared" si="10"/>
        <v>244416.00434236895</v>
      </c>
      <c r="T29" s="108">
        <f t="shared" si="11"/>
        <v>332063.27214157506</v>
      </c>
      <c r="U29" s="108">
        <f t="shared" si="12"/>
        <v>5478.574264240322</v>
      </c>
      <c r="V29" s="108">
        <f t="shared" si="13"/>
        <v>9470.7112212544907</v>
      </c>
      <c r="W29" s="108">
        <f t="shared" si="14"/>
        <v>347012.55762706988</v>
      </c>
      <c r="X29" s="108">
        <f t="shared" si="15"/>
        <v>-147669.90356598303</v>
      </c>
      <c r="Y29" s="108">
        <f t="shared" si="16"/>
        <v>-39870.873962815422</v>
      </c>
      <c r="Z29" s="108">
        <f t="shared" si="17"/>
        <v>-107799.02960316761</v>
      </c>
      <c r="AA29" s="108">
        <f t="shared" si="18"/>
        <v>4153.5319060925913</v>
      </c>
      <c r="AB29" s="108">
        <f t="shared" si="19"/>
        <v>-111952.56150926021</v>
      </c>
      <c r="AC29" s="109">
        <f t="shared" si="20"/>
        <v>0.78621398048217117</v>
      </c>
      <c r="AD29" s="108">
        <f t="shared" si="21"/>
        <v>-84753.104156421818</v>
      </c>
      <c r="AE29" s="108">
        <f t="shared" si="22"/>
        <v>272826.12420927739</v>
      </c>
      <c r="AF29" s="48">
        <f t="shared" si="23"/>
        <v>-0.31064878556648057</v>
      </c>
      <c r="AG29" s="110"/>
    </row>
    <row r="30" spans="2:33" x14ac:dyDescent="0.4">
      <c r="B30" s="113" t="s">
        <v>21</v>
      </c>
      <c r="C30" s="48">
        <v>0.65200000000000002</v>
      </c>
      <c r="E30" s="107">
        <v>26</v>
      </c>
      <c r="F30" s="107">
        <v>3</v>
      </c>
      <c r="G30" s="141">
        <f t="shared" si="24"/>
        <v>88731044.231911808</v>
      </c>
      <c r="H30" s="141">
        <f t="shared" si="0"/>
        <v>1537668.1158701384</v>
      </c>
      <c r="I30" s="141">
        <f t="shared" si="1"/>
        <v>1016709.8818239896</v>
      </c>
      <c r="J30" s="141">
        <f t="shared" si="2"/>
        <v>520958.23404614883</v>
      </c>
      <c r="K30" s="108">
        <f t="shared" si="3"/>
        <v>88210085.997865662</v>
      </c>
      <c r="L30" s="108">
        <f t="shared" si="4"/>
        <v>92868318.042325228</v>
      </c>
      <c r="M30" s="108">
        <f t="shared" si="5"/>
        <v>147885.07371985316</v>
      </c>
      <c r="N30" s="108">
        <f t="shared" si="6"/>
        <v>12500</v>
      </c>
      <c r="O30" s="108">
        <f t="shared" si="7"/>
        <v>160385.07371985316</v>
      </c>
      <c r="P30" s="108">
        <f t="shared" si="8"/>
        <v>64154.029487941269</v>
      </c>
      <c r="Q30" s="100">
        <f t="shared" si="9"/>
        <v>1.3083333333333334E-2</v>
      </c>
      <c r="R30" s="100">
        <f>20%</f>
        <v>0.2</v>
      </c>
      <c r="S30" s="108">
        <f t="shared" si="10"/>
        <v>243005.43221075102</v>
      </c>
      <c r="T30" s="108">
        <f t="shared" si="11"/>
        <v>330146.87064046616</v>
      </c>
      <c r="U30" s="108">
        <f t="shared" si="12"/>
        <v>5449.4074502133035</v>
      </c>
      <c r="V30" s="108">
        <f t="shared" si="13"/>
        <v>9420.2910828077183</v>
      </c>
      <c r="W30" s="108">
        <f t="shared" si="14"/>
        <v>345016.56917348719</v>
      </c>
      <c r="X30" s="108">
        <f t="shared" si="15"/>
        <v>-146774.38797883914</v>
      </c>
      <c r="Y30" s="108">
        <f t="shared" si="16"/>
        <v>-39629.084754286567</v>
      </c>
      <c r="Z30" s="108">
        <f t="shared" si="17"/>
        <v>-107145.30322455257</v>
      </c>
      <c r="AA30" s="108">
        <f t="shared" si="18"/>
        <v>4129.6411230533859</v>
      </c>
      <c r="AB30" s="108">
        <f t="shared" si="19"/>
        <v>-111274.94434760595</v>
      </c>
      <c r="AC30" s="109">
        <f t="shared" si="20"/>
        <v>0.77868604678875442</v>
      </c>
      <c r="AD30" s="108">
        <f t="shared" si="21"/>
        <v>-83432.552599909221</v>
      </c>
      <c r="AE30" s="108">
        <f t="shared" si="22"/>
        <v>268659.58832632157</v>
      </c>
      <c r="AF30" s="48">
        <f t="shared" si="23"/>
        <v>-0.31055118158883527</v>
      </c>
      <c r="AG30" s="110"/>
    </row>
    <row r="31" spans="2:33" x14ac:dyDescent="0.4">
      <c r="B31" s="116"/>
      <c r="C31" s="117"/>
      <c r="E31" s="107">
        <v>27</v>
      </c>
      <c r="F31" s="107">
        <v>3</v>
      </c>
      <c r="G31" s="141">
        <f t="shared" si="24"/>
        <v>88210085.997865662</v>
      </c>
      <c r="H31" s="141">
        <f t="shared" si="0"/>
        <v>1537668.1158701384</v>
      </c>
      <c r="I31" s="141">
        <f t="shared" si="1"/>
        <v>1010740.5687255441</v>
      </c>
      <c r="J31" s="141">
        <f t="shared" si="2"/>
        <v>526927.54714459425</v>
      </c>
      <c r="K31" s="108">
        <f t="shared" si="3"/>
        <v>87683158.45072107</v>
      </c>
      <c r="L31" s="108">
        <f t="shared" si="4"/>
        <v>92323069.021703809</v>
      </c>
      <c r="M31" s="108">
        <f t="shared" si="5"/>
        <v>147016.8099964429</v>
      </c>
      <c r="N31" s="108">
        <f t="shared" si="6"/>
        <v>12500</v>
      </c>
      <c r="O31" s="108">
        <f t="shared" si="7"/>
        <v>159516.8099964429</v>
      </c>
      <c r="P31" s="108">
        <f t="shared" si="8"/>
        <v>63806.723998577159</v>
      </c>
      <c r="Q31" s="100">
        <f t="shared" si="9"/>
        <v>1.3083333333333334E-2</v>
      </c>
      <c r="R31" s="100">
        <f>20%</f>
        <v>0.2</v>
      </c>
      <c r="S31" s="108">
        <f t="shared" si="10"/>
        <v>241578.69727345833</v>
      </c>
      <c r="T31" s="108">
        <f t="shared" si="11"/>
        <v>328208.51037215698</v>
      </c>
      <c r="U31" s="108">
        <f t="shared" si="12"/>
        <v>5419.9064331088912</v>
      </c>
      <c r="V31" s="108">
        <f t="shared" si="13"/>
        <v>9369.2932136079071</v>
      </c>
      <c r="W31" s="108">
        <f t="shared" si="14"/>
        <v>342997.7100188738</v>
      </c>
      <c r="X31" s="108">
        <f t="shared" si="15"/>
        <v>-145868.61127559259</v>
      </c>
      <c r="Y31" s="108">
        <f t="shared" si="16"/>
        <v>-39384.525044410002</v>
      </c>
      <c r="Z31" s="108">
        <f t="shared" si="17"/>
        <v>-106484.08623118259</v>
      </c>
      <c r="AA31" s="108">
        <f t="shared" si="18"/>
        <v>4105.4765914585214</v>
      </c>
      <c r="AB31" s="108">
        <f t="shared" si="19"/>
        <v>-110589.56282264111</v>
      </c>
      <c r="AC31" s="109">
        <f t="shared" si="20"/>
        <v>0.7712301924364573</v>
      </c>
      <c r="AD31" s="108">
        <f t="shared" si="21"/>
        <v>-82123.742315495256</v>
      </c>
      <c r="AE31" s="108">
        <f t="shared" si="22"/>
        <v>264530.18990312022</v>
      </c>
      <c r="AF31" s="48">
        <f t="shared" si="23"/>
        <v>-0.3104513036699959</v>
      </c>
      <c r="AG31" s="110"/>
    </row>
    <row r="32" spans="2:33" x14ac:dyDescent="0.4">
      <c r="B32" s="106" t="s">
        <v>90</v>
      </c>
      <c r="C32" s="106"/>
      <c r="E32" s="107">
        <v>28</v>
      </c>
      <c r="F32" s="107">
        <v>3</v>
      </c>
      <c r="G32" s="141">
        <f t="shared" si="24"/>
        <v>87683158.45072107</v>
      </c>
      <c r="H32" s="141">
        <f t="shared" si="0"/>
        <v>1537668.1158701384</v>
      </c>
      <c r="I32" s="141">
        <f t="shared" si="1"/>
        <v>1004702.8572478456</v>
      </c>
      <c r="J32" s="141">
        <f t="shared" si="2"/>
        <v>532965.25862229278</v>
      </c>
      <c r="K32" s="108">
        <f t="shared" si="3"/>
        <v>87150193.192098781</v>
      </c>
      <c r="L32" s="108">
        <f t="shared" si="4"/>
        <v>91771572.35605444</v>
      </c>
      <c r="M32" s="108">
        <f t="shared" si="5"/>
        <v>146138.59741786859</v>
      </c>
      <c r="N32" s="108">
        <f t="shared" si="6"/>
        <v>12500</v>
      </c>
      <c r="O32" s="108">
        <f t="shared" si="7"/>
        <v>158638.59741786859</v>
      </c>
      <c r="P32" s="108">
        <f t="shared" si="8"/>
        <v>63455.438967147435</v>
      </c>
      <c r="Q32" s="100">
        <f t="shared" si="9"/>
        <v>1.3083333333333334E-2</v>
      </c>
      <c r="R32" s="100">
        <f>20%</f>
        <v>0.2</v>
      </c>
      <c r="S32" s="108">
        <f t="shared" si="10"/>
        <v>240135.61433167581</v>
      </c>
      <c r="T32" s="108">
        <f t="shared" si="11"/>
        <v>326247.93972577353</v>
      </c>
      <c r="U32" s="108">
        <f t="shared" si="12"/>
        <v>5390.0673835168245</v>
      </c>
      <c r="V32" s="108">
        <f t="shared" si="13"/>
        <v>9317.7109938235171</v>
      </c>
      <c r="W32" s="108">
        <f t="shared" si="14"/>
        <v>340955.71810311388</v>
      </c>
      <c r="X32" s="108">
        <f t="shared" si="15"/>
        <v>-144952.45588095466</v>
      </c>
      <c r="Y32" s="108">
        <f t="shared" si="16"/>
        <v>-39137.163087857763</v>
      </c>
      <c r="Z32" s="108">
        <f t="shared" si="17"/>
        <v>-105815.29279309689</v>
      </c>
      <c r="AA32" s="108">
        <f t="shared" si="18"/>
        <v>4081.0351746058009</v>
      </c>
      <c r="AB32" s="108">
        <f t="shared" si="19"/>
        <v>-109896.32796770269</v>
      </c>
      <c r="AC32" s="109">
        <f t="shared" si="20"/>
        <v>0.76384572727156386</v>
      </c>
      <c r="AD32" s="108">
        <f t="shared" si="21"/>
        <v>-80826.559279996567</v>
      </c>
      <c r="AE32" s="108">
        <f t="shared" si="22"/>
        <v>260437.56846187133</v>
      </c>
      <c r="AF32" s="48">
        <f t="shared" si="23"/>
        <v>-0.31034907812015516</v>
      </c>
      <c r="AG32" s="110"/>
    </row>
    <row r="33" spans="2:33" x14ac:dyDescent="0.4">
      <c r="E33" s="107">
        <v>29</v>
      </c>
      <c r="F33" s="107">
        <v>3</v>
      </c>
      <c r="G33" s="141">
        <f t="shared" si="24"/>
        <v>87150193.192098781</v>
      </c>
      <c r="H33" s="141">
        <f t="shared" si="0"/>
        <v>1537668.1158701384</v>
      </c>
      <c r="I33" s="141">
        <f t="shared" si="1"/>
        <v>998595.96365946531</v>
      </c>
      <c r="J33" s="141">
        <f t="shared" si="2"/>
        <v>539072.15221067308</v>
      </c>
      <c r="K33" s="108">
        <f t="shared" si="3"/>
        <v>86611121.039888114</v>
      </c>
      <c r="L33" s="108">
        <f t="shared" si="4"/>
        <v>91213756.457777828</v>
      </c>
      <c r="M33" s="108">
        <f t="shared" si="5"/>
        <v>145250.32198683143</v>
      </c>
      <c r="N33" s="108">
        <f t="shared" si="6"/>
        <v>12500</v>
      </c>
      <c r="O33" s="108">
        <f t="shared" si="7"/>
        <v>157750.32198683143</v>
      </c>
      <c r="P33" s="108">
        <f t="shared" si="8"/>
        <v>63100.128794732576</v>
      </c>
      <c r="Q33" s="100">
        <f t="shared" si="9"/>
        <v>1.3083333333333334E-2</v>
      </c>
      <c r="R33" s="100">
        <f>20%</f>
        <v>0.2</v>
      </c>
      <c r="S33" s="108">
        <f t="shared" si="10"/>
        <v>238675.99606451867</v>
      </c>
      <c r="T33" s="108">
        <f t="shared" si="11"/>
        <v>324264.9042074001</v>
      </c>
      <c r="U33" s="108">
        <f t="shared" si="12"/>
        <v>5359.8864281481829</v>
      </c>
      <c r="V33" s="108">
        <f t="shared" si="13"/>
        <v>9265.537727770763</v>
      </c>
      <c r="W33" s="108">
        <f t="shared" si="14"/>
        <v>338890.32836331904</v>
      </c>
      <c r="X33" s="108">
        <f t="shared" si="15"/>
        <v>-144025.80287241982</v>
      </c>
      <c r="Y33" s="108">
        <f t="shared" si="16"/>
        <v>-38886.966775553352</v>
      </c>
      <c r="Z33" s="108">
        <f t="shared" si="17"/>
        <v>-105138.83609686646</v>
      </c>
      <c r="AA33" s="108">
        <f t="shared" si="18"/>
        <v>4056.3136998516411</v>
      </c>
      <c r="AB33" s="108">
        <f t="shared" si="19"/>
        <v>-109195.14979671811</v>
      </c>
      <c r="AC33" s="109">
        <f t="shared" si="20"/>
        <v>0.75653196774852183</v>
      </c>
      <c r="AD33" s="108">
        <f t="shared" si="21"/>
        <v>-79540.890559151696</v>
      </c>
      <c r="AE33" s="108">
        <f t="shared" si="22"/>
        <v>256381.36696764446</v>
      </c>
      <c r="AF33" s="48">
        <f t="shared" si="23"/>
        <v>-0.3102444280562317</v>
      </c>
      <c r="AG33" s="110"/>
    </row>
    <row r="34" spans="2:33" x14ac:dyDescent="0.4">
      <c r="B34" s="111" t="s">
        <v>16</v>
      </c>
      <c r="C34" s="118">
        <v>0.27</v>
      </c>
      <c r="E34" s="107">
        <v>30</v>
      </c>
      <c r="F34" s="107">
        <v>3</v>
      </c>
      <c r="G34" s="141">
        <f t="shared" si="24"/>
        <v>86611121.039888114</v>
      </c>
      <c r="H34" s="141">
        <f t="shared" si="0"/>
        <v>1537668.1158701384</v>
      </c>
      <c r="I34" s="141">
        <f t="shared" si="1"/>
        <v>992419.09524871805</v>
      </c>
      <c r="J34" s="141">
        <f t="shared" si="2"/>
        <v>545249.02062142035</v>
      </c>
      <c r="K34" s="108">
        <f t="shared" si="3"/>
        <v>86065872.019266695</v>
      </c>
      <c r="L34" s="108">
        <f t="shared" si="4"/>
        <v>90649548.919000149</v>
      </c>
      <c r="M34" s="108">
        <f t="shared" si="5"/>
        <v>144351.86839981365</v>
      </c>
      <c r="N34" s="108">
        <f t="shared" si="6"/>
        <v>12500</v>
      </c>
      <c r="O34" s="108">
        <f t="shared" si="7"/>
        <v>156851.86839981365</v>
      </c>
      <c r="P34" s="108">
        <f t="shared" si="8"/>
        <v>62740.747359925466</v>
      </c>
      <c r="Q34" s="100">
        <f t="shared" si="9"/>
        <v>1.3083333333333334E-2</v>
      </c>
      <c r="R34" s="100">
        <f>20%</f>
        <v>0.2</v>
      </c>
      <c r="S34" s="108">
        <f t="shared" si="10"/>
        <v>237199.65300471708</v>
      </c>
      <c r="T34" s="108">
        <f t="shared" si="11"/>
        <v>322259.14640704554</v>
      </c>
      <c r="U34" s="108">
        <f t="shared" si="12"/>
        <v>5329.3596493326077</v>
      </c>
      <c r="V34" s="108">
        <f t="shared" si="13"/>
        <v>9212.7666430444879</v>
      </c>
      <c r="W34" s="108">
        <f t="shared" si="14"/>
        <v>336801.27269942261</v>
      </c>
      <c r="X34" s="108">
        <f t="shared" si="15"/>
        <v>-143088.5319648289</v>
      </c>
      <c r="Y34" s="108">
        <f t="shared" si="16"/>
        <v>-38633.903630503803</v>
      </c>
      <c r="Z34" s="108">
        <f t="shared" si="17"/>
        <v>-104454.6283343251</v>
      </c>
      <c r="AA34" s="108">
        <f t="shared" si="18"/>
        <v>4031.3089581992585</v>
      </c>
      <c r="AB34" s="108">
        <f t="shared" si="19"/>
        <v>-108485.93729252435</v>
      </c>
      <c r="AC34" s="109">
        <f t="shared" si="20"/>
        <v>0.74928823686667168</v>
      </c>
      <c r="AD34" s="108">
        <f t="shared" si="21"/>
        <v>-78266.624297189934</v>
      </c>
      <c r="AE34" s="108">
        <f t="shared" si="22"/>
        <v>252361.23179540146</v>
      </c>
      <c r="AF34" s="48">
        <f t="shared" si="23"/>
        <v>-0.31013727322683055</v>
      </c>
      <c r="AG34" s="110"/>
    </row>
    <row r="35" spans="2:33" x14ac:dyDescent="0.4">
      <c r="B35" s="111" t="s">
        <v>19</v>
      </c>
      <c r="C35" s="119">
        <v>0.14799999999999999</v>
      </c>
      <c r="E35" s="107">
        <v>31</v>
      </c>
      <c r="F35" s="107">
        <v>3</v>
      </c>
      <c r="G35" s="141">
        <f t="shared" si="24"/>
        <v>86065872.019266695</v>
      </c>
      <c r="H35" s="141">
        <f t="shared" si="0"/>
        <v>1537668.1158701384</v>
      </c>
      <c r="I35" s="141">
        <f t="shared" si="1"/>
        <v>986171.45022076427</v>
      </c>
      <c r="J35" s="141">
        <f t="shared" si="2"/>
        <v>551496.66564937413</v>
      </c>
      <c r="K35" s="108">
        <f t="shared" si="3"/>
        <v>85514375.353617325</v>
      </c>
      <c r="L35" s="108">
        <f t="shared" si="4"/>
        <v>90078876.50217396</v>
      </c>
      <c r="M35" s="108">
        <f t="shared" si="5"/>
        <v>143443.12003211127</v>
      </c>
      <c r="N35" s="108">
        <f t="shared" si="6"/>
        <v>12500</v>
      </c>
      <c r="O35" s="108">
        <f t="shared" si="7"/>
        <v>155943.12003211127</v>
      </c>
      <c r="P35" s="108">
        <f t="shared" si="8"/>
        <v>62377.24801284451</v>
      </c>
      <c r="Q35" s="100">
        <f t="shared" si="9"/>
        <v>1.3083333333333334E-2</v>
      </c>
      <c r="R35" s="100">
        <f>20%</f>
        <v>0.2</v>
      </c>
      <c r="S35" s="108">
        <f t="shared" si="10"/>
        <v>235706.39351402188</v>
      </c>
      <c r="T35" s="108">
        <f t="shared" si="11"/>
        <v>320230.40596522839</v>
      </c>
      <c r="U35" s="108">
        <f t="shared" si="12"/>
        <v>5298.4830845097713</v>
      </c>
      <c r="V35" s="108">
        <f t="shared" si="13"/>
        <v>9159.3908896390567</v>
      </c>
      <c r="W35" s="108">
        <f t="shared" si="14"/>
        <v>334688.27993937721</v>
      </c>
      <c r="X35" s="108">
        <f t="shared" si="15"/>
        <v>-142140.52149475511</v>
      </c>
      <c r="Y35" s="108">
        <f t="shared" si="16"/>
        <v>-38377.940803583886</v>
      </c>
      <c r="Z35" s="108">
        <f t="shared" si="17"/>
        <v>-103762.58069117123</v>
      </c>
      <c r="AA35" s="108">
        <f t="shared" si="18"/>
        <v>4006.017703882108</v>
      </c>
      <c r="AB35" s="108">
        <f t="shared" si="19"/>
        <v>-107768.59839505334</v>
      </c>
      <c r="AC35" s="109">
        <f t="shared" si="20"/>
        <v>0.74211386410757851</v>
      </c>
      <c r="AD35" s="108">
        <f t="shared" si="21"/>
        <v>-77003.649706499491</v>
      </c>
      <c r="AE35" s="108">
        <f t="shared" si="22"/>
        <v>248376.81269733017</v>
      </c>
      <c r="AF35" s="48">
        <f t="shared" si="23"/>
        <v>-0.31002752982556175</v>
      </c>
      <c r="AG35" s="110"/>
    </row>
    <row r="36" spans="2:33" x14ac:dyDescent="0.4">
      <c r="B36" s="111" t="s">
        <v>22</v>
      </c>
      <c r="C36" s="119">
        <f>12*((1+C35/2)^(2/12)-1)</f>
        <v>0.14363279304340359</v>
      </c>
      <c r="E36" s="107">
        <v>32</v>
      </c>
      <c r="F36" s="107">
        <v>3</v>
      </c>
      <c r="G36" s="141">
        <f t="shared" si="24"/>
        <v>85514375.353617325</v>
      </c>
      <c r="H36" s="141">
        <f t="shared" si="0"/>
        <v>1537668.1158701384</v>
      </c>
      <c r="I36" s="141">
        <f t="shared" si="1"/>
        <v>979852.21759353194</v>
      </c>
      <c r="J36" s="141">
        <f t="shared" si="2"/>
        <v>557815.89827660646</v>
      </c>
      <c r="K36" s="108">
        <f t="shared" si="3"/>
        <v>84956559.455340713</v>
      </c>
      <c r="L36" s="108">
        <f t="shared" si="4"/>
        <v>89501665.130571648</v>
      </c>
      <c r="M36" s="108">
        <f t="shared" si="5"/>
        <v>142523.95892269566</v>
      </c>
      <c r="N36" s="108">
        <f t="shared" si="6"/>
        <v>12500</v>
      </c>
      <c r="O36" s="108">
        <f t="shared" si="7"/>
        <v>155023.95892269566</v>
      </c>
      <c r="P36" s="108">
        <f t="shared" si="8"/>
        <v>62009.58356907827</v>
      </c>
      <c r="Q36" s="100">
        <f t="shared" si="9"/>
        <v>1.3083333333333334E-2</v>
      </c>
      <c r="R36" s="100">
        <f>20%</f>
        <v>0.2</v>
      </c>
      <c r="S36" s="108">
        <f t="shared" si="10"/>
        <v>234196.02375832916</v>
      </c>
      <c r="T36" s="108">
        <f t="shared" si="11"/>
        <v>318178.41953918221</v>
      </c>
      <c r="U36" s="108">
        <f t="shared" si="12"/>
        <v>5267.2527257150068</v>
      </c>
      <c r="V36" s="108">
        <f t="shared" si="13"/>
        <v>9105.4035390591889</v>
      </c>
      <c r="W36" s="108">
        <f t="shared" si="14"/>
        <v>332551.07580395637</v>
      </c>
      <c r="X36" s="108">
        <f t="shared" si="15"/>
        <v>-141181.64840471177</v>
      </c>
      <c r="Y36" s="108">
        <f t="shared" si="16"/>
        <v>-38119.045069272179</v>
      </c>
      <c r="Z36" s="108">
        <f t="shared" si="17"/>
        <v>-103062.60333543959</v>
      </c>
      <c r="AA36" s="108">
        <f t="shared" si="18"/>
        <v>3980.4366539425737</v>
      </c>
      <c r="AB36" s="108">
        <f t="shared" si="19"/>
        <v>-107043.03998938216</v>
      </c>
      <c r="AC36" s="109">
        <f t="shared" si="20"/>
        <v>0.73500818537296575</v>
      </c>
      <c r="AD36" s="108">
        <f t="shared" si="21"/>
        <v>-75751.857057395217</v>
      </c>
      <c r="AE36" s="108">
        <f t="shared" si="22"/>
        <v>244427.76277049354</v>
      </c>
      <c r="AF36" s="48">
        <f t="shared" si="23"/>
        <v>-0.30991511029179913</v>
      </c>
      <c r="AG36" s="110"/>
    </row>
    <row r="37" spans="2:33" x14ac:dyDescent="0.4">
      <c r="B37" s="111" t="s">
        <v>23</v>
      </c>
      <c r="C37" s="120">
        <v>0.11600978943123419</v>
      </c>
      <c r="E37" s="107">
        <v>33</v>
      </c>
      <c r="F37" s="107">
        <v>3</v>
      </c>
      <c r="G37" s="141">
        <f t="shared" si="24"/>
        <v>84956559.455340713</v>
      </c>
      <c r="H37" s="141">
        <f t="shared" si="0"/>
        <v>1537668.1158701384</v>
      </c>
      <c r="I37" s="141">
        <f t="shared" si="1"/>
        <v>973460.5770924458</v>
      </c>
      <c r="J37" s="141">
        <f t="shared" si="2"/>
        <v>564207.53877769259</v>
      </c>
      <c r="K37" s="108">
        <f t="shared" si="3"/>
        <v>84392351.916563019</v>
      </c>
      <c r="L37" s="108">
        <f t="shared" si="4"/>
        <v>88917839.878669709</v>
      </c>
      <c r="M37" s="108">
        <f t="shared" si="5"/>
        <v>141594.26575890131</v>
      </c>
      <c r="N37" s="108">
        <f t="shared" si="6"/>
        <v>12500</v>
      </c>
      <c r="O37" s="108">
        <f t="shared" si="7"/>
        <v>154094.26575890131</v>
      </c>
      <c r="P37" s="108">
        <f t="shared" si="8"/>
        <v>61637.706303560524</v>
      </c>
      <c r="Q37" s="100">
        <f t="shared" si="9"/>
        <v>1.3083333333333334E-2</v>
      </c>
      <c r="R37" s="100">
        <f>20%</f>
        <v>0.2</v>
      </c>
      <c r="S37" s="108">
        <f t="shared" si="10"/>
        <v>232668.34768251909</v>
      </c>
      <c r="T37" s="108">
        <f t="shared" si="11"/>
        <v>316102.9207686708</v>
      </c>
      <c r="U37" s="108">
        <f t="shared" si="12"/>
        <v>5235.6645190590516</v>
      </c>
      <c r="V37" s="108">
        <f t="shared" si="13"/>
        <v>9050.7975834205936</v>
      </c>
      <c r="W37" s="108">
        <f t="shared" si="14"/>
        <v>330389.38287115045</v>
      </c>
      <c r="X37" s="108">
        <f t="shared" si="15"/>
        <v>-140211.7882271783</v>
      </c>
      <c r="Y37" s="108">
        <f t="shared" si="16"/>
        <v>-37857.182821338145</v>
      </c>
      <c r="Z37" s="108">
        <f t="shared" si="17"/>
        <v>-102354.60540584015</v>
      </c>
      <c r="AA37" s="108">
        <f t="shared" si="18"/>
        <v>3954.5624878058152</v>
      </c>
      <c r="AB37" s="108">
        <f t="shared" si="19"/>
        <v>-106309.16789364596</v>
      </c>
      <c r="AC37" s="109">
        <f t="shared" si="20"/>
        <v>0.72797054292324348</v>
      </c>
      <c r="AD37" s="108">
        <f t="shared" si="21"/>
        <v>-74511.137667983799</v>
      </c>
      <c r="AE37" s="108">
        <f t="shared" si="22"/>
        <v>240513.73842478674</v>
      </c>
      <c r="AF37" s="48">
        <f t="shared" si="23"/>
        <v>-0.30979992309788518</v>
      </c>
      <c r="AG37" s="110"/>
    </row>
    <row r="38" spans="2:33" x14ac:dyDescent="0.4">
      <c r="B38" s="121"/>
      <c r="C38" s="117"/>
      <c r="E38" s="107">
        <v>34</v>
      </c>
      <c r="F38" s="107">
        <v>3</v>
      </c>
      <c r="G38" s="141">
        <f t="shared" si="24"/>
        <v>84392351.916563019</v>
      </c>
      <c r="H38" s="141">
        <f t="shared" si="0"/>
        <v>1537668.1158701384</v>
      </c>
      <c r="I38" s="141">
        <f t="shared" si="1"/>
        <v>966995.69904395135</v>
      </c>
      <c r="J38" s="141">
        <f t="shared" si="2"/>
        <v>570672.41682618705</v>
      </c>
      <c r="K38" s="108">
        <f t="shared" si="3"/>
        <v>83821679.499736831</v>
      </c>
      <c r="L38" s="108">
        <f t="shared" si="4"/>
        <v>88327324.962423071</v>
      </c>
      <c r="M38" s="108">
        <f t="shared" si="5"/>
        <v>140653.91986093848</v>
      </c>
      <c r="N38" s="108">
        <f t="shared" si="6"/>
        <v>12500</v>
      </c>
      <c r="O38" s="108">
        <f t="shared" si="7"/>
        <v>153153.91986093848</v>
      </c>
      <c r="P38" s="108">
        <f t="shared" si="8"/>
        <v>61261.567944375391</v>
      </c>
      <c r="Q38" s="100">
        <f t="shared" si="9"/>
        <v>1.3083333333333334E-2</v>
      </c>
      <c r="R38" s="100">
        <f>20%</f>
        <v>0.2</v>
      </c>
      <c r="S38" s="108">
        <f t="shared" si="10"/>
        <v>231123.16698500706</v>
      </c>
      <c r="T38" s="108">
        <f t="shared" si="11"/>
        <v>314003.64024141402</v>
      </c>
      <c r="U38" s="108">
        <f t="shared" si="12"/>
        <v>5203.71436420183</v>
      </c>
      <c r="V38" s="108">
        <f t="shared" si="13"/>
        <v>8995.5659345403055</v>
      </c>
      <c r="W38" s="108">
        <f t="shared" si="14"/>
        <v>328202.92054015613</v>
      </c>
      <c r="X38" s="108">
        <f t="shared" si="15"/>
        <v>-139230.81506844398</v>
      </c>
      <c r="Y38" s="108">
        <f t="shared" si="16"/>
        <v>-37592.320068479879</v>
      </c>
      <c r="Z38" s="108">
        <f t="shared" si="17"/>
        <v>-101638.4949999641</v>
      </c>
      <c r="AA38" s="108">
        <f t="shared" si="18"/>
        <v>3928.39184684874</v>
      </c>
      <c r="AB38" s="108">
        <f t="shared" si="19"/>
        <v>-105566.88684681283</v>
      </c>
      <c r="AC38" s="109">
        <f t="shared" si="20"/>
        <v>0.72100028531662341</v>
      </c>
      <c r="AD38" s="108">
        <f t="shared" si="21"/>
        <v>-73281.383894126309</v>
      </c>
      <c r="AE38" s="108">
        <f t="shared" si="22"/>
        <v>236634.39935120166</v>
      </c>
      <c r="AF38" s="48">
        <f t="shared" si="23"/>
        <v>-0.30968187252169338</v>
      </c>
      <c r="AG38" s="110"/>
    </row>
    <row r="39" spans="2:33" x14ac:dyDescent="0.4">
      <c r="B39" s="106" t="s">
        <v>91</v>
      </c>
      <c r="C39" s="106"/>
      <c r="E39" s="107">
        <v>35</v>
      </c>
      <c r="F39" s="107">
        <v>3</v>
      </c>
      <c r="G39" s="141">
        <f t="shared" si="24"/>
        <v>83821679.499736831</v>
      </c>
      <c r="H39" s="141">
        <f t="shared" si="0"/>
        <v>1537668.1158701384</v>
      </c>
      <c r="I39" s="141">
        <f t="shared" si="1"/>
        <v>960456.74426781794</v>
      </c>
      <c r="J39" s="141">
        <f t="shared" si="2"/>
        <v>577211.37160232046</v>
      </c>
      <c r="K39" s="108">
        <f t="shared" si="3"/>
        <v>83244468.128134504</v>
      </c>
      <c r="L39" s="108">
        <f t="shared" si="4"/>
        <v>87730043.72942777</v>
      </c>
      <c r="M39" s="108">
        <f t="shared" si="5"/>
        <v>139702.79916622819</v>
      </c>
      <c r="N39" s="108">
        <f t="shared" si="6"/>
        <v>12500</v>
      </c>
      <c r="O39" s="108">
        <f t="shared" si="7"/>
        <v>152202.79916622819</v>
      </c>
      <c r="P39" s="108">
        <f t="shared" si="8"/>
        <v>60881.119666491279</v>
      </c>
      <c r="Q39" s="100">
        <f t="shared" si="9"/>
        <v>1.3083333333333334E-2</v>
      </c>
      <c r="R39" s="100">
        <f>20%</f>
        <v>0.2</v>
      </c>
      <c r="S39" s="108">
        <f t="shared" si="10"/>
        <v>229560.2810920027</v>
      </c>
      <c r="T39" s="108">
        <f t="shared" si="11"/>
        <v>311880.3054581157</v>
      </c>
      <c r="U39" s="108">
        <f t="shared" si="12"/>
        <v>5171.3981138202043</v>
      </c>
      <c r="V39" s="108">
        <f t="shared" si="13"/>
        <v>8939.7014230165987</v>
      </c>
      <c r="W39" s="108">
        <f t="shared" si="14"/>
        <v>325991.40499495249</v>
      </c>
      <c r="X39" s="108">
        <f t="shared" si="15"/>
        <v>-138238.6015922658</v>
      </c>
      <c r="Y39" s="108">
        <f t="shared" si="16"/>
        <v>-37324.42242991177</v>
      </c>
      <c r="Z39" s="108">
        <f t="shared" si="17"/>
        <v>-100914.17916235403</v>
      </c>
      <c r="AA39" s="108">
        <f t="shared" si="18"/>
        <v>3901.9213339640314</v>
      </c>
      <c r="AB39" s="108">
        <f t="shared" si="19"/>
        <v>-104816.10049631806</v>
      </c>
      <c r="AC39" s="109">
        <f t="shared" si="20"/>
        <v>0.71409676734881833</v>
      </c>
      <c r="AD39" s="108">
        <f t="shared" si="21"/>
        <v>-72062.489119496502</v>
      </c>
      <c r="AE39" s="108">
        <f t="shared" si="22"/>
        <v>232789.408490395</v>
      </c>
      <c r="AF39" s="48">
        <f t="shared" si="23"/>
        <v>-0.30956085840335745</v>
      </c>
      <c r="AG39" s="110"/>
    </row>
    <row r="40" spans="2:33" x14ac:dyDescent="0.4">
      <c r="E40" s="107">
        <v>36</v>
      </c>
      <c r="F40" s="107">
        <v>3</v>
      </c>
      <c r="G40" s="141">
        <f t="shared" si="24"/>
        <v>83244468.128134504</v>
      </c>
      <c r="H40" s="141">
        <f t="shared" si="0"/>
        <v>1537668.1158701384</v>
      </c>
      <c r="I40" s="141">
        <f t="shared" si="1"/>
        <v>953842.86396820797</v>
      </c>
      <c r="J40" s="141">
        <f t="shared" si="2"/>
        <v>583825.25190193043</v>
      </c>
      <c r="K40" s="108">
        <f t="shared" si="3"/>
        <v>82660642.876232579</v>
      </c>
      <c r="L40" s="108">
        <f t="shared" si="4"/>
        <v>87125918.648971051</v>
      </c>
      <c r="M40" s="108">
        <f t="shared" si="5"/>
        <v>138740.78021355762</v>
      </c>
      <c r="N40" s="108">
        <f t="shared" si="6"/>
        <v>12500</v>
      </c>
      <c r="O40" s="108">
        <f t="shared" si="7"/>
        <v>151240.78021355762</v>
      </c>
      <c r="P40" s="108">
        <f t="shared" si="8"/>
        <v>60496.312085423051</v>
      </c>
      <c r="Q40" s="100">
        <f t="shared" si="9"/>
        <v>1.3083333333333334E-2</v>
      </c>
      <c r="R40" s="100">
        <f>20%</f>
        <v>0.2</v>
      </c>
      <c r="S40" s="108">
        <f t="shared" si="10"/>
        <v>227979.48713147428</v>
      </c>
      <c r="T40" s="108">
        <f t="shared" si="11"/>
        <v>309732.64079709206</v>
      </c>
      <c r="U40" s="108">
        <f t="shared" si="12"/>
        <v>5138.7115730696205</v>
      </c>
      <c r="V40" s="108">
        <f t="shared" si="13"/>
        <v>8883.1967972983475</v>
      </c>
      <c r="W40" s="108">
        <f t="shared" si="14"/>
        <v>323754.54916746001</v>
      </c>
      <c r="X40" s="108">
        <f t="shared" si="15"/>
        <v>-137235.01900333969</v>
      </c>
      <c r="Y40" s="108">
        <f t="shared" si="16"/>
        <v>-37053.455130901719</v>
      </c>
      <c r="Z40" s="108">
        <f t="shared" si="17"/>
        <v>-100181.56387243798</v>
      </c>
      <c r="AA40" s="108">
        <f t="shared" si="18"/>
        <v>3875.1475131191846</v>
      </c>
      <c r="AB40" s="108">
        <f t="shared" si="19"/>
        <v>-104056.71138555717</v>
      </c>
      <c r="AC40" s="109">
        <f t="shared" si="20"/>
        <v>0.70725934999331863</v>
      </c>
      <c r="AD40" s="108">
        <f t="shared" si="21"/>
        <v>-70854.347745734616</v>
      </c>
      <c r="AE40" s="108">
        <f t="shared" si="22"/>
        <v>228978.43200155767</v>
      </c>
      <c r="AF40" s="48">
        <f t="shared" si="23"/>
        <v>-0.30943677588486856</v>
      </c>
      <c r="AG40" s="110"/>
    </row>
    <row r="41" spans="2:33" x14ac:dyDescent="0.4">
      <c r="E41" s="107">
        <v>37</v>
      </c>
      <c r="F41" s="107">
        <v>4</v>
      </c>
      <c r="G41" s="141">
        <f t="shared" si="24"/>
        <v>82660642.876232579</v>
      </c>
      <c r="H41" s="141">
        <f t="shared" si="0"/>
        <v>1537668.1158701384</v>
      </c>
      <c r="I41" s="141">
        <f t="shared" si="1"/>
        <v>947153.19962349837</v>
      </c>
      <c r="J41" s="141">
        <f t="shared" si="2"/>
        <v>590514.91624664003</v>
      </c>
      <c r="K41" s="108">
        <f t="shared" si="3"/>
        <v>82070127.959985942</v>
      </c>
      <c r="L41" s="108">
        <f t="shared" si="4"/>
        <v>86514871.301967457</v>
      </c>
      <c r="M41" s="108">
        <f t="shared" si="5"/>
        <v>137767.73812705441</v>
      </c>
      <c r="N41" s="108">
        <f t="shared" si="6"/>
        <v>12500</v>
      </c>
      <c r="O41" s="108">
        <f t="shared" si="7"/>
        <v>150267.73812705441</v>
      </c>
      <c r="P41" s="108">
        <f t="shared" si="8"/>
        <v>60107.095250821767</v>
      </c>
      <c r="Q41" s="100">
        <f t="shared" si="9"/>
        <v>1.3083333333333334E-2</v>
      </c>
      <c r="R41" s="100">
        <f>20%</f>
        <v>0.2</v>
      </c>
      <c r="S41" s="108">
        <f t="shared" si="10"/>
        <v>226380.57990681488</v>
      </c>
      <c r="T41" s="108">
        <f t="shared" si="11"/>
        <v>307560.36747849424</v>
      </c>
      <c r="U41" s="108">
        <f t="shared" si="12"/>
        <v>5105.6504990396043</v>
      </c>
      <c r="V41" s="108">
        <f t="shared" si="13"/>
        <v>8826.0447227437417</v>
      </c>
      <c r="W41" s="108">
        <f t="shared" si="14"/>
        <v>321492.0627002776</v>
      </c>
      <c r="X41" s="108">
        <f t="shared" si="15"/>
        <v>-136219.93703058222</v>
      </c>
      <c r="Y41" s="108">
        <f t="shared" si="16"/>
        <v>-36779.382998257206</v>
      </c>
      <c r="Z41" s="108">
        <f t="shared" si="17"/>
        <v>-99440.554032325017</v>
      </c>
      <c r="AA41" s="108">
        <f t="shared" si="18"/>
        <v>3848.0669089104922</v>
      </c>
      <c r="AB41" s="108">
        <f t="shared" si="19"/>
        <v>-103288.62094123551</v>
      </c>
      <c r="AC41" s="109">
        <f t="shared" si="20"/>
        <v>0.70048740034224055</v>
      </c>
      <c r="AD41" s="108">
        <f t="shared" si="21"/>
        <v>-69656.855182695464</v>
      </c>
      <c r="AE41" s="108">
        <f t="shared" si="22"/>
        <v>225201.13923158206</v>
      </c>
      <c r="AF41" s="48">
        <f t="shared" si="23"/>
        <v>-0.30930951513111543</v>
      </c>
      <c r="AG41" s="110"/>
    </row>
    <row r="42" spans="2:33" x14ac:dyDescent="0.4">
      <c r="B42" s="111" t="s">
        <v>92</v>
      </c>
      <c r="C42" s="114">
        <v>0.17</v>
      </c>
      <c r="E42" s="107">
        <v>38</v>
      </c>
      <c r="F42" s="107">
        <v>4</v>
      </c>
      <c r="G42" s="141">
        <f t="shared" si="24"/>
        <v>82070127.959985942</v>
      </c>
      <c r="H42" s="141">
        <f t="shared" si="0"/>
        <v>1537668.1158701384</v>
      </c>
      <c r="I42" s="141">
        <f t="shared" si="1"/>
        <v>940386.88287483901</v>
      </c>
      <c r="J42" s="141">
        <f t="shared" si="2"/>
        <v>597281.23299529939</v>
      </c>
      <c r="K42" s="108">
        <f t="shared" si="3"/>
        <v>81472846.72699064</v>
      </c>
      <c r="L42" s="108">
        <f t="shared" si="4"/>
        <v>85896822.37077944</v>
      </c>
      <c r="M42" s="108">
        <f t="shared" si="5"/>
        <v>136783.54659997669</v>
      </c>
      <c r="N42" s="108">
        <f t="shared" si="6"/>
        <v>12500</v>
      </c>
      <c r="O42" s="108">
        <f t="shared" si="7"/>
        <v>149283.54659997669</v>
      </c>
      <c r="P42" s="108">
        <f t="shared" si="8"/>
        <v>59713.418639990676</v>
      </c>
      <c r="Q42" s="100">
        <f t="shared" si="9"/>
        <v>1.3083333333333334E-2</v>
      </c>
      <c r="R42" s="100">
        <f>20%</f>
        <v>0.2</v>
      </c>
      <c r="S42" s="108">
        <f t="shared" si="10"/>
        <v>224763.35187020621</v>
      </c>
      <c r="T42" s="108">
        <f t="shared" si="11"/>
        <v>305363.20352812088</v>
      </c>
      <c r="U42" s="108">
        <f t="shared" si="12"/>
        <v>5072.2106002029941</v>
      </c>
      <c r="V42" s="108">
        <f t="shared" si="13"/>
        <v>8768.2377806681998</v>
      </c>
      <c r="W42" s="108">
        <f t="shared" si="14"/>
        <v>319203.65190899209</v>
      </c>
      <c r="X42" s="108">
        <f t="shared" si="15"/>
        <v>-135193.2239102202</v>
      </c>
      <c r="Y42" s="108">
        <f t="shared" si="16"/>
        <v>-36502.170455759457</v>
      </c>
      <c r="Z42" s="108">
        <f t="shared" si="17"/>
        <v>-98691.053454460751</v>
      </c>
      <c r="AA42" s="108">
        <f t="shared" si="18"/>
        <v>3820.6760061119085</v>
      </c>
      <c r="AB42" s="108">
        <f t="shared" si="19"/>
        <v>-102511.72946057266</v>
      </c>
      <c r="AC42" s="109">
        <f t="shared" si="20"/>
        <v>0.69378029154774112</v>
      </c>
      <c r="AD42" s="108">
        <f t="shared" si="21"/>
        <v>-68469.907838789484</v>
      </c>
      <c r="AE42" s="108">
        <f t="shared" si="22"/>
        <v>221457.20268452421</v>
      </c>
      <c r="AF42" s="48">
        <f t="shared" si="23"/>
        <v>-0.3091789610308045</v>
      </c>
      <c r="AG42" s="110"/>
    </row>
    <row r="43" spans="2:33" x14ac:dyDescent="0.4">
      <c r="B43" s="111" t="s">
        <v>93</v>
      </c>
      <c r="C43" s="122">
        <f>SUM(AD5:AD124)/SUM(AE5:AE124)</f>
        <v>-0.27651636453064649</v>
      </c>
      <c r="E43" s="107">
        <v>39</v>
      </c>
      <c r="F43" s="107">
        <v>4</v>
      </c>
      <c r="G43" s="141">
        <f t="shared" si="24"/>
        <v>81472846.72699064</v>
      </c>
      <c r="H43" s="141">
        <f t="shared" si="0"/>
        <v>1537668.1158701384</v>
      </c>
      <c r="I43" s="141">
        <f t="shared" si="1"/>
        <v>933543.0354134345</v>
      </c>
      <c r="J43" s="141">
        <f t="shared" si="2"/>
        <v>604125.0804567039</v>
      </c>
      <c r="K43" s="108">
        <f t="shared" si="3"/>
        <v>80868721.646533936</v>
      </c>
      <c r="L43" s="108">
        <f t="shared" si="4"/>
        <v>85271691.628921553</v>
      </c>
      <c r="M43" s="108">
        <f t="shared" si="5"/>
        <v>135788.07787831785</v>
      </c>
      <c r="N43" s="108">
        <f t="shared" si="6"/>
        <v>12500</v>
      </c>
      <c r="O43" s="108">
        <f t="shared" si="7"/>
        <v>148288.07787831785</v>
      </c>
      <c r="P43" s="108">
        <f t="shared" si="8"/>
        <v>59315.231151327142</v>
      </c>
      <c r="Q43" s="100">
        <f t="shared" si="9"/>
        <v>1.3083333333333334E-2</v>
      </c>
      <c r="R43" s="100">
        <f>20%</f>
        <v>0.2</v>
      </c>
      <c r="S43" s="108">
        <f t="shared" si="10"/>
        <v>223127.59309567808</v>
      </c>
      <c r="T43" s="108">
        <f t="shared" si="11"/>
        <v>303140.86374081607</v>
      </c>
      <c r="U43" s="108">
        <f t="shared" si="12"/>
        <v>5038.3875358588803</v>
      </c>
      <c r="V43" s="108">
        <f t="shared" si="13"/>
        <v>8709.7684673813746</v>
      </c>
      <c r="W43" s="108">
        <f t="shared" si="14"/>
        <v>316889.01974405634</v>
      </c>
      <c r="X43" s="108">
        <f t="shared" si="15"/>
        <v>-134154.74636868737</v>
      </c>
      <c r="Y43" s="108">
        <f t="shared" si="16"/>
        <v>-36221.781519545591</v>
      </c>
      <c r="Z43" s="108">
        <f t="shared" si="17"/>
        <v>-97932.964849141776</v>
      </c>
      <c r="AA43" s="108">
        <f t="shared" si="18"/>
        <v>3792.9712492187564</v>
      </c>
      <c r="AB43" s="108">
        <f t="shared" si="19"/>
        <v>-101725.93609836053</v>
      </c>
      <c r="AC43" s="109">
        <f t="shared" si="20"/>
        <v>0.68713740276399327</v>
      </c>
      <c r="AD43" s="108">
        <f t="shared" si="21"/>
        <v>-67293.40311141673</v>
      </c>
      <c r="AE43" s="108">
        <f t="shared" si="22"/>
        <v>217746.29799135865</v>
      </c>
      <c r="AF43" s="48">
        <f t="shared" si="23"/>
        <v>-0.30904499287554954</v>
      </c>
      <c r="AG43" s="110"/>
    </row>
    <row r="44" spans="2:33" x14ac:dyDescent="0.4">
      <c r="B44" s="111" t="s">
        <v>94</v>
      </c>
      <c r="C44" s="123">
        <f>SUM(AD5:AD124)-$C$36*SUM(AE5:AE124)</f>
        <v>-8192775.7802374726</v>
      </c>
      <c r="E44" s="107">
        <v>40</v>
      </c>
      <c r="F44" s="107">
        <v>4</v>
      </c>
      <c r="G44" s="141">
        <f t="shared" si="24"/>
        <v>80868721.646533936</v>
      </c>
      <c r="H44" s="141">
        <f t="shared" si="0"/>
        <v>1537668.1158701384</v>
      </c>
      <c r="I44" s="141">
        <f t="shared" si="1"/>
        <v>926620.76886653481</v>
      </c>
      <c r="J44" s="141">
        <f t="shared" si="2"/>
        <v>611047.34700360359</v>
      </c>
      <c r="K44" s="108">
        <f t="shared" si="3"/>
        <v>80257674.299530327</v>
      </c>
      <c r="L44" s="108">
        <f t="shared" si="4"/>
        <v>84639397.930646554</v>
      </c>
      <c r="M44" s="108">
        <f t="shared" si="5"/>
        <v>134781.20274422335</v>
      </c>
      <c r="N44" s="108">
        <f t="shared" si="6"/>
        <v>12500</v>
      </c>
      <c r="O44" s="108">
        <f t="shared" si="7"/>
        <v>147281.20274422335</v>
      </c>
      <c r="P44" s="108">
        <f t="shared" si="8"/>
        <v>58912.481097689342</v>
      </c>
      <c r="Q44" s="100">
        <f t="shared" si="9"/>
        <v>1.3083333333333334E-2</v>
      </c>
      <c r="R44" s="100">
        <f>20%</f>
        <v>0.2</v>
      </c>
      <c r="S44" s="108">
        <f t="shared" si="10"/>
        <v>221473.09125185851</v>
      </c>
      <c r="T44" s="108">
        <f t="shared" si="11"/>
        <v>300893.05964344845</v>
      </c>
      <c r="U44" s="108">
        <f t="shared" si="12"/>
        <v>5004.1769155691572</v>
      </c>
      <c r="V44" s="108">
        <f t="shared" si="13"/>
        <v>8650.6291932131371</v>
      </c>
      <c r="W44" s="108">
        <f t="shared" si="14"/>
        <v>314547.86575223075</v>
      </c>
      <c r="X44" s="108">
        <f t="shared" si="15"/>
        <v>-133104.36960532449</v>
      </c>
      <c r="Y44" s="108">
        <f t="shared" si="16"/>
        <v>-35938.179793437615</v>
      </c>
      <c r="Z44" s="108">
        <f t="shared" si="17"/>
        <v>-97166.18981188687</v>
      </c>
      <c r="AA44" s="108">
        <f t="shared" si="18"/>
        <v>3764.9490419862045</v>
      </c>
      <c r="AB44" s="108">
        <f t="shared" si="19"/>
        <v>-100931.13885387307</v>
      </c>
      <c r="AC44" s="109">
        <f t="shared" si="20"/>
        <v>0.68055811908971697</v>
      </c>
      <c r="AD44" s="108">
        <f t="shared" si="21"/>
        <v>-66127.239377492151</v>
      </c>
      <c r="AE44" s="108">
        <f t="shared" si="22"/>
        <v>214068.10388002297</v>
      </c>
      <c r="AF44" s="48">
        <f t="shared" si="23"/>
        <v>-0.3089074840152457</v>
      </c>
      <c r="AG44" s="110"/>
    </row>
    <row r="45" spans="2:33" x14ac:dyDescent="0.4">
      <c r="E45" s="107">
        <v>41</v>
      </c>
      <c r="F45" s="107">
        <v>4</v>
      </c>
      <c r="G45" s="141">
        <f t="shared" si="24"/>
        <v>80257674.299530327</v>
      </c>
      <c r="H45" s="141">
        <f t="shared" si="0"/>
        <v>1537668.1158701384</v>
      </c>
      <c r="I45" s="141">
        <f t="shared" si="1"/>
        <v>919619.18468211836</v>
      </c>
      <c r="J45" s="141">
        <f t="shared" si="2"/>
        <v>618048.93118802004</v>
      </c>
      <c r="K45" s="108">
        <f t="shared" si="3"/>
        <v>79639625.36834231</v>
      </c>
      <c r="L45" s="108">
        <f t="shared" si="4"/>
        <v>83999859.200412139</v>
      </c>
      <c r="M45" s="108">
        <f t="shared" si="5"/>
        <v>133762.79049921731</v>
      </c>
      <c r="N45" s="108">
        <f t="shared" si="6"/>
        <v>12500</v>
      </c>
      <c r="O45" s="108">
        <f t="shared" si="7"/>
        <v>146262.79049921731</v>
      </c>
      <c r="P45" s="108">
        <f t="shared" si="8"/>
        <v>58505.116199686927</v>
      </c>
      <c r="Q45" s="100">
        <f t="shared" si="9"/>
        <v>1.3083333333333334E-2</v>
      </c>
      <c r="R45" s="100">
        <f>20%</f>
        <v>0.2</v>
      </c>
      <c r="S45" s="108">
        <f t="shared" si="10"/>
        <v>219799.63157441179</v>
      </c>
      <c r="T45" s="108">
        <f t="shared" si="11"/>
        <v>298619.49945746514</v>
      </c>
      <c r="U45" s="108">
        <f t="shared" si="12"/>
        <v>4969.5742985886136</v>
      </c>
      <c r="V45" s="108">
        <f t="shared" si="13"/>
        <v>8590.8122815283878</v>
      </c>
      <c r="W45" s="108">
        <f t="shared" si="14"/>
        <v>312179.88603758212</v>
      </c>
      <c r="X45" s="108">
        <f t="shared" si="15"/>
        <v>-132041.9572748814</v>
      </c>
      <c r="Y45" s="108">
        <f t="shared" si="16"/>
        <v>-35651.328464217979</v>
      </c>
      <c r="Z45" s="108">
        <f t="shared" si="17"/>
        <v>-96390.628810663417</v>
      </c>
      <c r="AA45" s="108">
        <f t="shared" si="18"/>
        <v>3736.6057469624461</v>
      </c>
      <c r="AB45" s="108">
        <f t="shared" si="19"/>
        <v>-100127.23455762587</v>
      </c>
      <c r="AC45" s="109">
        <f t="shared" si="20"/>
        <v>0.67404183151126151</v>
      </c>
      <c r="AD45" s="108">
        <f t="shared" si="21"/>
        <v>-64971.315984061737</v>
      </c>
      <c r="AE45" s="108">
        <f t="shared" si="22"/>
        <v>210422.30214574875</v>
      </c>
      <c r="AF45" s="48">
        <f t="shared" si="23"/>
        <v>-0.30876630148765999</v>
      </c>
      <c r="AG45" s="110"/>
    </row>
    <row r="46" spans="2:33" x14ac:dyDescent="0.4">
      <c r="E46" s="107">
        <v>42</v>
      </c>
      <c r="F46" s="107">
        <v>4</v>
      </c>
      <c r="G46" s="141">
        <f t="shared" si="24"/>
        <v>79639625.36834231</v>
      </c>
      <c r="H46" s="141">
        <f t="shared" si="0"/>
        <v>1537668.1158701384</v>
      </c>
      <c r="I46" s="141">
        <f t="shared" si="1"/>
        <v>912537.37401225569</v>
      </c>
      <c r="J46" s="141">
        <f t="shared" si="2"/>
        <v>625130.74185788271</v>
      </c>
      <c r="K46" s="108">
        <f t="shared" si="3"/>
        <v>79014494.626484424</v>
      </c>
      <c r="L46" s="108">
        <f t="shared" si="4"/>
        <v>83352992.422227144</v>
      </c>
      <c r="M46" s="108">
        <f t="shared" si="5"/>
        <v>132732.70894723732</v>
      </c>
      <c r="N46" s="108">
        <f t="shared" si="6"/>
        <v>12500</v>
      </c>
      <c r="O46" s="108">
        <f t="shared" si="7"/>
        <v>145232.70894723732</v>
      </c>
      <c r="P46" s="108">
        <f t="shared" si="8"/>
        <v>58093.083578894933</v>
      </c>
      <c r="Q46" s="100">
        <f t="shared" si="9"/>
        <v>1.3083333333333334E-2</v>
      </c>
      <c r="R46" s="100">
        <f>20%</f>
        <v>0.2</v>
      </c>
      <c r="S46" s="108">
        <f t="shared" si="10"/>
        <v>218106.99683816105</v>
      </c>
      <c r="T46" s="108">
        <f t="shared" si="11"/>
        <v>296319.8880610175</v>
      </c>
      <c r="U46" s="108">
        <f t="shared" si="12"/>
        <v>4934.5751932885032</v>
      </c>
      <c r="V46" s="108">
        <f t="shared" si="13"/>
        <v>8530.3099677305872</v>
      </c>
      <c r="W46" s="108">
        <f t="shared" si="14"/>
        <v>309784.7732220366</v>
      </c>
      <c r="X46" s="108">
        <f t="shared" si="15"/>
        <v>-130967.37146981867</v>
      </c>
      <c r="Y46" s="108">
        <f t="shared" si="16"/>
        <v>-35361.19029685104</v>
      </c>
      <c r="Z46" s="108">
        <f t="shared" si="17"/>
        <v>-95606.181172967626</v>
      </c>
      <c r="AA46" s="108">
        <f t="shared" si="18"/>
        <v>3707.9376850165418</v>
      </c>
      <c r="AB46" s="108">
        <f t="shared" si="19"/>
        <v>-99314.118857984169</v>
      </c>
      <c r="AC46" s="109">
        <f t="shared" si="20"/>
        <v>0.66758793684623141</v>
      </c>
      <c r="AD46" s="108">
        <f t="shared" si="21"/>
        <v>-63825.533239008473</v>
      </c>
      <c r="AE46" s="108">
        <f t="shared" si="22"/>
        <v>206808.5776216771</v>
      </c>
      <c r="AF46" s="48">
        <f t="shared" si="23"/>
        <v>-0.30862130561995826</v>
      </c>
      <c r="AG46" s="110"/>
    </row>
    <row r="47" spans="2:33" x14ac:dyDescent="0.4">
      <c r="C47" s="124"/>
      <c r="E47" s="107">
        <v>43</v>
      </c>
      <c r="F47" s="107">
        <v>4</v>
      </c>
      <c r="G47" s="141">
        <f t="shared" si="24"/>
        <v>79014494.626484424</v>
      </c>
      <c r="H47" s="141">
        <f t="shared" si="0"/>
        <v>1537668.1158701384</v>
      </c>
      <c r="I47" s="141">
        <f t="shared" si="1"/>
        <v>905374.41759513412</v>
      </c>
      <c r="J47" s="141">
        <f t="shared" si="2"/>
        <v>632293.69827500428</v>
      </c>
      <c r="K47" s="108">
        <f t="shared" si="3"/>
        <v>78382200.928209424</v>
      </c>
      <c r="L47" s="108">
        <f t="shared" si="4"/>
        <v>82698713.628875419</v>
      </c>
      <c r="M47" s="108">
        <f t="shared" si="5"/>
        <v>131690.82437747417</v>
      </c>
      <c r="N47" s="108">
        <f t="shared" si="6"/>
        <v>12500</v>
      </c>
      <c r="O47" s="108">
        <f t="shared" si="7"/>
        <v>144190.82437747417</v>
      </c>
      <c r="P47" s="108">
        <f t="shared" si="8"/>
        <v>57676.329750989673</v>
      </c>
      <c r="Q47" s="100">
        <f t="shared" si="9"/>
        <v>1.3083333333333334E-2</v>
      </c>
      <c r="R47" s="100">
        <f>20%</f>
        <v>0.2</v>
      </c>
      <c r="S47" s="108">
        <f t="shared" si="10"/>
        <v>216394.96732889069</v>
      </c>
      <c r="T47" s="108">
        <f t="shared" si="11"/>
        <v>293993.92695065209</v>
      </c>
      <c r="U47" s="108">
        <f t="shared" si="12"/>
        <v>4899.1750565734947</v>
      </c>
      <c r="V47" s="108">
        <f t="shared" si="13"/>
        <v>8469.1143982538506</v>
      </c>
      <c r="W47" s="108">
        <f t="shared" si="14"/>
        <v>307362.21640547941</v>
      </c>
      <c r="X47" s="108">
        <f t="shared" si="15"/>
        <v>-129880.4727024062</v>
      </c>
      <c r="Y47" s="108">
        <f t="shared" si="16"/>
        <v>-35067.727629649678</v>
      </c>
      <c r="Z47" s="108">
        <f t="shared" si="17"/>
        <v>-94812.745072756516</v>
      </c>
      <c r="AA47" s="108">
        <f t="shared" si="18"/>
        <v>3678.9411348608378</v>
      </c>
      <c r="AB47" s="108">
        <f t="shared" si="19"/>
        <v>-98491.686207617357</v>
      </c>
      <c r="AC47" s="109">
        <f t="shared" si="20"/>
        <v>0.66119583768765189</v>
      </c>
      <c r="AD47" s="108">
        <f t="shared" si="21"/>
        <v>-62689.792401847037</v>
      </c>
      <c r="AE47" s="108">
        <f t="shared" si="22"/>
        <v>203226.6181497543</v>
      </c>
      <c r="AF47" s="48">
        <f t="shared" si="23"/>
        <v>-0.30847234959965714</v>
      </c>
      <c r="AG47" s="110"/>
    </row>
    <row r="48" spans="2:33" x14ac:dyDescent="0.4">
      <c r="C48" s="125"/>
      <c r="E48" s="107">
        <v>44</v>
      </c>
      <c r="F48" s="107">
        <v>4</v>
      </c>
      <c r="G48" s="141">
        <f t="shared" si="24"/>
        <v>78382200.928209424</v>
      </c>
      <c r="H48" s="141">
        <f t="shared" si="0"/>
        <v>1537668.1158701384</v>
      </c>
      <c r="I48" s="141">
        <f t="shared" si="1"/>
        <v>898129.38563573302</v>
      </c>
      <c r="J48" s="141">
        <f t="shared" si="2"/>
        <v>639538.73023440538</v>
      </c>
      <c r="K48" s="108">
        <f t="shared" si="3"/>
        <v>77742662.197975025</v>
      </c>
      <c r="L48" s="108">
        <f t="shared" si="4"/>
        <v>82036937.891016558</v>
      </c>
      <c r="M48" s="108">
        <f t="shared" si="5"/>
        <v>130637.00154701581</v>
      </c>
      <c r="N48" s="108">
        <f t="shared" si="6"/>
        <v>12500</v>
      </c>
      <c r="O48" s="108">
        <f t="shared" si="7"/>
        <v>143137.0015470158</v>
      </c>
      <c r="P48" s="108">
        <f t="shared" si="8"/>
        <v>57254.800618806323</v>
      </c>
      <c r="Q48" s="100">
        <f t="shared" si="9"/>
        <v>1.3083333333333334E-2</v>
      </c>
      <c r="R48" s="100">
        <f>20%</f>
        <v>0.2</v>
      </c>
      <c r="S48" s="108">
        <f t="shared" si="10"/>
        <v>214663.32081482667</v>
      </c>
      <c r="T48" s="108">
        <f t="shared" si="11"/>
        <v>291641.31420256384</v>
      </c>
      <c r="U48" s="108">
        <f t="shared" si="12"/>
        <v>4863.3692932919585</v>
      </c>
      <c r="V48" s="108">
        <f t="shared" si="13"/>
        <v>8407.2176295435256</v>
      </c>
      <c r="W48" s="108">
        <f t="shared" si="14"/>
        <v>304911.90112539928</v>
      </c>
      <c r="X48" s="108">
        <f t="shared" si="15"/>
        <v>-128781.11988661721</v>
      </c>
      <c r="Y48" s="108">
        <f t="shared" si="16"/>
        <v>-34770.902369386647</v>
      </c>
      <c r="Z48" s="108">
        <f t="shared" si="17"/>
        <v>-94010.217517230558</v>
      </c>
      <c r="AA48" s="108">
        <f t="shared" si="18"/>
        <v>3649.6123325679346</v>
      </c>
      <c r="AB48" s="108">
        <f t="shared" si="19"/>
        <v>-97659.829849798494</v>
      </c>
      <c r="AC48" s="109">
        <f t="shared" si="20"/>
        <v>0.65486494234867132</v>
      </c>
      <c r="AD48" s="108">
        <f t="shared" si="21"/>
        <v>-61563.995674607242</v>
      </c>
      <c r="AE48" s="108">
        <f t="shared" si="22"/>
        <v>199676.11455190837</v>
      </c>
      <c r="AF48" s="48">
        <f t="shared" si="23"/>
        <v>-0.308319279012227</v>
      </c>
      <c r="AG48" s="110"/>
    </row>
    <row r="49" spans="5:33" x14ac:dyDescent="0.4">
      <c r="E49" s="107">
        <v>45</v>
      </c>
      <c r="F49" s="107">
        <v>4</v>
      </c>
      <c r="G49" s="141">
        <f t="shared" si="24"/>
        <v>77742662.197975025</v>
      </c>
      <c r="H49" s="141">
        <f t="shared" si="0"/>
        <v>1537668.1158701384</v>
      </c>
      <c r="I49" s="141">
        <f t="shared" si="1"/>
        <v>890801.33768513054</v>
      </c>
      <c r="J49" s="141">
        <f t="shared" si="2"/>
        <v>646866.77818500786</v>
      </c>
      <c r="K49" s="108">
        <f t="shared" si="3"/>
        <v>77095795.419790015</v>
      </c>
      <c r="L49" s="108">
        <f t="shared" si="4"/>
        <v>81367579.306161404</v>
      </c>
      <c r="M49" s="108">
        <f t="shared" si="5"/>
        <v>129571.10366329183</v>
      </c>
      <c r="N49" s="108">
        <f t="shared" si="6"/>
        <v>12500</v>
      </c>
      <c r="O49" s="108">
        <f t="shared" si="7"/>
        <v>142071.10366329184</v>
      </c>
      <c r="P49" s="108">
        <f t="shared" si="8"/>
        <v>56828.441465316741</v>
      </c>
      <c r="Q49" s="100">
        <f t="shared" si="9"/>
        <v>1.3083333333333334E-2</v>
      </c>
      <c r="R49" s="100">
        <f>20%</f>
        <v>0.2</v>
      </c>
      <c r="S49" s="108">
        <f t="shared" si="10"/>
        <v>212911.83251778904</v>
      </c>
      <c r="T49" s="108">
        <f t="shared" si="11"/>
        <v>289261.74443340377</v>
      </c>
      <c r="U49" s="108">
        <f t="shared" si="12"/>
        <v>4827.1532556394914</v>
      </c>
      <c r="V49" s="108">
        <f t="shared" si="13"/>
        <v>8344.6116270250659</v>
      </c>
      <c r="W49" s="108">
        <f t="shared" si="14"/>
        <v>302433.50931606832</v>
      </c>
      <c r="X49" s="108">
        <f t="shared" si="15"/>
        <v>-127669.17031981394</v>
      </c>
      <c r="Y49" s="108">
        <f t="shared" si="16"/>
        <v>-34470.675986349765</v>
      </c>
      <c r="Z49" s="108">
        <f t="shared" si="17"/>
        <v>-93198.494333464187</v>
      </c>
      <c r="AA49" s="108">
        <f t="shared" si="18"/>
        <v>3619.9474710820928</v>
      </c>
      <c r="AB49" s="108">
        <f t="shared" si="19"/>
        <v>-96818.441804546281</v>
      </c>
      <c r="AC49" s="109">
        <f t="shared" si="20"/>
        <v>0.64859466480779016</v>
      </c>
      <c r="AD49" s="108">
        <f t="shared" si="21"/>
        <v>-60448.046192803937</v>
      </c>
      <c r="AE49" s="108">
        <f t="shared" si="22"/>
        <v>196156.760601499</v>
      </c>
      <c r="AF49" s="48">
        <f t="shared" si="23"/>
        <v>-0.30816193134228376</v>
      </c>
      <c r="AG49" s="110"/>
    </row>
    <row r="50" spans="5:33" x14ac:dyDescent="0.4">
      <c r="E50" s="107">
        <v>46</v>
      </c>
      <c r="F50" s="107">
        <v>4</v>
      </c>
      <c r="G50" s="141">
        <f t="shared" si="24"/>
        <v>77095795.419790015</v>
      </c>
      <c r="H50" s="141">
        <f t="shared" si="0"/>
        <v>1537668.1158701384</v>
      </c>
      <c r="I50" s="141">
        <f t="shared" si="1"/>
        <v>883389.32251842727</v>
      </c>
      <c r="J50" s="141">
        <f t="shared" si="2"/>
        <v>654278.79335171112</v>
      </c>
      <c r="K50" s="108">
        <f t="shared" si="3"/>
        <v>76441516.626438305</v>
      </c>
      <c r="L50" s="108">
        <f t="shared" si="4"/>
        <v>80690550.98752144</v>
      </c>
      <c r="M50" s="108">
        <f t="shared" si="5"/>
        <v>128492.9923663168</v>
      </c>
      <c r="N50" s="108">
        <f t="shared" si="6"/>
        <v>12500</v>
      </c>
      <c r="O50" s="108">
        <f t="shared" si="7"/>
        <v>140992.99236631679</v>
      </c>
      <c r="P50" s="108">
        <f t="shared" si="8"/>
        <v>56397.196946526718</v>
      </c>
      <c r="Q50" s="100">
        <f t="shared" si="9"/>
        <v>1.3083333333333334E-2</v>
      </c>
      <c r="R50" s="100">
        <f>20%</f>
        <v>0.2</v>
      </c>
      <c r="S50" s="108">
        <f t="shared" si="10"/>
        <v>211140.27508401446</v>
      </c>
      <c r="T50" s="108">
        <f t="shared" si="11"/>
        <v>286854.90876063867</v>
      </c>
      <c r="U50" s="108">
        <f t="shared" si="12"/>
        <v>4790.5222425555867</v>
      </c>
      <c r="V50" s="108">
        <f t="shared" si="13"/>
        <v>8281.2882640610769</v>
      </c>
      <c r="W50" s="108">
        <f t="shared" si="14"/>
        <v>299926.71926725534</v>
      </c>
      <c r="X50" s="108">
        <f t="shared" si="15"/>
        <v>-126544.47966422439</v>
      </c>
      <c r="Y50" s="108">
        <f t="shared" si="16"/>
        <v>-34167.009509340591</v>
      </c>
      <c r="Z50" s="108">
        <f t="shared" si="17"/>
        <v>-92377.470154883806</v>
      </c>
      <c r="AA50" s="108">
        <f t="shared" si="18"/>
        <v>3589.942699725058</v>
      </c>
      <c r="AB50" s="108">
        <f t="shared" si="19"/>
        <v>-95967.412854608861</v>
      </c>
      <c r="AC50" s="109">
        <f t="shared" si="20"/>
        <v>0.64238442465461632</v>
      </c>
      <c r="AD50" s="108">
        <f t="shared" si="21"/>
        <v>-59341.848016494027</v>
      </c>
      <c r="AE50" s="108">
        <f t="shared" si="22"/>
        <v>192668.25299504245</v>
      </c>
      <c r="AF50" s="48">
        <f t="shared" si="23"/>
        <v>-0.30800013543497978</v>
      </c>
      <c r="AG50" s="110"/>
    </row>
    <row r="51" spans="5:33" x14ac:dyDescent="0.4">
      <c r="E51" s="107">
        <v>47</v>
      </c>
      <c r="F51" s="107">
        <v>4</v>
      </c>
      <c r="G51" s="141">
        <f t="shared" si="24"/>
        <v>76441516.626438305</v>
      </c>
      <c r="H51" s="141">
        <f t="shared" si="0"/>
        <v>1537668.1158701384</v>
      </c>
      <c r="I51" s="141">
        <f t="shared" si="1"/>
        <v>875892.37801127229</v>
      </c>
      <c r="J51" s="141">
        <f t="shared" si="2"/>
        <v>661775.73785886611</v>
      </c>
      <c r="K51" s="108">
        <f t="shared" si="3"/>
        <v>75779740.888579443</v>
      </c>
      <c r="L51" s="108">
        <f t="shared" si="4"/>
        <v>80005765.052730396</v>
      </c>
      <c r="M51" s="108">
        <f t="shared" si="5"/>
        <v>127402.52771073062</v>
      </c>
      <c r="N51" s="108">
        <f t="shared" si="6"/>
        <v>12500</v>
      </c>
      <c r="O51" s="108">
        <f t="shared" si="7"/>
        <v>139902.52771073062</v>
      </c>
      <c r="P51" s="108">
        <f t="shared" si="8"/>
        <v>55961.011084292251</v>
      </c>
      <c r="Q51" s="100">
        <f t="shared" si="9"/>
        <v>1.3083333333333334E-2</v>
      </c>
      <c r="R51" s="100">
        <f>20%</f>
        <v>0.2</v>
      </c>
      <c r="S51" s="108">
        <f t="shared" si="10"/>
        <v>209348.41855464457</v>
      </c>
      <c r="T51" s="108">
        <f t="shared" si="11"/>
        <v>284420.49476245651</v>
      </c>
      <c r="U51" s="108">
        <f t="shared" si="12"/>
        <v>4753.4714991134306</v>
      </c>
      <c r="V51" s="108">
        <f t="shared" si="13"/>
        <v>8217.2393208964622</v>
      </c>
      <c r="W51" s="108">
        <f t="shared" si="14"/>
        <v>297391.20558246638</v>
      </c>
      <c r="X51" s="108">
        <f t="shared" si="15"/>
        <v>-125406.90192820621</v>
      </c>
      <c r="Y51" s="108">
        <f t="shared" si="16"/>
        <v>-33859.863520615676</v>
      </c>
      <c r="Z51" s="108">
        <f t="shared" si="17"/>
        <v>-91547.038407590531</v>
      </c>
      <c r="AA51" s="108">
        <f t="shared" si="18"/>
        <v>3559.594123696224</v>
      </c>
      <c r="AB51" s="108">
        <f t="shared" si="19"/>
        <v>-95106.632531286756</v>
      </c>
      <c r="AC51" s="109">
        <f t="shared" si="20"/>
        <v>0.63623364703613916</v>
      </c>
      <c r="AD51" s="108">
        <f t="shared" si="21"/>
        <v>-58245.306121418827</v>
      </c>
      <c r="AE51" s="108">
        <f t="shared" si="22"/>
        <v>189210.2913242068</v>
      </c>
      <c r="AF51" s="48">
        <f t="shared" si="23"/>
        <v>-0.30783371091383738</v>
      </c>
      <c r="AG51" s="110"/>
    </row>
    <row r="52" spans="5:33" x14ac:dyDescent="0.4">
      <c r="E52" s="107">
        <v>48</v>
      </c>
      <c r="F52" s="107">
        <v>4</v>
      </c>
      <c r="G52" s="141">
        <f t="shared" si="24"/>
        <v>75779740.888579443</v>
      </c>
      <c r="H52" s="141">
        <f t="shared" si="0"/>
        <v>1537668.1158701384</v>
      </c>
      <c r="I52" s="141">
        <f t="shared" si="1"/>
        <v>868309.53101497283</v>
      </c>
      <c r="J52" s="141">
        <f t="shared" si="2"/>
        <v>669358.58485516557</v>
      </c>
      <c r="K52" s="108">
        <f t="shared" si="3"/>
        <v>75110382.303724274</v>
      </c>
      <c r="L52" s="108">
        <f t="shared" si="4"/>
        <v>79313132.612436533</v>
      </c>
      <c r="M52" s="108">
        <f t="shared" si="5"/>
        <v>126299.56814763253</v>
      </c>
      <c r="N52" s="108">
        <f t="shared" si="6"/>
        <v>12500</v>
      </c>
      <c r="O52" s="108">
        <f t="shared" si="7"/>
        <v>138799.56814763253</v>
      </c>
      <c r="P52" s="108">
        <f t="shared" si="8"/>
        <v>55519.82725905301</v>
      </c>
      <c r="Q52" s="100">
        <f t="shared" si="9"/>
        <v>1.3083333333333334E-2</v>
      </c>
      <c r="R52" s="100">
        <f>20%</f>
        <v>0.2</v>
      </c>
      <c r="S52" s="108">
        <f t="shared" si="10"/>
        <v>207536.03033587561</v>
      </c>
      <c r="T52" s="108">
        <f t="shared" si="11"/>
        <v>281958.18643721187</v>
      </c>
      <c r="U52" s="108">
        <f t="shared" si="12"/>
        <v>4715.9962159026672</v>
      </c>
      <c r="V52" s="108">
        <f t="shared" si="13"/>
        <v>8152.4564835914207</v>
      </c>
      <c r="W52" s="108">
        <f t="shared" si="14"/>
        <v>294826.63913670596</v>
      </c>
      <c r="X52" s="108">
        <f t="shared" si="15"/>
        <v>-124256.28944729609</v>
      </c>
      <c r="Y52" s="108">
        <f t="shared" si="16"/>
        <v>-33549.198150769946</v>
      </c>
      <c r="Z52" s="108">
        <f t="shared" si="17"/>
        <v>-90707.091296526138</v>
      </c>
      <c r="AA52" s="108">
        <f t="shared" si="18"/>
        <v>3528.8978035670602</v>
      </c>
      <c r="AB52" s="108">
        <f t="shared" si="19"/>
        <v>-94235.989100093197</v>
      </c>
      <c r="AC52" s="109">
        <f t="shared" si="20"/>
        <v>0.63014176260351717</v>
      </c>
      <c r="AD52" s="108">
        <f t="shared" si="21"/>
        <v>-57158.32639023113</v>
      </c>
      <c r="AE52" s="108">
        <f t="shared" si="22"/>
        <v>185782.578048075</v>
      </c>
      <c r="AF52" s="48">
        <f t="shared" si="23"/>
        <v>-0.3076624675508608</v>
      </c>
      <c r="AG52" s="110"/>
    </row>
    <row r="53" spans="5:33" x14ac:dyDescent="0.4">
      <c r="E53" s="107">
        <v>49</v>
      </c>
      <c r="F53" s="107">
        <v>5</v>
      </c>
      <c r="G53" s="141">
        <f t="shared" si="24"/>
        <v>75110382.303724274</v>
      </c>
      <c r="H53" s="141">
        <f t="shared" si="0"/>
        <v>1537668.1158701384</v>
      </c>
      <c r="I53" s="141">
        <f t="shared" si="1"/>
        <v>860639.79723017407</v>
      </c>
      <c r="J53" s="141">
        <f t="shared" si="2"/>
        <v>677028.31863996433</v>
      </c>
      <c r="K53" s="108">
        <f t="shared" si="3"/>
        <v>74433353.98508431</v>
      </c>
      <c r="L53" s="108">
        <f t="shared" si="4"/>
        <v>78612563.758764297</v>
      </c>
      <c r="M53" s="108">
        <f t="shared" si="5"/>
        <v>125183.97050620725</v>
      </c>
      <c r="N53" s="108">
        <f t="shared" si="6"/>
        <v>12500</v>
      </c>
      <c r="O53" s="108">
        <f t="shared" si="7"/>
        <v>137683.97050620726</v>
      </c>
      <c r="P53" s="108">
        <f t="shared" si="8"/>
        <v>55073.588202482904</v>
      </c>
      <c r="Q53" s="100">
        <f t="shared" si="9"/>
        <v>1.3083333333333334E-2</v>
      </c>
      <c r="R53" s="100">
        <f>20%</f>
        <v>0.2</v>
      </c>
      <c r="S53" s="108">
        <f t="shared" si="10"/>
        <v>205702.87516876659</v>
      </c>
      <c r="T53" s="108">
        <f t="shared" si="11"/>
        <v>279467.66416240705</v>
      </c>
      <c r="U53" s="108">
        <f t="shared" si="12"/>
        <v>4678.0915284051125</v>
      </c>
      <c r="V53" s="108">
        <f t="shared" si="13"/>
        <v>8086.9313429422573</v>
      </c>
      <c r="W53" s="108">
        <f t="shared" si="14"/>
        <v>292232.68703375437</v>
      </c>
      <c r="X53" s="108">
        <f t="shared" si="15"/>
        <v>-123092.49286504224</v>
      </c>
      <c r="Y53" s="108">
        <f t="shared" si="16"/>
        <v>-33234.973073561407</v>
      </c>
      <c r="Z53" s="108">
        <f t="shared" si="17"/>
        <v>-89857.519791480823</v>
      </c>
      <c r="AA53" s="108">
        <f t="shared" si="18"/>
        <v>3497.849754769748</v>
      </c>
      <c r="AB53" s="108">
        <f t="shared" si="19"/>
        <v>-93355.369546250571</v>
      </c>
      <c r="AC53" s="109">
        <f t="shared" si="20"/>
        <v>0.62410820745937834</v>
      </c>
      <c r="AD53" s="108">
        <f t="shared" si="21"/>
        <v>-56080.81560380671</v>
      </c>
      <c r="AE53" s="108">
        <f t="shared" si="22"/>
        <v>182384.81846567395</v>
      </c>
      <c r="AF53" s="48">
        <f t="shared" si="23"/>
        <v>-0.30748620458430037</v>
      </c>
      <c r="AG53" s="110"/>
    </row>
    <row r="54" spans="5:33" x14ac:dyDescent="0.4">
      <c r="E54" s="107">
        <v>50</v>
      </c>
      <c r="F54" s="107">
        <v>5</v>
      </c>
      <c r="G54" s="141">
        <f t="shared" si="24"/>
        <v>74433353.98508431</v>
      </c>
      <c r="H54" s="141">
        <f t="shared" si="0"/>
        <v>1537668.1158701384</v>
      </c>
      <c r="I54" s="141">
        <f t="shared" si="1"/>
        <v>852882.18107909115</v>
      </c>
      <c r="J54" s="141">
        <f t="shared" si="2"/>
        <v>684785.93479104724</v>
      </c>
      <c r="K54" s="108">
        <f t="shared" si="3"/>
        <v>73748568.050293267</v>
      </c>
      <c r="L54" s="108">
        <f t="shared" si="4"/>
        <v>77903967.553643748</v>
      </c>
      <c r="M54" s="108">
        <f t="shared" si="5"/>
        <v>124055.58997514063</v>
      </c>
      <c r="N54" s="108">
        <f t="shared" si="6"/>
        <v>12500</v>
      </c>
      <c r="O54" s="108">
        <f t="shared" si="7"/>
        <v>136555.58997514064</v>
      </c>
      <c r="P54" s="108">
        <f t="shared" si="8"/>
        <v>54622.235990056259</v>
      </c>
      <c r="Q54" s="100">
        <f t="shared" si="9"/>
        <v>1.3083333333333334E-2</v>
      </c>
      <c r="R54" s="100">
        <f>20%</f>
        <v>0.2</v>
      </c>
      <c r="S54" s="108">
        <f t="shared" si="10"/>
        <v>203848.71509870116</v>
      </c>
      <c r="T54" s="108">
        <f t="shared" si="11"/>
        <v>276948.60465320351</v>
      </c>
      <c r="U54" s="108">
        <f t="shared" si="12"/>
        <v>4639.7525163633145</v>
      </c>
      <c r="V54" s="108">
        <f t="shared" si="13"/>
        <v>8020.6553933898213</v>
      </c>
      <c r="W54" s="108">
        <f t="shared" si="14"/>
        <v>289609.01256295666</v>
      </c>
      <c r="X54" s="108">
        <f t="shared" si="15"/>
        <v>-121915.36111361677</v>
      </c>
      <c r="Y54" s="108">
        <f t="shared" si="16"/>
        <v>-32917.147500676532</v>
      </c>
      <c r="Z54" s="108">
        <f t="shared" si="17"/>
        <v>-88998.21361294025</v>
      </c>
      <c r="AA54" s="108">
        <f t="shared" si="18"/>
        <v>3466.4459470799688</v>
      </c>
      <c r="AB54" s="108">
        <f t="shared" si="19"/>
        <v>-92464.659560020213</v>
      </c>
      <c r="AC54" s="109">
        <f t="shared" si="20"/>
        <v>0.61813242310561989</v>
      </c>
      <c r="AD54" s="108">
        <f t="shared" si="21"/>
        <v>-55012.681432638325</v>
      </c>
      <c r="AE54" s="108">
        <f t="shared" si="22"/>
        <v>179016.72068876631</v>
      </c>
      <c r="AF54" s="48">
        <f t="shared" si="23"/>
        <v>-0.30730470997891812</v>
      </c>
      <c r="AG54" s="110"/>
    </row>
    <row r="55" spans="5:33" x14ac:dyDescent="0.4">
      <c r="E55" s="107">
        <v>51</v>
      </c>
      <c r="F55" s="107">
        <v>5</v>
      </c>
      <c r="G55" s="141">
        <f t="shared" si="24"/>
        <v>73748568.050293267</v>
      </c>
      <c r="H55" s="141">
        <f t="shared" si="0"/>
        <v>1537668.1158701384</v>
      </c>
      <c r="I55" s="141">
        <f t="shared" si="1"/>
        <v>845035.67557627708</v>
      </c>
      <c r="J55" s="141">
        <f t="shared" si="2"/>
        <v>692632.44029386132</v>
      </c>
      <c r="K55" s="108">
        <f t="shared" si="3"/>
        <v>73055935.609999403</v>
      </c>
      <c r="L55" s="108">
        <f t="shared" si="4"/>
        <v>77187252.017006189</v>
      </c>
      <c r="M55" s="108">
        <f t="shared" si="5"/>
        <v>122914.28008382222</v>
      </c>
      <c r="N55" s="108">
        <f t="shared" si="6"/>
        <v>12500</v>
      </c>
      <c r="O55" s="108">
        <f t="shared" si="7"/>
        <v>135414.2800838222</v>
      </c>
      <c r="P55" s="108">
        <f t="shared" si="8"/>
        <v>54165.712033528886</v>
      </c>
      <c r="Q55" s="100">
        <f t="shared" si="9"/>
        <v>1.3083333333333334E-2</v>
      </c>
      <c r="R55" s="100">
        <f>20%</f>
        <v>0.2</v>
      </c>
      <c r="S55" s="108">
        <f t="shared" si="10"/>
        <v>201973.30944449955</v>
      </c>
      <c r="T55" s="108">
        <f t="shared" si="11"/>
        <v>274400.680920457</v>
      </c>
      <c r="U55" s="108">
        <f t="shared" si="12"/>
        <v>4600.9742031418709</v>
      </c>
      <c r="V55" s="108">
        <f t="shared" si="13"/>
        <v>7953.6200319154295</v>
      </c>
      <c r="W55" s="108">
        <f t="shared" si="14"/>
        <v>286955.2751555143</v>
      </c>
      <c r="X55" s="108">
        <f t="shared" si="15"/>
        <v>-120724.74139420624</v>
      </c>
      <c r="Y55" s="108">
        <f t="shared" si="16"/>
        <v>-32595.680176435686</v>
      </c>
      <c r="Z55" s="108">
        <f t="shared" si="17"/>
        <v>-88129.061217770563</v>
      </c>
      <c r="AA55" s="108">
        <f t="shared" si="18"/>
        <v>3434.6823040937434</v>
      </c>
      <c r="AB55" s="108">
        <f t="shared" si="19"/>
        <v>-91563.743521864308</v>
      </c>
      <c r="AC55" s="109">
        <f t="shared" si="20"/>
        <v>0.61221385639171266</v>
      </c>
      <c r="AD55" s="108">
        <f t="shared" si="21"/>
        <v>-53953.832428312642</v>
      </c>
      <c r="AE55" s="108">
        <f t="shared" si="22"/>
        <v>175677.99561490244</v>
      </c>
      <c r="AF55" s="48">
        <f t="shared" si="23"/>
        <v>-0.30711775962302612</v>
      </c>
      <c r="AG55" s="110"/>
    </row>
    <row r="56" spans="5:33" x14ac:dyDescent="0.4">
      <c r="E56" s="107">
        <v>52</v>
      </c>
      <c r="F56" s="107">
        <v>5</v>
      </c>
      <c r="G56" s="141">
        <f t="shared" si="24"/>
        <v>73055935.609999403</v>
      </c>
      <c r="H56" s="141">
        <f t="shared" si="0"/>
        <v>1537668.1158701384</v>
      </c>
      <c r="I56" s="141">
        <f t="shared" si="1"/>
        <v>837099.26219790988</v>
      </c>
      <c r="J56" s="141">
        <f t="shared" si="2"/>
        <v>700568.85367222852</v>
      </c>
      <c r="K56" s="108">
        <f t="shared" si="3"/>
        <v>72355366.756327182</v>
      </c>
      <c r="L56" s="108">
        <f t="shared" si="4"/>
        <v>76462324.11484465</v>
      </c>
      <c r="M56" s="108">
        <f t="shared" si="5"/>
        <v>121759.89268333245</v>
      </c>
      <c r="N56" s="108">
        <f t="shared" si="6"/>
        <v>12500</v>
      </c>
      <c r="O56" s="108">
        <f t="shared" si="7"/>
        <v>134259.89268333244</v>
      </c>
      <c r="P56" s="108">
        <f t="shared" si="8"/>
        <v>53703.957073332975</v>
      </c>
      <c r="Q56" s="100">
        <f t="shared" si="9"/>
        <v>1.3083333333333334E-2</v>
      </c>
      <c r="R56" s="100">
        <f>20%</f>
        <v>0.2</v>
      </c>
      <c r="S56" s="108">
        <f t="shared" si="10"/>
        <v>200076.41476717684</v>
      </c>
      <c r="T56" s="108">
        <f t="shared" si="11"/>
        <v>271823.56222827273</v>
      </c>
      <c r="U56" s="108">
        <f t="shared" si="12"/>
        <v>4561.7515550814323</v>
      </c>
      <c r="V56" s="108">
        <f t="shared" si="13"/>
        <v>7885.8165569241455</v>
      </c>
      <c r="W56" s="108">
        <f t="shared" si="14"/>
        <v>284271.13034027832</v>
      </c>
      <c r="X56" s="108">
        <f t="shared" si="15"/>
        <v>-119520.47915717738</v>
      </c>
      <c r="Y56" s="108">
        <f t="shared" si="16"/>
        <v>-32270.529372437897</v>
      </c>
      <c r="Z56" s="108">
        <f t="shared" si="17"/>
        <v>-87249.949784739481</v>
      </c>
      <c r="AA56" s="108">
        <f t="shared" si="18"/>
        <v>3402.5547026983004</v>
      </c>
      <c r="AB56" s="108">
        <f t="shared" si="19"/>
        <v>-90652.504487437778</v>
      </c>
      <c r="AC56" s="109">
        <f t="shared" si="20"/>
        <v>0.60635195946349796</v>
      </c>
      <c r="AD56" s="108">
        <f t="shared" si="21"/>
        <v>-52904.178015068588</v>
      </c>
      <c r="AE56" s="108">
        <f t="shared" si="22"/>
        <v>172368.35690073119</v>
      </c>
      <c r="AF56" s="48">
        <f t="shared" si="23"/>
        <v>-0.30692511645589726</v>
      </c>
      <c r="AG56" s="110"/>
    </row>
    <row r="57" spans="5:33" x14ac:dyDescent="0.4">
      <c r="E57" s="107">
        <v>53</v>
      </c>
      <c r="F57" s="107">
        <v>5</v>
      </c>
      <c r="G57" s="141">
        <f t="shared" si="24"/>
        <v>72355366.756327182</v>
      </c>
      <c r="H57" s="141">
        <f t="shared" si="0"/>
        <v>1537668.1158701384</v>
      </c>
      <c r="I57" s="141">
        <f t="shared" si="1"/>
        <v>829071.91074958234</v>
      </c>
      <c r="J57" s="141">
        <f t="shared" si="2"/>
        <v>708596.20512055606</v>
      </c>
      <c r="K57" s="108">
        <f t="shared" si="3"/>
        <v>71646770.551206619</v>
      </c>
      <c r="L57" s="108">
        <f t="shared" si="4"/>
        <v>75729089.747137517</v>
      </c>
      <c r="M57" s="108">
        <f t="shared" si="5"/>
        <v>120592.27792721207</v>
      </c>
      <c r="N57" s="108">
        <f t="shared" si="6"/>
        <v>12500</v>
      </c>
      <c r="O57" s="108">
        <f t="shared" si="7"/>
        <v>133092.27792721207</v>
      </c>
      <c r="P57" s="108">
        <f t="shared" si="8"/>
        <v>53236.911170884829</v>
      </c>
      <c r="Q57" s="100">
        <f t="shared" si="9"/>
        <v>1.3083333333333334E-2</v>
      </c>
      <c r="R57" s="100">
        <f>20%</f>
        <v>0.2</v>
      </c>
      <c r="S57" s="108">
        <f t="shared" si="10"/>
        <v>198157.78483834318</v>
      </c>
      <c r="T57" s="108">
        <f t="shared" si="11"/>
        <v>269216.91405107384</v>
      </c>
      <c r="U57" s="108">
        <f t="shared" si="12"/>
        <v>4522.079480845302</v>
      </c>
      <c r="V57" s="108">
        <f t="shared" si="13"/>
        <v>7817.2361671152539</v>
      </c>
      <c r="W57" s="108">
        <f t="shared" si="14"/>
        <v>281556.22969903442</v>
      </c>
      <c r="X57" s="108">
        <f t="shared" si="15"/>
        <v>-118302.41808201594</v>
      </c>
      <c r="Y57" s="108">
        <f t="shared" si="16"/>
        <v>-31941.652882144306</v>
      </c>
      <c r="Z57" s="108">
        <f t="shared" si="17"/>
        <v>-86360.765199871632</v>
      </c>
      <c r="AA57" s="108">
        <f t="shared" si="18"/>
        <v>3370.0589725368682</v>
      </c>
      <c r="AB57" s="108">
        <f t="shared" si="19"/>
        <v>-89730.824172408495</v>
      </c>
      <c r="AC57" s="109">
        <f t="shared" si="20"/>
        <v>0.60054618971247498</v>
      </c>
      <c r="AD57" s="108">
        <f t="shared" si="21"/>
        <v>-51863.628481436615</v>
      </c>
      <c r="AE57" s="108">
        <f t="shared" si="22"/>
        <v>169087.5209355655</v>
      </c>
      <c r="AF57" s="48">
        <f t="shared" si="23"/>
        <v>-0.30672652951840479</v>
      </c>
      <c r="AG57" s="110"/>
    </row>
    <row r="58" spans="5:33" x14ac:dyDescent="0.4">
      <c r="E58" s="107">
        <v>54</v>
      </c>
      <c r="F58" s="107">
        <v>5</v>
      </c>
      <c r="G58" s="141">
        <f t="shared" si="24"/>
        <v>71646770.551206619</v>
      </c>
      <c r="H58" s="141">
        <f t="shared" si="0"/>
        <v>1537668.1158701384</v>
      </c>
      <c r="I58" s="141">
        <f t="shared" si="1"/>
        <v>820952.57923257595</v>
      </c>
      <c r="J58" s="141">
        <f t="shared" si="2"/>
        <v>716715.53663756244</v>
      </c>
      <c r="K58" s="108">
        <f t="shared" si="3"/>
        <v>70930055.014569059</v>
      </c>
      <c r="L58" s="108">
        <f t="shared" si="4"/>
        <v>74987453.735633731</v>
      </c>
      <c r="M58" s="108">
        <f t="shared" si="5"/>
        <v>119411.28425201114</v>
      </c>
      <c r="N58" s="108">
        <f t="shared" si="6"/>
        <v>12500</v>
      </c>
      <c r="O58" s="108">
        <f t="shared" si="7"/>
        <v>131911.28425201116</v>
      </c>
      <c r="P58" s="108">
        <f t="shared" si="8"/>
        <v>52764.513700804469</v>
      </c>
      <c r="Q58" s="100">
        <f t="shared" si="9"/>
        <v>1.3083333333333334E-2</v>
      </c>
      <c r="R58" s="100">
        <f>20%</f>
        <v>0.2</v>
      </c>
      <c r="S58" s="108">
        <f t="shared" si="10"/>
        <v>196217.17060824161</v>
      </c>
      <c r="T58" s="108">
        <f t="shared" si="11"/>
        <v>266580.39803017786</v>
      </c>
      <c r="U58" s="108">
        <f t="shared" si="12"/>
        <v>4481.9528307585488</v>
      </c>
      <c r="V58" s="108">
        <f t="shared" si="13"/>
        <v>7747.8699603398018</v>
      </c>
      <c r="W58" s="108">
        <f t="shared" si="14"/>
        <v>278810.22082127619</v>
      </c>
      <c r="X58" s="108">
        <f t="shared" si="15"/>
        <v>-117070.40005703492</v>
      </c>
      <c r="Y58" s="108">
        <f t="shared" si="16"/>
        <v>-31609.008015399428</v>
      </c>
      <c r="Z58" s="108">
        <f t="shared" si="17"/>
        <v>-85461.392041635496</v>
      </c>
      <c r="AA58" s="108">
        <f t="shared" si="18"/>
        <v>3337.1908954673349</v>
      </c>
      <c r="AB58" s="108">
        <f t="shared" si="19"/>
        <v>-88798.582937102838</v>
      </c>
      <c r="AC58" s="109">
        <f t="shared" si="20"/>
        <v>0.594796009725575</v>
      </c>
      <c r="AD58" s="108">
        <f t="shared" si="21"/>
        <v>-50832.094971957806</v>
      </c>
      <c r="AE58" s="108">
        <f t="shared" si="22"/>
        <v>165835.2068152015</v>
      </c>
      <c r="AF58" s="48">
        <f t="shared" si="23"/>
        <v>-0.30652173291888835</v>
      </c>
      <c r="AG58" s="110"/>
    </row>
    <row r="59" spans="5:33" x14ac:dyDescent="0.4">
      <c r="E59" s="107">
        <v>55</v>
      </c>
      <c r="F59" s="107">
        <v>5</v>
      </c>
      <c r="G59" s="141">
        <f t="shared" si="24"/>
        <v>70930055.014569059</v>
      </c>
      <c r="H59" s="141">
        <f t="shared" si="0"/>
        <v>1537668.1158701384</v>
      </c>
      <c r="I59" s="141">
        <f t="shared" si="1"/>
        <v>812740.21370860387</v>
      </c>
      <c r="J59" s="141">
        <f t="shared" si="2"/>
        <v>724927.90216153453</v>
      </c>
      <c r="K59" s="108">
        <f t="shared" si="3"/>
        <v>70205127.11240752</v>
      </c>
      <c r="L59" s="108">
        <f t="shared" si="4"/>
        <v>74237319.81149815</v>
      </c>
      <c r="M59" s="108">
        <f t="shared" si="5"/>
        <v>118216.75835761521</v>
      </c>
      <c r="N59" s="108">
        <f t="shared" si="6"/>
        <v>12500</v>
      </c>
      <c r="O59" s="108">
        <f t="shared" si="7"/>
        <v>130716.75835761521</v>
      </c>
      <c r="P59" s="108">
        <f t="shared" si="8"/>
        <v>52286.703343046087</v>
      </c>
      <c r="Q59" s="100">
        <f t="shared" si="9"/>
        <v>1.3083333333333334E-2</v>
      </c>
      <c r="R59" s="100">
        <f>20%</f>
        <v>0.2</v>
      </c>
      <c r="S59" s="108">
        <f t="shared" si="10"/>
        <v>194254.32017342019</v>
      </c>
      <c r="T59" s="108">
        <f t="shared" si="11"/>
        <v>263913.67192987585</v>
      </c>
      <c r="U59" s="108">
        <f t="shared" si="12"/>
        <v>4441.3663961395505</v>
      </c>
      <c r="V59" s="108">
        <f t="shared" si="13"/>
        <v>7677.7089324450462</v>
      </c>
      <c r="W59" s="108">
        <f t="shared" si="14"/>
        <v>276032.74725846044</v>
      </c>
      <c r="X59" s="108">
        <f t="shared" si="15"/>
        <v>-115824.26515885106</v>
      </c>
      <c r="Y59" s="108">
        <f t="shared" si="16"/>
        <v>-31272.551592889788</v>
      </c>
      <c r="Z59" s="108">
        <f t="shared" si="17"/>
        <v>-84551.713565961283</v>
      </c>
      <c r="AA59" s="108">
        <f t="shared" si="18"/>
        <v>3303.9462050147149</v>
      </c>
      <c r="AB59" s="108">
        <f t="shared" si="19"/>
        <v>-87855.659770975995</v>
      </c>
      <c r="AC59" s="109">
        <f t="shared" si="20"/>
        <v>0.58910088723541387</v>
      </c>
      <c r="AD59" s="108">
        <f t="shared" si="21"/>
        <v>-49809.489478982374</v>
      </c>
      <c r="AE59" s="108">
        <f t="shared" si="22"/>
        <v>162611.13631598779</v>
      </c>
      <c r="AF59" s="48">
        <f t="shared" si="23"/>
        <v>-0.30631044470528762</v>
      </c>
      <c r="AG59" s="110"/>
    </row>
    <row r="60" spans="5:33" x14ac:dyDescent="0.4">
      <c r="E60" s="107">
        <v>56</v>
      </c>
      <c r="F60" s="107">
        <v>5</v>
      </c>
      <c r="G60" s="141">
        <f t="shared" si="24"/>
        <v>70205127.11240752</v>
      </c>
      <c r="H60" s="141">
        <f t="shared" si="0"/>
        <v>1537668.1158701384</v>
      </c>
      <c r="I60" s="141">
        <f t="shared" si="1"/>
        <v>804433.74816300289</v>
      </c>
      <c r="J60" s="141">
        <f t="shared" si="2"/>
        <v>733234.36770713551</v>
      </c>
      <c r="K60" s="108">
        <f t="shared" si="3"/>
        <v>69471892.744700387</v>
      </c>
      <c r="L60" s="108">
        <f t="shared" si="4"/>
        <v>73478590.602815151</v>
      </c>
      <c r="M60" s="108">
        <f t="shared" si="5"/>
        <v>117008.54518734598</v>
      </c>
      <c r="N60" s="108">
        <f t="shared" si="6"/>
        <v>12500</v>
      </c>
      <c r="O60" s="108">
        <f t="shared" si="7"/>
        <v>129508.54518734598</v>
      </c>
      <c r="P60" s="108">
        <f t="shared" si="8"/>
        <v>51803.418074938396</v>
      </c>
      <c r="Q60" s="100">
        <f t="shared" si="9"/>
        <v>1.3083333333333334E-2</v>
      </c>
      <c r="R60" s="100">
        <f>20%</f>
        <v>0.2</v>
      </c>
      <c r="S60" s="108">
        <f t="shared" si="10"/>
        <v>192268.978744033</v>
      </c>
      <c r="T60" s="108">
        <f t="shared" si="11"/>
        <v>261216.38959300786</v>
      </c>
      <c r="U60" s="108">
        <f t="shared" si="12"/>
        <v>4400.3149086238773</v>
      </c>
      <c r="V60" s="108">
        <f t="shared" si="13"/>
        <v>7606.743976105663</v>
      </c>
      <c r="W60" s="108">
        <f t="shared" si="14"/>
        <v>273223.44847773737</v>
      </c>
      <c r="X60" s="108">
        <f t="shared" si="15"/>
        <v>-114563.85163162541</v>
      </c>
      <c r="Y60" s="108">
        <f t="shared" si="16"/>
        <v>-30932.239940538864</v>
      </c>
      <c r="Z60" s="108">
        <f t="shared" si="17"/>
        <v>-83631.611691086553</v>
      </c>
      <c r="AA60" s="108">
        <f t="shared" si="18"/>
        <v>3270.3205858173246</v>
      </c>
      <c r="AB60" s="108">
        <f t="shared" si="19"/>
        <v>-86901.932276903884</v>
      </c>
      <c r="AC60" s="109">
        <f t="shared" si="20"/>
        <v>0.58346029507102426</v>
      </c>
      <c r="AD60" s="108">
        <f t="shared" si="21"/>
        <v>-48795.72483454668</v>
      </c>
      <c r="AE60" s="108">
        <f t="shared" si="22"/>
        <v>159415.03386914343</v>
      </c>
      <c r="AF60" s="48">
        <f t="shared" si="23"/>
        <v>-0.30609236563347519</v>
      </c>
      <c r="AG60" s="110"/>
    </row>
    <row r="61" spans="5:33" x14ac:dyDescent="0.4">
      <c r="E61" s="107">
        <v>57</v>
      </c>
      <c r="F61" s="107">
        <v>5</v>
      </c>
      <c r="G61" s="141">
        <f t="shared" si="24"/>
        <v>69471892.744700387</v>
      </c>
      <c r="H61" s="141">
        <f t="shared" si="0"/>
        <v>1537668.1158701384</v>
      </c>
      <c r="I61" s="141">
        <f t="shared" si="1"/>
        <v>796032.10436635872</v>
      </c>
      <c r="J61" s="141">
        <f t="shared" si="2"/>
        <v>741636.01150377968</v>
      </c>
      <c r="K61" s="108">
        <f t="shared" si="3"/>
        <v>68730256.733196601</v>
      </c>
      <c r="L61" s="108">
        <f t="shared" si="4"/>
        <v>72711167.62194936</v>
      </c>
      <c r="M61" s="108">
        <f t="shared" si="5"/>
        <v>115786.48790783407</v>
      </c>
      <c r="N61" s="108">
        <f t="shared" si="6"/>
        <v>12500</v>
      </c>
      <c r="O61" s="108">
        <f t="shared" si="7"/>
        <v>128286.48790783407</v>
      </c>
      <c r="P61" s="108">
        <f t="shared" si="8"/>
        <v>51314.595163133636</v>
      </c>
      <c r="Q61" s="100">
        <f t="shared" si="9"/>
        <v>1.3083333333333334E-2</v>
      </c>
      <c r="R61" s="100">
        <f>20%</f>
        <v>0.2</v>
      </c>
      <c r="S61" s="108">
        <f t="shared" si="10"/>
        <v>190260.88861076752</v>
      </c>
      <c r="T61" s="108">
        <f t="shared" si="11"/>
        <v>258488.20089602997</v>
      </c>
      <c r="U61" s="108">
        <f t="shared" si="12"/>
        <v>4358.7930394804189</v>
      </c>
      <c r="V61" s="108">
        <f t="shared" si="13"/>
        <v>7534.9658796415579</v>
      </c>
      <c r="W61" s="108">
        <f t="shared" si="14"/>
        <v>270381.95981515193</v>
      </c>
      <c r="X61" s="108">
        <f t="shared" si="15"/>
        <v>-113288.99586606708</v>
      </c>
      <c r="Y61" s="108">
        <f t="shared" si="16"/>
        <v>-30588.028883838113</v>
      </c>
      <c r="Z61" s="108">
        <f t="shared" si="17"/>
        <v>-82700.966982228972</v>
      </c>
      <c r="AA61" s="108">
        <f t="shared" si="18"/>
        <v>3236.3096730666321</v>
      </c>
      <c r="AB61" s="108">
        <f t="shared" si="19"/>
        <v>-85937.276655295602</v>
      </c>
      <c r="AC61" s="109">
        <f t="shared" si="20"/>
        <v>0.57787371110905694</v>
      </c>
      <c r="AD61" s="108">
        <f t="shared" si="21"/>
        <v>-47790.714702328245</v>
      </c>
      <c r="AE61" s="108">
        <f t="shared" si="22"/>
        <v>156246.62653532176</v>
      </c>
      <c r="AF61" s="48">
        <f t="shared" si="23"/>
        <v>-0.30586717782047268</v>
      </c>
      <c r="AG61" s="110"/>
    </row>
    <row r="62" spans="5:33" x14ac:dyDescent="0.4">
      <c r="E62" s="107">
        <v>58</v>
      </c>
      <c r="F62" s="107">
        <v>5</v>
      </c>
      <c r="G62" s="141">
        <f t="shared" si="24"/>
        <v>68730256.733196601</v>
      </c>
      <c r="H62" s="141">
        <f t="shared" si="0"/>
        <v>1537668.1158701384</v>
      </c>
      <c r="I62" s="141">
        <f t="shared" si="1"/>
        <v>787534.19173454447</v>
      </c>
      <c r="J62" s="141">
        <f t="shared" si="2"/>
        <v>750133.92413559393</v>
      </c>
      <c r="K62" s="108">
        <f t="shared" si="3"/>
        <v>67980122.809061006</v>
      </c>
      <c r="L62" s="108">
        <f t="shared" si="4"/>
        <v>71934951.252761126</v>
      </c>
      <c r="M62" s="108">
        <f t="shared" si="5"/>
        <v>114550.4278886611</v>
      </c>
      <c r="N62" s="108">
        <f t="shared" si="6"/>
        <v>12500</v>
      </c>
      <c r="O62" s="108">
        <f t="shared" si="7"/>
        <v>127050.4278886611</v>
      </c>
      <c r="P62" s="108">
        <f t="shared" si="8"/>
        <v>50820.171155464443</v>
      </c>
      <c r="Q62" s="100">
        <f t="shared" si="9"/>
        <v>1.3083333333333334E-2</v>
      </c>
      <c r="R62" s="100">
        <f>20%</f>
        <v>0.2</v>
      </c>
      <c r="S62" s="108">
        <f t="shared" si="10"/>
        <v>188229.78911139164</v>
      </c>
      <c r="T62" s="108">
        <f t="shared" si="11"/>
        <v>255728.75170356579</v>
      </c>
      <c r="U62" s="108">
        <f t="shared" si="12"/>
        <v>4316.7953989196931</v>
      </c>
      <c r="V62" s="108">
        <f t="shared" si="13"/>
        <v>7462.3653258221348</v>
      </c>
      <c r="W62" s="108">
        <f t="shared" si="14"/>
        <v>267507.91242830764</v>
      </c>
      <c r="X62" s="108">
        <f t="shared" si="15"/>
        <v>-111999.53237819498</v>
      </c>
      <c r="Y62" s="108">
        <f t="shared" si="16"/>
        <v>-30239.873742112646</v>
      </c>
      <c r="Z62" s="108">
        <f t="shared" si="17"/>
        <v>-81759.658636082342</v>
      </c>
      <c r="AA62" s="108">
        <f t="shared" si="18"/>
        <v>3201.9090519406705</v>
      </c>
      <c r="AB62" s="108">
        <f t="shared" si="19"/>
        <v>-84961.567688023017</v>
      </c>
      <c r="AC62" s="109">
        <f t="shared" si="20"/>
        <v>0.57234061822545068</v>
      </c>
      <c r="AD62" s="108">
        <f t="shared" si="21"/>
        <v>-46794.373569677176</v>
      </c>
      <c r="AE62" s="108">
        <f t="shared" si="22"/>
        <v>153105.64397941731</v>
      </c>
      <c r="AF62" s="48">
        <f t="shared" si="23"/>
        <v>-0.30563454326979583</v>
      </c>
      <c r="AG62" s="110"/>
    </row>
    <row r="63" spans="5:33" x14ac:dyDescent="0.4">
      <c r="E63" s="107">
        <v>59</v>
      </c>
      <c r="F63" s="107">
        <v>5</v>
      </c>
      <c r="G63" s="141">
        <f t="shared" si="24"/>
        <v>67980122.809061006</v>
      </c>
      <c r="H63" s="141">
        <f t="shared" si="0"/>
        <v>1537668.1158701384</v>
      </c>
      <c r="I63" s="141">
        <f t="shared" si="1"/>
        <v>778938.90718715743</v>
      </c>
      <c r="J63" s="141">
        <f t="shared" si="2"/>
        <v>758729.20868298097</v>
      </c>
      <c r="K63" s="108">
        <f t="shared" si="3"/>
        <v>67221393.600378022</v>
      </c>
      <c r="L63" s="108">
        <f t="shared" si="4"/>
        <v>71149840.73767595</v>
      </c>
      <c r="M63" s="108">
        <f t="shared" si="5"/>
        <v>113300.20468176845</v>
      </c>
      <c r="N63" s="108">
        <f t="shared" si="6"/>
        <v>12500</v>
      </c>
      <c r="O63" s="108">
        <f t="shared" si="7"/>
        <v>125800.20468176845</v>
      </c>
      <c r="P63" s="108">
        <f t="shared" si="8"/>
        <v>50320.081872707378</v>
      </c>
      <c r="Q63" s="100">
        <f t="shared" si="9"/>
        <v>1.3083333333333334E-2</v>
      </c>
      <c r="R63" s="100">
        <f>20%</f>
        <v>0.2</v>
      </c>
      <c r="S63" s="108">
        <f t="shared" si="10"/>
        <v>186175.41659691875</v>
      </c>
      <c r="T63" s="108">
        <f t="shared" si="11"/>
        <v>252937.683822438</v>
      </c>
      <c r="U63" s="108">
        <f t="shared" si="12"/>
        <v>4274.3165353942086</v>
      </c>
      <c r="V63" s="108">
        <f t="shared" si="13"/>
        <v>7388.9328906568653</v>
      </c>
      <c r="W63" s="108">
        <f t="shared" si="14"/>
        <v>264600.93324848905</v>
      </c>
      <c r="X63" s="108">
        <f t="shared" si="15"/>
        <v>-110695.29378785768</v>
      </c>
      <c r="Y63" s="108">
        <f t="shared" si="16"/>
        <v>-29887.729322721574</v>
      </c>
      <c r="Z63" s="108">
        <f t="shared" si="17"/>
        <v>-80807.564465136107</v>
      </c>
      <c r="AA63" s="108">
        <f t="shared" si="18"/>
        <v>3167.114257030973</v>
      </c>
      <c r="AB63" s="108">
        <f t="shared" si="19"/>
        <v>-83974.678722167082</v>
      </c>
      <c r="AC63" s="109">
        <f t="shared" si="20"/>
        <v>0.56686050424756362</v>
      </c>
      <c r="AD63" s="108">
        <f t="shared" si="21"/>
        <v>-45806.616739724559</v>
      </c>
      <c r="AE63" s="108">
        <f t="shared" si="22"/>
        <v>149991.81844561442</v>
      </c>
      <c r="AF63" s="48">
        <f t="shared" si="23"/>
        <v>-0.30539410225454122</v>
      </c>
      <c r="AG63" s="110"/>
    </row>
    <row r="64" spans="5:33" x14ac:dyDescent="0.4">
      <c r="E64" s="107">
        <v>60</v>
      </c>
      <c r="F64" s="107">
        <v>5</v>
      </c>
      <c r="G64" s="141">
        <f t="shared" si="24"/>
        <v>67221393.600378022</v>
      </c>
      <c r="H64" s="141">
        <f t="shared" si="0"/>
        <v>1537668.1158701384</v>
      </c>
      <c r="I64" s="141">
        <f t="shared" si="1"/>
        <v>770245.13500433159</v>
      </c>
      <c r="J64" s="141">
        <f t="shared" si="2"/>
        <v>767422.98086580681</v>
      </c>
      <c r="K64" s="108">
        <f t="shared" si="3"/>
        <v>66453970.619512215</v>
      </c>
      <c r="L64" s="108">
        <f t="shared" si="4"/>
        <v>70355734.164605409</v>
      </c>
      <c r="M64" s="108">
        <f t="shared" si="5"/>
        <v>112035.65600063013</v>
      </c>
      <c r="N64" s="108">
        <f t="shared" si="6"/>
        <v>12500</v>
      </c>
      <c r="O64" s="108">
        <f t="shared" si="7"/>
        <v>124535.65600063013</v>
      </c>
      <c r="P64" s="108">
        <f t="shared" si="8"/>
        <v>49814.262400252053</v>
      </c>
      <c r="Q64" s="100">
        <f t="shared" si="9"/>
        <v>1.3083333333333334E-2</v>
      </c>
      <c r="R64" s="100">
        <f>20%</f>
        <v>0.2</v>
      </c>
      <c r="S64" s="108">
        <f t="shared" si="10"/>
        <v>184097.50439738418</v>
      </c>
      <c r="T64" s="108">
        <f t="shared" si="11"/>
        <v>250114.63495517222</v>
      </c>
      <c r="U64" s="108">
        <f t="shared" si="12"/>
        <v>4231.3509348908274</v>
      </c>
      <c r="V64" s="108">
        <f t="shared" si="13"/>
        <v>7314.659042171992</v>
      </c>
      <c r="W64" s="108">
        <f t="shared" si="14"/>
        <v>261660.64493223504</v>
      </c>
      <c r="X64" s="108">
        <f t="shared" si="15"/>
        <v>-109376.11079700611</v>
      </c>
      <c r="Y64" s="108">
        <f t="shared" si="16"/>
        <v>-29531.549915191652</v>
      </c>
      <c r="Z64" s="108">
        <f t="shared" si="17"/>
        <v>-79844.560881814454</v>
      </c>
      <c r="AA64" s="108">
        <f t="shared" si="18"/>
        <v>3131.9207717629356</v>
      </c>
      <c r="AB64" s="108">
        <f t="shared" si="19"/>
        <v>-82976.481653577386</v>
      </c>
      <c r="AC64" s="109">
        <f t="shared" si="20"/>
        <v>0.56143286190676533</v>
      </c>
      <c r="AD64" s="108">
        <f t="shared" si="21"/>
        <v>-44827.360323566048</v>
      </c>
      <c r="AE64" s="108">
        <f t="shared" si="22"/>
        <v>146904.88473267466</v>
      </c>
      <c r="AF64" s="48">
        <f t="shared" si="23"/>
        <v>-0.30514547154193794</v>
      </c>
      <c r="AG64" s="110"/>
    </row>
    <row r="65" spans="5:33" x14ac:dyDescent="0.4">
      <c r="E65" s="107">
        <v>61</v>
      </c>
      <c r="F65" s="107">
        <v>6</v>
      </c>
      <c r="G65" s="141">
        <f t="shared" si="24"/>
        <v>66453970.619512215</v>
      </c>
      <c r="H65" s="141">
        <f t="shared" si="0"/>
        <v>1537668.1158701384</v>
      </c>
      <c r="I65" s="141">
        <f t="shared" si="1"/>
        <v>761451.74668191082</v>
      </c>
      <c r="J65" s="141">
        <f t="shared" si="2"/>
        <v>776216.36918822757</v>
      </c>
      <c r="K65" s="108">
        <f t="shared" si="3"/>
        <v>65677754.250323988</v>
      </c>
      <c r="L65" s="108">
        <f t="shared" si="4"/>
        <v>69552528.453718454</v>
      </c>
      <c r="M65" s="108">
        <f t="shared" si="5"/>
        <v>110756.61769918713</v>
      </c>
      <c r="N65" s="108">
        <f t="shared" si="6"/>
        <v>12500</v>
      </c>
      <c r="O65" s="108">
        <f t="shared" si="7"/>
        <v>123256.61769918713</v>
      </c>
      <c r="P65" s="108">
        <f t="shared" si="8"/>
        <v>49302.647079674854</v>
      </c>
      <c r="Q65" s="100">
        <f t="shared" si="9"/>
        <v>1.3083333333333334E-2</v>
      </c>
      <c r="R65" s="100">
        <f>20%</f>
        <v>0.2</v>
      </c>
      <c r="S65" s="108">
        <f t="shared" si="10"/>
        <v>181995.78278722998</v>
      </c>
      <c r="T65" s="108">
        <f t="shared" si="11"/>
        <v>247259.23865296907</v>
      </c>
      <c r="U65" s="108">
        <f t="shared" si="12"/>
        <v>4187.8930202150123</v>
      </c>
      <c r="V65" s="108">
        <f t="shared" si="13"/>
        <v>7239.5341391732318</v>
      </c>
      <c r="W65" s="108">
        <f t="shared" si="14"/>
        <v>258686.6658123573</v>
      </c>
      <c r="X65" s="108">
        <f t="shared" si="15"/>
        <v>-108041.8121677177</v>
      </c>
      <c r="Y65" s="108">
        <f t="shared" si="16"/>
        <v>-29171.289285283779</v>
      </c>
      <c r="Z65" s="108">
        <f t="shared" si="17"/>
        <v>-78870.522882433914</v>
      </c>
      <c r="AA65" s="108">
        <f t="shared" si="18"/>
        <v>3096.3240278095354</v>
      </c>
      <c r="AB65" s="108">
        <f t="shared" si="19"/>
        <v>-81966.846910243446</v>
      </c>
      <c r="AC65" s="109">
        <f t="shared" si="20"/>
        <v>0.55605718879148003</v>
      </c>
      <c r="AD65" s="108">
        <f t="shared" si="21"/>
        <v>-43856.521232520303</v>
      </c>
      <c r="AE65" s="108">
        <f t="shared" si="22"/>
        <v>143844.58016946047</v>
      </c>
      <c r="AF65" s="48">
        <f t="shared" si="23"/>
        <v>-0.30488824244093032</v>
      </c>
      <c r="AG65" s="110"/>
    </row>
    <row r="66" spans="5:33" x14ac:dyDescent="0.4">
      <c r="E66" s="107">
        <v>62</v>
      </c>
      <c r="F66" s="107">
        <v>6</v>
      </c>
      <c r="G66" s="141">
        <f t="shared" si="24"/>
        <v>65677754.250323988</v>
      </c>
      <c r="H66" s="141">
        <f t="shared" si="0"/>
        <v>1537668.1158701384</v>
      </c>
      <c r="I66" s="141">
        <f t="shared" si="1"/>
        <v>752557.60078496241</v>
      </c>
      <c r="J66" s="141">
        <f t="shared" si="2"/>
        <v>785110.51508517598</v>
      </c>
      <c r="K66" s="108">
        <f t="shared" si="3"/>
        <v>64892643.735238813</v>
      </c>
      <c r="L66" s="108">
        <f t="shared" si="4"/>
        <v>68740119.344060913</v>
      </c>
      <c r="M66" s="108">
        <f t="shared" si="5"/>
        <v>109462.92375054008</v>
      </c>
      <c r="N66" s="108">
        <f t="shared" si="6"/>
        <v>12500</v>
      </c>
      <c r="O66" s="108">
        <f t="shared" si="7"/>
        <v>121962.92375054008</v>
      </c>
      <c r="P66" s="108">
        <f t="shared" si="8"/>
        <v>48785.169500216034</v>
      </c>
      <c r="Q66" s="100">
        <f t="shared" si="9"/>
        <v>1.3083333333333334E-2</v>
      </c>
      <c r="R66" s="100">
        <f>20%</f>
        <v>0.2</v>
      </c>
      <c r="S66" s="108">
        <f t="shared" si="10"/>
        <v>179869.97895029275</v>
      </c>
      <c r="T66" s="108">
        <f t="shared" si="11"/>
        <v>244371.12426813651</v>
      </c>
      <c r="U66" s="108">
        <f t="shared" si="12"/>
        <v>4143.93715026687</v>
      </c>
      <c r="V66" s="108">
        <f t="shared" si="13"/>
        <v>7163.5484299942764</v>
      </c>
      <c r="W66" s="108">
        <f t="shared" si="14"/>
        <v>255678.60984839767</v>
      </c>
      <c r="X66" s="108">
        <f t="shared" si="15"/>
        <v>-106692.2246999687</v>
      </c>
      <c r="Y66" s="108">
        <f t="shared" si="16"/>
        <v>-28806.900668991551</v>
      </c>
      <c r="Z66" s="108">
        <f t="shared" si="17"/>
        <v>-77885.32403097715</v>
      </c>
      <c r="AA66" s="108">
        <f t="shared" si="18"/>
        <v>3060.3194044983361</v>
      </c>
      <c r="AB66" s="108">
        <f t="shared" si="19"/>
        <v>-80945.643435475489</v>
      </c>
      <c r="AC66" s="109">
        <f t="shared" si="20"/>
        <v>0.55073298730068121</v>
      </c>
      <c r="AD66" s="108">
        <f t="shared" si="21"/>
        <v>-42894.017170461579</v>
      </c>
      <c r="AE66" s="108">
        <f t="shared" si="22"/>
        <v>140810.64459069341</v>
      </c>
      <c r="AF66" s="48">
        <f t="shared" si="23"/>
        <v>-0.30462197865186513</v>
      </c>
      <c r="AG66" s="110"/>
    </row>
    <row r="67" spans="5:33" x14ac:dyDescent="0.4">
      <c r="E67" s="107">
        <v>63</v>
      </c>
      <c r="F67" s="107">
        <v>6</v>
      </c>
      <c r="G67" s="141">
        <f t="shared" si="24"/>
        <v>64892643.735238813</v>
      </c>
      <c r="H67" s="141">
        <f t="shared" si="0"/>
        <v>1537668.1158701384</v>
      </c>
      <c r="I67" s="141">
        <f t="shared" si="1"/>
        <v>743561.54279961146</v>
      </c>
      <c r="J67" s="141">
        <f t="shared" si="2"/>
        <v>794106.57307052694</v>
      </c>
      <c r="K67" s="108">
        <f t="shared" si="3"/>
        <v>64098537.162168287</v>
      </c>
      <c r="L67" s="108">
        <f t="shared" si="4"/>
        <v>67918401.380021885</v>
      </c>
      <c r="M67" s="108">
        <f t="shared" si="5"/>
        <v>108154.40622539812</v>
      </c>
      <c r="N67" s="108">
        <f t="shared" si="6"/>
        <v>12500</v>
      </c>
      <c r="O67" s="108">
        <f t="shared" si="7"/>
        <v>120654.40622539812</v>
      </c>
      <c r="P67" s="108">
        <f t="shared" si="8"/>
        <v>48261.76249015925</v>
      </c>
      <c r="Q67" s="100">
        <f t="shared" si="9"/>
        <v>1.3083333333333334E-2</v>
      </c>
      <c r="R67" s="100">
        <f>20%</f>
        <v>0.2</v>
      </c>
      <c r="S67" s="108">
        <f t="shared" si="10"/>
        <v>177719.81694439062</v>
      </c>
      <c r="T67" s="108">
        <f t="shared" si="11"/>
        <v>241449.91690597779</v>
      </c>
      <c r="U67" s="108">
        <f t="shared" si="12"/>
        <v>4099.4776193089056</v>
      </c>
      <c r="V67" s="108">
        <f t="shared" si="13"/>
        <v>7086.6920512309789</v>
      </c>
      <c r="W67" s="108">
        <f t="shared" si="14"/>
        <v>252636.08657651767</v>
      </c>
      <c r="X67" s="108">
        <f t="shared" si="15"/>
        <v>-105327.17320915175</v>
      </c>
      <c r="Y67" s="108">
        <f t="shared" si="16"/>
        <v>-28438.336766470973</v>
      </c>
      <c r="Z67" s="108">
        <f t="shared" si="17"/>
        <v>-76888.836442680768</v>
      </c>
      <c r="AA67" s="108">
        <f t="shared" si="18"/>
        <v>3023.9022282116962</v>
      </c>
      <c r="AB67" s="108">
        <f t="shared" si="19"/>
        <v>-79912.738670892461</v>
      </c>
      <c r="AC67" s="109">
        <f t="shared" si="20"/>
        <v>0.54545976459783097</v>
      </c>
      <c r="AD67" s="108">
        <f t="shared" si="21"/>
        <v>-41939.766626225777</v>
      </c>
      <c r="AE67" s="108">
        <f t="shared" si="22"/>
        <v>137802.82031294456</v>
      </c>
      <c r="AF67" s="48">
        <f t="shared" si="23"/>
        <v>-0.30434621389447825</v>
      </c>
      <c r="AG67" s="110"/>
    </row>
    <row r="68" spans="5:33" x14ac:dyDescent="0.4">
      <c r="E68" s="107">
        <v>64</v>
      </c>
      <c r="F68" s="107">
        <v>6</v>
      </c>
      <c r="G68" s="141">
        <f t="shared" si="24"/>
        <v>64098537.162168287</v>
      </c>
      <c r="H68" s="141">
        <f t="shared" si="0"/>
        <v>1537668.1158701384</v>
      </c>
      <c r="I68" s="141">
        <f t="shared" si="1"/>
        <v>734462.40498317836</v>
      </c>
      <c r="J68" s="141">
        <f t="shared" si="2"/>
        <v>803205.71088696003</v>
      </c>
      <c r="K68" s="108">
        <f t="shared" si="3"/>
        <v>63295331.451281324</v>
      </c>
      <c r="L68" s="108">
        <f t="shared" si="4"/>
        <v>67087267.897644907</v>
      </c>
      <c r="M68" s="108">
        <f t="shared" si="5"/>
        <v>106830.89527028058</v>
      </c>
      <c r="N68" s="108">
        <f t="shared" si="6"/>
        <v>12500</v>
      </c>
      <c r="O68" s="108">
        <f t="shared" si="7"/>
        <v>119330.89527028058</v>
      </c>
      <c r="P68" s="108">
        <f t="shared" si="8"/>
        <v>47732.358108112239</v>
      </c>
      <c r="Q68" s="100">
        <f t="shared" si="9"/>
        <v>1.3083333333333334E-2</v>
      </c>
      <c r="R68" s="100">
        <f>20%</f>
        <v>0.2</v>
      </c>
      <c r="S68" s="108">
        <f t="shared" si="10"/>
        <v>175545.01766550419</v>
      </c>
      <c r="T68" s="108">
        <f t="shared" si="11"/>
        <v>238495.23737612762</v>
      </c>
      <c r="U68" s="108">
        <f t="shared" si="12"/>
        <v>4054.5086562253805</v>
      </c>
      <c r="V68" s="108">
        <f t="shared" si="13"/>
        <v>7008.9550264610189</v>
      </c>
      <c r="W68" s="108">
        <f t="shared" si="14"/>
        <v>249558.70105881401</v>
      </c>
      <c r="X68" s="108">
        <f t="shared" si="15"/>
        <v>-103946.48050333584</v>
      </c>
      <c r="Y68" s="108">
        <f t="shared" si="16"/>
        <v>-28065.54973590068</v>
      </c>
      <c r="Z68" s="108">
        <f t="shared" si="17"/>
        <v>-75880.930767435158</v>
      </c>
      <c r="AA68" s="108">
        <f t="shared" si="18"/>
        <v>2987.067771780105</v>
      </c>
      <c r="AB68" s="108">
        <f t="shared" si="19"/>
        <v>-78867.998539215259</v>
      </c>
      <c r="AC68" s="109">
        <f t="shared" si="20"/>
        <v>0.5402370325652599</v>
      </c>
      <c r="AD68" s="108">
        <f t="shared" si="21"/>
        <v>-40993.688866089098</v>
      </c>
      <c r="AE68" s="108">
        <f t="shared" si="22"/>
        <v>134820.85211085447</v>
      </c>
      <c r="AF68" s="48">
        <f t="shared" si="23"/>
        <v>-0.30406044928704828</v>
      </c>
      <c r="AG68" s="110"/>
    </row>
    <row r="69" spans="5:33" x14ac:dyDescent="0.4">
      <c r="E69" s="107">
        <v>65</v>
      </c>
      <c r="F69" s="107">
        <v>6</v>
      </c>
      <c r="G69" s="141">
        <f t="shared" si="24"/>
        <v>63295331.451281324</v>
      </c>
      <c r="H69" s="141">
        <f t="shared" si="0"/>
        <v>1537668.1158701384</v>
      </c>
      <c r="I69" s="141">
        <f t="shared" si="1"/>
        <v>725259.00621259853</v>
      </c>
      <c r="J69" s="141">
        <f t="shared" si="2"/>
        <v>812409.10965753987</v>
      </c>
      <c r="K69" s="108">
        <f t="shared" si="3"/>
        <v>62482922.341623783</v>
      </c>
      <c r="L69" s="108">
        <f t="shared" si="4"/>
        <v>66246611.010782354</v>
      </c>
      <c r="M69" s="108">
        <f t="shared" si="5"/>
        <v>105492.21908546897</v>
      </c>
      <c r="N69" s="108">
        <f t="shared" si="6"/>
        <v>12500</v>
      </c>
      <c r="O69" s="108">
        <f t="shared" si="7"/>
        <v>117992.21908546897</v>
      </c>
      <c r="P69" s="108">
        <f t="shared" si="8"/>
        <v>47196.887634187588</v>
      </c>
      <c r="Q69" s="100">
        <f t="shared" si="9"/>
        <v>1.3083333333333334E-2</v>
      </c>
      <c r="R69" s="100">
        <f>20%</f>
        <v>0.2</v>
      </c>
      <c r="S69" s="108">
        <f t="shared" si="10"/>
        <v>173345.29881154717</v>
      </c>
      <c r="T69" s="108">
        <f t="shared" si="11"/>
        <v>235506.70214333123</v>
      </c>
      <c r="U69" s="108">
        <f t="shared" si="12"/>
        <v>4009.0244237731899</v>
      </c>
      <c r="V69" s="108">
        <f t="shared" si="13"/>
        <v>6930.3272649489018</v>
      </c>
      <c r="W69" s="108">
        <f t="shared" si="14"/>
        <v>246446.05383205332</v>
      </c>
      <c r="X69" s="108">
        <f t="shared" si="15"/>
        <v>-102549.96736026579</v>
      </c>
      <c r="Y69" s="108">
        <f t="shared" si="16"/>
        <v>-27688.491187271764</v>
      </c>
      <c r="Z69" s="108">
        <f t="shared" si="17"/>
        <v>-74861.476172994022</v>
      </c>
      <c r="AA69" s="108">
        <f t="shared" si="18"/>
        <v>2949.8112538685682</v>
      </c>
      <c r="AB69" s="108">
        <f t="shared" si="19"/>
        <v>-77811.287426862589</v>
      </c>
      <c r="AC69" s="109">
        <f t="shared" si="20"/>
        <v>0.53506430775898584</v>
      </c>
      <c r="AD69" s="108">
        <f t="shared" si="21"/>
        <v>-40055.703926318856</v>
      </c>
      <c r="AE69" s="108">
        <f t="shared" si="22"/>
        <v>131864.48719358136</v>
      </c>
      <c r="AF69" s="48">
        <f t="shared" si="23"/>
        <v>-0.30376415044572069</v>
      </c>
      <c r="AG69" s="110"/>
    </row>
    <row r="70" spans="5:33" x14ac:dyDescent="0.4">
      <c r="E70" s="107">
        <v>66</v>
      </c>
      <c r="F70" s="107">
        <v>6</v>
      </c>
      <c r="G70" s="141">
        <f t="shared" si="24"/>
        <v>62482922.341623783</v>
      </c>
      <c r="H70" s="141">
        <f t="shared" ref="H70:H124" si="25">PMT($C$11/12,$C$8,-$C$7)</f>
        <v>1537668.1158701384</v>
      </c>
      <c r="I70" s="141">
        <f t="shared" ref="I70:I124" si="26">($C$11/12)*G70</f>
        <v>715950.15183110593</v>
      </c>
      <c r="J70" s="141">
        <f t="shared" ref="J70:J124" si="27">H70-I70</f>
        <v>821717.96403903246</v>
      </c>
      <c r="K70" s="108">
        <f t="shared" ref="K70:K124" si="28">G70-J70</f>
        <v>61661204.377584748</v>
      </c>
      <c r="L70" s="108">
        <f t="shared" ref="L70:L124" si="29">G70*(1+$C$11/12)^4</f>
        <v>65396321.597091168</v>
      </c>
      <c r="M70" s="108">
        <f t="shared" ref="M70:M124" si="30">G70*($C$11-$C$10)/12</f>
        <v>104138.2039027064</v>
      </c>
      <c r="N70" s="108">
        <f t="shared" ref="N70:N124" si="31">$C$14</f>
        <v>12500</v>
      </c>
      <c r="O70" s="108">
        <f t="shared" ref="O70:O124" si="32">SUM(M70:N70)</f>
        <v>116638.2039027064</v>
      </c>
      <c r="P70" s="108">
        <f t="shared" ref="P70:P124" si="33">0.4*O70</f>
        <v>46655.281561082564</v>
      </c>
      <c r="Q70" s="100">
        <f t="shared" ref="Q70:Q124" si="34">15.7%/12</f>
        <v>1.3083333333333334E-2</v>
      </c>
      <c r="R70" s="100">
        <f>20%</f>
        <v>0.2</v>
      </c>
      <c r="S70" s="108">
        <f t="shared" ref="S70:S124" si="35">Q70*R70*L70</f>
        <v>171120.3748457219</v>
      </c>
      <c r="T70" s="108">
        <f t="shared" ref="T70:T124" si="36">L70*($C$22/12)*$C$28</f>
        <v>232483.92327765908</v>
      </c>
      <c r="U70" s="108">
        <f t="shared" ref="U70:U124" si="37">O70*$C$23</f>
        <v>3963.0190178241519</v>
      </c>
      <c r="V70" s="108">
        <f t="shared" ref="V70:V124" si="38">O70*$C$24</f>
        <v>6850.7985603361267</v>
      </c>
      <c r="W70" s="108">
        <f t="shared" ref="W70:W124" si="39">SUM(T70:V70)</f>
        <v>243297.74085581934</v>
      </c>
      <c r="X70" s="108">
        <f t="shared" ref="X70:X124" si="40">O70-P70-S70</f>
        <v>-101137.45250409807</v>
      </c>
      <c r="Y70" s="108">
        <f t="shared" ref="Y70:Y124" si="41">0.27*X70</f>
        <v>-27307.112176106479</v>
      </c>
      <c r="Z70" s="108">
        <f t="shared" ref="Z70:Z124" si="42">X70-Y70</f>
        <v>-73830.34032799158</v>
      </c>
      <c r="AA70" s="108">
        <f t="shared" ref="AA70:AA124" si="43">W70*($C$36/12)</f>
        <v>2912.1278383559616</v>
      </c>
      <c r="AB70" s="108">
        <f t="shared" ref="AB70:AB124" si="44">Z70-AA70</f>
        <v>-76742.468166347535</v>
      </c>
      <c r="AC70" s="109">
        <f t="shared" ref="AC70:AC124" si="45">(1+($C$37/12))^-E70</f>
        <v>0.52994111136396194</v>
      </c>
      <c r="AD70" s="108">
        <f t="shared" ref="AD70:AD124" si="46">Z70*AC70</f>
        <v>-39125.732605795398</v>
      </c>
      <c r="AE70" s="108">
        <f t="shared" ref="AE70:AE124" si="47">W70*AC70</f>
        <v>128933.4751814741</v>
      </c>
      <c r="AF70" s="48">
        <f t="shared" ref="AF70:AF124" si="48">Z70/W70</f>
        <v>-0.3034567442685141</v>
      </c>
      <c r="AG70" s="110"/>
    </row>
    <row r="71" spans="5:33" x14ac:dyDescent="0.4">
      <c r="E71" s="107">
        <v>67</v>
      </c>
      <c r="F71" s="107">
        <v>6</v>
      </c>
      <c r="G71" s="141">
        <f t="shared" ref="G71:G124" si="49">K70</f>
        <v>61661204.377584748</v>
      </c>
      <c r="H71" s="141">
        <f t="shared" si="25"/>
        <v>1537668.1158701384</v>
      </c>
      <c r="I71" s="141">
        <f t="shared" si="26"/>
        <v>706534.63349315862</v>
      </c>
      <c r="J71" s="141">
        <f t="shared" si="27"/>
        <v>831133.48237697978</v>
      </c>
      <c r="K71" s="108">
        <f t="shared" si="28"/>
        <v>60830070.89520777</v>
      </c>
      <c r="L71" s="108">
        <f t="shared" si="29"/>
        <v>64536289.283868104</v>
      </c>
      <c r="M71" s="108">
        <f t="shared" si="30"/>
        <v>102768.67396264133</v>
      </c>
      <c r="N71" s="108">
        <f t="shared" si="31"/>
        <v>12500</v>
      </c>
      <c r="O71" s="108">
        <f t="shared" si="32"/>
        <v>115268.67396264133</v>
      </c>
      <c r="P71" s="108">
        <f t="shared" si="33"/>
        <v>46107.469585056533</v>
      </c>
      <c r="Q71" s="100">
        <f t="shared" si="34"/>
        <v>1.3083333333333334E-2</v>
      </c>
      <c r="R71" s="100">
        <f>20%</f>
        <v>0.2</v>
      </c>
      <c r="S71" s="108">
        <f t="shared" si="35"/>
        <v>168869.9569594549</v>
      </c>
      <c r="T71" s="108">
        <f t="shared" si="36"/>
        <v>229426.5084041511</v>
      </c>
      <c r="U71" s="108">
        <f t="shared" si="37"/>
        <v>3916.4864665986138</v>
      </c>
      <c r="V71" s="108">
        <f t="shared" si="38"/>
        <v>6770.3585893163281</v>
      </c>
      <c r="W71" s="108">
        <f t="shared" si="39"/>
        <v>240113.35346006605</v>
      </c>
      <c r="X71" s="108">
        <f t="shared" si="40"/>
        <v>-99708.752581870096</v>
      </c>
      <c r="Y71" s="108">
        <f t="shared" si="41"/>
        <v>-26921.363197104929</v>
      </c>
      <c r="Z71" s="108">
        <f t="shared" si="42"/>
        <v>-72787.389384765163</v>
      </c>
      <c r="AA71" s="108">
        <f t="shared" si="43"/>
        <v>2874.0126337072738</v>
      </c>
      <c r="AB71" s="108">
        <f t="shared" si="44"/>
        <v>-75661.402018472436</v>
      </c>
      <c r="AC71" s="109">
        <f t="shared" si="45"/>
        <v>0.52486696914975584</v>
      </c>
      <c r="AD71" s="108">
        <f t="shared" si="46"/>
        <v>-38203.696458704806</v>
      </c>
      <c r="AE71" s="108">
        <f t="shared" si="47"/>
        <v>126027.56808296891</v>
      </c>
      <c r="AF71" s="48">
        <f t="shared" si="48"/>
        <v>-0.30313761536328154</v>
      </c>
      <c r="AG71" s="110"/>
    </row>
    <row r="72" spans="5:33" x14ac:dyDescent="0.4">
      <c r="E72" s="107">
        <v>68</v>
      </c>
      <c r="F72" s="107">
        <v>6</v>
      </c>
      <c r="G72" s="141">
        <f t="shared" si="49"/>
        <v>60830070.89520777</v>
      </c>
      <c r="H72" s="141">
        <f t="shared" si="25"/>
        <v>1537668.1158701384</v>
      </c>
      <c r="I72" s="141">
        <f t="shared" si="26"/>
        <v>697011.22900758905</v>
      </c>
      <c r="J72" s="141">
        <f t="shared" si="27"/>
        <v>840656.88686254935</v>
      </c>
      <c r="K72" s="108">
        <f t="shared" si="28"/>
        <v>59989414.008345224</v>
      </c>
      <c r="L72" s="108">
        <f t="shared" si="29"/>
        <v>63666402.433722697</v>
      </c>
      <c r="M72" s="108">
        <f t="shared" si="30"/>
        <v>101383.45149201305</v>
      </c>
      <c r="N72" s="108">
        <f t="shared" si="31"/>
        <v>12500</v>
      </c>
      <c r="O72" s="108">
        <f t="shared" si="32"/>
        <v>113883.45149201305</v>
      </c>
      <c r="P72" s="108">
        <f t="shared" si="33"/>
        <v>45553.380596805218</v>
      </c>
      <c r="Q72" s="100">
        <f t="shared" si="34"/>
        <v>1.3083333333333334E-2</v>
      </c>
      <c r="R72" s="100">
        <f>20%</f>
        <v>0.2</v>
      </c>
      <c r="S72" s="108">
        <f t="shared" si="35"/>
        <v>166593.75303490774</v>
      </c>
      <c r="T72" s="108">
        <f t="shared" si="36"/>
        <v>226334.06065188415</v>
      </c>
      <c r="U72" s="108">
        <f t="shared" si="37"/>
        <v>3869.4207298902838</v>
      </c>
      <c r="V72" s="108">
        <f t="shared" si="38"/>
        <v>6688.9969102952637</v>
      </c>
      <c r="W72" s="108">
        <f t="shared" si="39"/>
        <v>236892.47829206972</v>
      </c>
      <c r="X72" s="108">
        <f t="shared" si="40"/>
        <v>-98263.682139699915</v>
      </c>
      <c r="Y72" s="108">
        <f t="shared" si="41"/>
        <v>-26531.194177718979</v>
      </c>
      <c r="Z72" s="108">
        <f t="shared" si="42"/>
        <v>-71732.487961980936</v>
      </c>
      <c r="AA72" s="108">
        <f t="shared" si="43"/>
        <v>2835.4606923386523</v>
      </c>
      <c r="AB72" s="108">
        <f t="shared" si="44"/>
        <v>-74567.948654319582</v>
      </c>
      <c r="AC72" s="109">
        <f t="shared" si="45"/>
        <v>0.51984141142665241</v>
      </c>
      <c r="AD72" s="108">
        <f t="shared" si="46"/>
        <v>-37289.51778730152</v>
      </c>
      <c r="AE72" s="108">
        <f t="shared" si="47"/>
        <v>123146.52027170714</v>
      </c>
      <c r="AF72" s="48">
        <f t="shared" si="48"/>
        <v>-0.30280610207277431</v>
      </c>
      <c r="AG72" s="110"/>
    </row>
    <row r="73" spans="5:33" x14ac:dyDescent="0.4">
      <c r="E73" s="107">
        <v>69</v>
      </c>
      <c r="F73" s="107">
        <v>6</v>
      </c>
      <c r="G73" s="141">
        <f t="shared" si="49"/>
        <v>59989414.008345224</v>
      </c>
      <c r="H73" s="141">
        <f t="shared" si="25"/>
        <v>1537668.1158701384</v>
      </c>
      <c r="I73" s="141">
        <f t="shared" si="26"/>
        <v>687378.70217895578</v>
      </c>
      <c r="J73" s="141">
        <f t="shared" si="27"/>
        <v>850289.41369118262</v>
      </c>
      <c r="K73" s="108">
        <f t="shared" si="28"/>
        <v>59139124.594654039</v>
      </c>
      <c r="L73" s="108">
        <f t="shared" si="29"/>
        <v>62786548.130086042</v>
      </c>
      <c r="M73" s="108">
        <f t="shared" si="30"/>
        <v>99982.356680575467</v>
      </c>
      <c r="N73" s="108">
        <f t="shared" si="31"/>
        <v>12500</v>
      </c>
      <c r="O73" s="108">
        <f t="shared" si="32"/>
        <v>112482.35668057547</v>
      </c>
      <c r="P73" s="108">
        <f t="shared" si="33"/>
        <v>44992.942672230187</v>
      </c>
      <c r="Q73" s="100">
        <f t="shared" si="34"/>
        <v>1.3083333333333334E-2</v>
      </c>
      <c r="R73" s="100">
        <f>20%</f>
        <v>0.2</v>
      </c>
      <c r="S73" s="108">
        <f t="shared" si="35"/>
        <v>164291.4676070585</v>
      </c>
      <c r="T73" s="108">
        <f t="shared" si="36"/>
        <v>223206.17860245585</v>
      </c>
      <c r="U73" s="108">
        <f t="shared" si="37"/>
        <v>3821.8156982821711</v>
      </c>
      <c r="V73" s="108">
        <f t="shared" si="38"/>
        <v>6606.7029620354151</v>
      </c>
      <c r="W73" s="108">
        <f t="shared" si="39"/>
        <v>233634.69726277346</v>
      </c>
      <c r="X73" s="108">
        <f t="shared" si="40"/>
        <v>-96802.053598713217</v>
      </c>
      <c r="Y73" s="108">
        <f t="shared" si="41"/>
        <v>-26136.554471652569</v>
      </c>
      <c r="Z73" s="108">
        <f t="shared" si="42"/>
        <v>-70665.499127060641</v>
      </c>
      <c r="AA73" s="108">
        <f t="shared" si="43"/>
        <v>2796.4670099751829</v>
      </c>
      <c r="AB73" s="108">
        <f t="shared" si="44"/>
        <v>-73461.966137035823</v>
      </c>
      <c r="AC73" s="109">
        <f t="shared" si="45"/>
        <v>0.51486397300217634</v>
      </c>
      <c r="AD73" s="108">
        <f t="shared" si="46"/>
        <v>-36383.119634740266</v>
      </c>
      <c r="AE73" s="108">
        <f t="shared" si="47"/>
        <v>120290.08846387223</v>
      </c>
      <c r="AF73" s="48">
        <f t="shared" si="48"/>
        <v>-0.30246149204277561</v>
      </c>
      <c r="AG73" s="110"/>
    </row>
    <row r="74" spans="5:33" x14ac:dyDescent="0.4">
      <c r="E74" s="107">
        <v>70</v>
      </c>
      <c r="F74" s="107">
        <v>6</v>
      </c>
      <c r="G74" s="141">
        <f t="shared" si="49"/>
        <v>59139124.594654039</v>
      </c>
      <c r="H74" s="141">
        <f t="shared" si="25"/>
        <v>1537668.1158701384</v>
      </c>
      <c r="I74" s="141">
        <f t="shared" si="26"/>
        <v>677635.80264707759</v>
      </c>
      <c r="J74" s="141">
        <f t="shared" si="27"/>
        <v>860032.3132230608</v>
      </c>
      <c r="K74" s="108">
        <f t="shared" si="28"/>
        <v>58279092.281430975</v>
      </c>
      <c r="L74" s="108">
        <f t="shared" si="29"/>
        <v>61896612.162553549</v>
      </c>
      <c r="M74" s="108">
        <f t="shared" si="30"/>
        <v>98565.207657756822</v>
      </c>
      <c r="N74" s="108">
        <f t="shared" si="31"/>
        <v>12500</v>
      </c>
      <c r="O74" s="108">
        <f t="shared" si="32"/>
        <v>111065.20765775682</v>
      </c>
      <c r="P74" s="108">
        <f t="shared" si="33"/>
        <v>44426.083063102735</v>
      </c>
      <c r="Q74" s="100">
        <f t="shared" si="34"/>
        <v>1.3083333333333334E-2</v>
      </c>
      <c r="R74" s="100">
        <f>20%</f>
        <v>0.2</v>
      </c>
      <c r="S74" s="108">
        <f t="shared" si="35"/>
        <v>161962.80182534846</v>
      </c>
      <c r="T74" s="108">
        <f t="shared" si="36"/>
        <v>220042.45623787786</v>
      </c>
      <c r="U74" s="108">
        <f t="shared" si="37"/>
        <v>3773.6651923535478</v>
      </c>
      <c r="V74" s="108">
        <f t="shared" si="38"/>
        <v>6523.4660622850879</v>
      </c>
      <c r="W74" s="108">
        <f t="shared" si="39"/>
        <v>230339.5874925165</v>
      </c>
      <c r="X74" s="108">
        <f t="shared" si="40"/>
        <v>-95323.677230694375</v>
      </c>
      <c r="Y74" s="108">
        <f t="shared" si="41"/>
        <v>-25737.392852287481</v>
      </c>
      <c r="Z74" s="108">
        <f t="shared" si="42"/>
        <v>-69586.284378406897</v>
      </c>
      <c r="AA74" s="108">
        <f t="shared" si="43"/>
        <v>2757.0265250012981</v>
      </c>
      <c r="AB74" s="108">
        <f t="shared" si="44"/>
        <v>-72343.310903408201</v>
      </c>
      <c r="AC74" s="109">
        <f t="shared" si="45"/>
        <v>0.50993419313803234</v>
      </c>
      <c r="AD74" s="108">
        <f t="shared" si="46"/>
        <v>-35484.425777976583</v>
      </c>
      <c r="AE74" s="108">
        <f t="shared" si="47"/>
        <v>117458.0316957436</v>
      </c>
      <c r="AF74" s="48">
        <f t="shared" si="48"/>
        <v>-0.30210301727082706</v>
      </c>
      <c r="AG74" s="110"/>
    </row>
    <row r="75" spans="5:33" x14ac:dyDescent="0.4">
      <c r="E75" s="107">
        <v>71</v>
      </c>
      <c r="F75" s="107">
        <v>6</v>
      </c>
      <c r="G75" s="141">
        <f t="shared" si="49"/>
        <v>58279092.281430975</v>
      </c>
      <c r="H75" s="141">
        <f t="shared" si="25"/>
        <v>1537668.1158701384</v>
      </c>
      <c r="I75" s="141">
        <f t="shared" si="26"/>
        <v>667781.26572472998</v>
      </c>
      <c r="J75" s="141">
        <f t="shared" si="27"/>
        <v>869886.85014540842</v>
      </c>
      <c r="K75" s="108">
        <f t="shared" si="28"/>
        <v>57409205.431285568</v>
      </c>
      <c r="L75" s="108">
        <f t="shared" si="29"/>
        <v>60996479.012059741</v>
      </c>
      <c r="M75" s="108">
        <f t="shared" si="30"/>
        <v>97131.820469051716</v>
      </c>
      <c r="N75" s="108">
        <f t="shared" si="31"/>
        <v>12500</v>
      </c>
      <c r="O75" s="108">
        <f t="shared" si="32"/>
        <v>109631.82046905172</v>
      </c>
      <c r="P75" s="108">
        <f t="shared" si="33"/>
        <v>43852.728187620691</v>
      </c>
      <c r="Q75" s="100">
        <f t="shared" si="34"/>
        <v>1.3083333333333334E-2</v>
      </c>
      <c r="R75" s="100">
        <f>20%</f>
        <v>0.2</v>
      </c>
      <c r="S75" s="108">
        <f t="shared" si="35"/>
        <v>159607.45341488966</v>
      </c>
      <c r="T75" s="108">
        <f t="shared" si="36"/>
        <v>216842.48288787235</v>
      </c>
      <c r="U75" s="108">
        <f t="shared" si="37"/>
        <v>3724.9629618778263</v>
      </c>
      <c r="V75" s="108">
        <f t="shared" si="38"/>
        <v>6439.2754063917891</v>
      </c>
      <c r="W75" s="108">
        <f t="shared" si="39"/>
        <v>227006.72125614196</v>
      </c>
      <c r="X75" s="108">
        <f t="shared" si="40"/>
        <v>-93828.361133458646</v>
      </c>
      <c r="Y75" s="108">
        <f t="shared" si="41"/>
        <v>-25333.657506033836</v>
      </c>
      <c r="Z75" s="108">
        <f t="shared" si="42"/>
        <v>-68494.703627424809</v>
      </c>
      <c r="AA75" s="108">
        <f t="shared" si="43"/>
        <v>2717.1341178037537</v>
      </c>
      <c r="AB75" s="108">
        <f t="shared" si="44"/>
        <v>-71211.837745228564</v>
      </c>
      <c r="AC75" s="109">
        <f t="shared" si="45"/>
        <v>0.50505161550745536</v>
      </c>
      <c r="AD75" s="108">
        <f t="shared" si="46"/>
        <v>-34593.360720735262</v>
      </c>
      <c r="AE75" s="108">
        <f t="shared" si="47"/>
        <v>114650.11130146511</v>
      </c>
      <c r="AF75" s="48">
        <f t="shared" si="48"/>
        <v>-0.3017298485631143</v>
      </c>
      <c r="AG75" s="110"/>
    </row>
    <row r="76" spans="5:33" x14ac:dyDescent="0.4">
      <c r="E76" s="107">
        <v>72</v>
      </c>
      <c r="F76" s="107">
        <v>6</v>
      </c>
      <c r="G76" s="141">
        <f t="shared" si="49"/>
        <v>57409205.431285568</v>
      </c>
      <c r="H76" s="141">
        <f t="shared" si="25"/>
        <v>1537668.1158701384</v>
      </c>
      <c r="I76" s="141">
        <f t="shared" si="26"/>
        <v>657813.81223348051</v>
      </c>
      <c r="J76" s="141">
        <f t="shared" si="27"/>
        <v>879854.30363665789</v>
      </c>
      <c r="K76" s="108">
        <f t="shared" si="28"/>
        <v>56529351.127648912</v>
      </c>
      <c r="L76" s="108">
        <f t="shared" si="29"/>
        <v>60086031.835883193</v>
      </c>
      <c r="M76" s="108">
        <f t="shared" si="30"/>
        <v>95682.00905214269</v>
      </c>
      <c r="N76" s="108">
        <f t="shared" si="31"/>
        <v>12500</v>
      </c>
      <c r="O76" s="108">
        <f t="shared" si="32"/>
        <v>108182.00905214269</v>
      </c>
      <c r="P76" s="108">
        <f t="shared" si="33"/>
        <v>43272.803620857077</v>
      </c>
      <c r="Q76" s="100">
        <f t="shared" si="34"/>
        <v>1.3083333333333334E-2</v>
      </c>
      <c r="R76" s="100">
        <f>20%</f>
        <v>0.2</v>
      </c>
      <c r="S76" s="108">
        <f t="shared" si="35"/>
        <v>157225.11663722771</v>
      </c>
      <c r="T76" s="108">
        <f t="shared" si="36"/>
        <v>213605.84317656473</v>
      </c>
      <c r="U76" s="108">
        <f t="shared" si="37"/>
        <v>3675.7026850112366</v>
      </c>
      <c r="V76" s="108">
        <f t="shared" si="38"/>
        <v>6354.1200658997122</v>
      </c>
      <c r="W76" s="108">
        <f t="shared" si="39"/>
        <v>223635.66592747567</v>
      </c>
      <c r="X76" s="108">
        <f t="shared" si="40"/>
        <v>-92315.911205942102</v>
      </c>
      <c r="Y76" s="108">
        <f t="shared" si="41"/>
        <v>-24925.29602560437</v>
      </c>
      <c r="Z76" s="108">
        <f t="shared" si="42"/>
        <v>-67390.615180337729</v>
      </c>
      <c r="AA76" s="108">
        <f t="shared" si="43"/>
        <v>2676.7846101070713</v>
      </c>
      <c r="AB76" s="108">
        <f t="shared" si="44"/>
        <v>-70067.399790444804</v>
      </c>
      <c r="AC76" s="109">
        <f t="shared" si="45"/>
        <v>0.50021578815297152</v>
      </c>
      <c r="AD76" s="108">
        <f t="shared" si="46"/>
        <v>-33709.849686546244</v>
      </c>
      <c r="AE76" s="108">
        <f t="shared" si="47"/>
        <v>111866.09089102688</v>
      </c>
      <c r="AF76" s="48">
        <f t="shared" si="48"/>
        <v>-0.30134108931529863</v>
      </c>
      <c r="AG76" s="110"/>
    </row>
    <row r="77" spans="5:33" x14ac:dyDescent="0.4">
      <c r="E77" s="107">
        <v>73</v>
      </c>
      <c r="F77" s="107">
        <v>7</v>
      </c>
      <c r="G77" s="141">
        <f t="shared" si="49"/>
        <v>56529351.127648912</v>
      </c>
      <c r="H77" s="141">
        <f t="shared" si="25"/>
        <v>1537668.1158701384</v>
      </c>
      <c r="I77" s="141">
        <f t="shared" si="26"/>
        <v>647732.14833764383</v>
      </c>
      <c r="J77" s="141">
        <f t="shared" si="27"/>
        <v>889935.96753249457</v>
      </c>
      <c r="K77" s="108">
        <f t="shared" si="28"/>
        <v>55639415.160116419</v>
      </c>
      <c r="L77" s="108">
        <f t="shared" si="29"/>
        <v>59165152.452479631</v>
      </c>
      <c r="M77" s="108">
        <f t="shared" si="30"/>
        <v>94215.585212748265</v>
      </c>
      <c r="N77" s="108">
        <f t="shared" si="31"/>
        <v>12500</v>
      </c>
      <c r="O77" s="108">
        <f t="shared" si="32"/>
        <v>106715.58521274826</v>
      </c>
      <c r="P77" s="108">
        <f t="shared" si="33"/>
        <v>42686.234085099306</v>
      </c>
      <c r="Q77" s="100">
        <f t="shared" si="34"/>
        <v>1.3083333333333334E-2</v>
      </c>
      <c r="R77" s="100">
        <f>20%</f>
        <v>0.2</v>
      </c>
      <c r="S77" s="108">
        <f t="shared" si="35"/>
        <v>154815.48225065504</v>
      </c>
      <c r="T77" s="108">
        <f t="shared" si="36"/>
        <v>210332.11696856507</v>
      </c>
      <c r="U77" s="108">
        <f t="shared" si="37"/>
        <v>3625.8779674722177</v>
      </c>
      <c r="V77" s="108">
        <f t="shared" si="38"/>
        <v>6267.9889871311652</v>
      </c>
      <c r="W77" s="108">
        <f t="shared" si="39"/>
        <v>220225.98392316845</v>
      </c>
      <c r="X77" s="108">
        <f t="shared" si="40"/>
        <v>-90786.131123006082</v>
      </c>
      <c r="Y77" s="108">
        <f t="shared" si="41"/>
        <v>-24512.255403211642</v>
      </c>
      <c r="Z77" s="108">
        <f t="shared" si="42"/>
        <v>-66273.875719794436</v>
      </c>
      <c r="AA77" s="108">
        <f t="shared" si="43"/>
        <v>2635.9727643013653</v>
      </c>
      <c r="AB77" s="108">
        <f t="shared" si="44"/>
        <v>-68909.848484095797</v>
      </c>
      <c r="AC77" s="109">
        <f t="shared" si="45"/>
        <v>0.4954262634445627</v>
      </c>
      <c r="AD77" s="108">
        <f t="shared" si="46"/>
        <v>-32833.818611847084</v>
      </c>
      <c r="AE77" s="108">
        <f t="shared" si="47"/>
        <v>109105.73632845769</v>
      </c>
      <c r="AF77" s="48">
        <f t="shared" si="48"/>
        <v>-0.30093576851910353</v>
      </c>
      <c r="AG77" s="110"/>
    </row>
    <row r="78" spans="5:33" x14ac:dyDescent="0.4">
      <c r="E78" s="107">
        <v>74</v>
      </c>
      <c r="F78" s="107">
        <v>7</v>
      </c>
      <c r="G78" s="141">
        <f t="shared" si="49"/>
        <v>55639415.160116419</v>
      </c>
      <c r="H78" s="141">
        <f t="shared" si="25"/>
        <v>1537668.1158701384</v>
      </c>
      <c r="I78" s="141">
        <f t="shared" si="26"/>
        <v>637534.96537633403</v>
      </c>
      <c r="J78" s="141">
        <f t="shared" si="27"/>
        <v>900133.15049380437</v>
      </c>
      <c r="K78" s="108">
        <f t="shared" si="28"/>
        <v>54739282.009622619</v>
      </c>
      <c r="L78" s="108">
        <f t="shared" si="29"/>
        <v>58233721.326141231</v>
      </c>
      <c r="M78" s="108">
        <f t="shared" si="30"/>
        <v>92732.358600194115</v>
      </c>
      <c r="N78" s="108">
        <f t="shared" si="31"/>
        <v>12500</v>
      </c>
      <c r="O78" s="108">
        <f t="shared" si="32"/>
        <v>105232.35860019411</v>
      </c>
      <c r="P78" s="108">
        <f t="shared" si="33"/>
        <v>42092.943440077652</v>
      </c>
      <c r="Q78" s="100">
        <f t="shared" si="34"/>
        <v>1.3083333333333334E-2</v>
      </c>
      <c r="R78" s="100">
        <f>20%</f>
        <v>0.2</v>
      </c>
      <c r="S78" s="108">
        <f t="shared" si="35"/>
        <v>152378.23747006958</v>
      </c>
      <c r="T78" s="108">
        <f t="shared" si="36"/>
        <v>207020.87931443207</v>
      </c>
      <c r="U78" s="108">
        <f t="shared" si="37"/>
        <v>3575.482341711398</v>
      </c>
      <c r="V78" s="108">
        <f t="shared" si="38"/>
        <v>6180.8709897517283</v>
      </c>
      <c r="W78" s="108">
        <f t="shared" si="39"/>
        <v>216777.23264589522</v>
      </c>
      <c r="X78" s="108">
        <f t="shared" si="40"/>
        <v>-89238.822309953117</v>
      </c>
      <c r="Y78" s="108">
        <f t="shared" si="41"/>
        <v>-24094.482023687342</v>
      </c>
      <c r="Z78" s="108">
        <f t="shared" si="42"/>
        <v>-65144.340286265775</v>
      </c>
      <c r="AA78" s="108">
        <f t="shared" si="43"/>
        <v>2594.6932827624682</v>
      </c>
      <c r="AB78" s="108">
        <f t="shared" si="44"/>
        <v>-67739.033569028237</v>
      </c>
      <c r="AC78" s="109">
        <f t="shared" si="45"/>
        <v>0.49068259803823056</v>
      </c>
      <c r="AD78" s="108">
        <f t="shared" si="46"/>
        <v>-31965.194139151459</v>
      </c>
      <c r="AE78" s="108">
        <f t="shared" si="47"/>
        <v>106368.8157102258</v>
      </c>
      <c r="AF78" s="48">
        <f t="shared" si="48"/>
        <v>-0.30051283287982</v>
      </c>
      <c r="AG78" s="110"/>
    </row>
    <row r="79" spans="5:33" x14ac:dyDescent="0.4">
      <c r="E79" s="107">
        <v>75</v>
      </c>
      <c r="F79" s="107">
        <v>7</v>
      </c>
      <c r="G79" s="141">
        <f t="shared" si="49"/>
        <v>54739282.009622619</v>
      </c>
      <c r="H79" s="141">
        <f t="shared" si="25"/>
        <v>1537668.1158701384</v>
      </c>
      <c r="I79" s="141">
        <f t="shared" si="26"/>
        <v>627220.93969359261</v>
      </c>
      <c r="J79" s="141">
        <f t="shared" si="27"/>
        <v>910447.17617654579</v>
      </c>
      <c r="K79" s="108">
        <f t="shared" si="28"/>
        <v>53828834.833446071</v>
      </c>
      <c r="L79" s="108">
        <f t="shared" si="29"/>
        <v>57291617.551480204</v>
      </c>
      <c r="M79" s="108">
        <f t="shared" si="30"/>
        <v>91232.13668270444</v>
      </c>
      <c r="N79" s="108">
        <f t="shared" si="31"/>
        <v>12500</v>
      </c>
      <c r="O79" s="108">
        <f t="shared" si="32"/>
        <v>103732.13668270444</v>
      </c>
      <c r="P79" s="108">
        <f t="shared" si="33"/>
        <v>41492.854673081776</v>
      </c>
      <c r="Q79" s="100">
        <f t="shared" si="34"/>
        <v>1.3083333333333334E-2</v>
      </c>
      <c r="R79" s="100">
        <f>20%</f>
        <v>0.2</v>
      </c>
      <c r="S79" s="108">
        <f t="shared" si="35"/>
        <v>149913.06592637321</v>
      </c>
      <c r="T79" s="108">
        <f t="shared" si="36"/>
        <v>203671.7003955121</v>
      </c>
      <c r="U79" s="108">
        <f t="shared" si="37"/>
        <v>3524.5092660720684</v>
      </c>
      <c r="V79" s="108">
        <f t="shared" si="38"/>
        <v>6092.7547653189849</v>
      </c>
      <c r="W79" s="108">
        <f t="shared" si="39"/>
        <v>213288.96442690317</v>
      </c>
      <c r="X79" s="108">
        <f t="shared" si="40"/>
        <v>-87673.783916750544</v>
      </c>
      <c r="Y79" s="108">
        <f t="shared" si="41"/>
        <v>-23671.921657522649</v>
      </c>
      <c r="Z79" s="108">
        <f t="shared" si="42"/>
        <v>-64001.862259227899</v>
      </c>
      <c r="AA79" s="108">
        <f t="shared" si="43"/>
        <v>2552.9408071642711</v>
      </c>
      <c r="AB79" s="108">
        <f t="shared" si="44"/>
        <v>-66554.803066392167</v>
      </c>
      <c r="AC79" s="109">
        <f t="shared" si="45"/>
        <v>0.485984352834959</v>
      </c>
      <c r="AD79" s="108">
        <f t="shared" si="46"/>
        <v>-31103.903610283058</v>
      </c>
      <c r="AE79" s="108">
        <f t="shared" si="47"/>
        <v>103655.09934384713</v>
      </c>
      <c r="AF79" s="48">
        <f t="shared" si="48"/>
        <v>-0.30007113791000728</v>
      </c>
      <c r="AG79" s="110"/>
    </row>
    <row r="80" spans="5:33" x14ac:dyDescent="0.4">
      <c r="E80" s="107">
        <v>76</v>
      </c>
      <c r="F80" s="107">
        <v>7</v>
      </c>
      <c r="G80" s="141">
        <f t="shared" si="49"/>
        <v>53828834.833446071</v>
      </c>
      <c r="H80" s="141">
        <f t="shared" si="25"/>
        <v>1537668.1158701384</v>
      </c>
      <c r="I80" s="141">
        <f t="shared" si="26"/>
        <v>616788.73246656964</v>
      </c>
      <c r="J80" s="141">
        <f t="shared" si="27"/>
        <v>920879.38340356876</v>
      </c>
      <c r="K80" s="108">
        <f t="shared" si="28"/>
        <v>52907955.450042501</v>
      </c>
      <c r="L80" s="108">
        <f t="shared" si="29"/>
        <v>56338718.837734513</v>
      </c>
      <c r="M80" s="108">
        <f t="shared" si="30"/>
        <v>89714.724722410203</v>
      </c>
      <c r="N80" s="108">
        <f t="shared" si="31"/>
        <v>12500</v>
      </c>
      <c r="O80" s="108">
        <f t="shared" si="32"/>
        <v>102214.7247224102</v>
      </c>
      <c r="P80" s="108">
        <f t="shared" si="33"/>
        <v>40885.889888964084</v>
      </c>
      <c r="Q80" s="100">
        <f t="shared" si="34"/>
        <v>1.3083333333333334E-2</v>
      </c>
      <c r="R80" s="100">
        <f>20%</f>
        <v>0.2</v>
      </c>
      <c r="S80" s="108">
        <f t="shared" si="35"/>
        <v>147419.64762540531</v>
      </c>
      <c r="T80" s="108">
        <f t="shared" si="36"/>
        <v>200284.14546814619</v>
      </c>
      <c r="U80" s="108">
        <f t="shared" si="37"/>
        <v>3472.9521239410387</v>
      </c>
      <c r="V80" s="108">
        <f t="shared" si="38"/>
        <v>6003.6288758146165</v>
      </c>
      <c r="W80" s="108">
        <f t="shared" si="39"/>
        <v>209760.72646790184</v>
      </c>
      <c r="X80" s="108">
        <f t="shared" si="40"/>
        <v>-86090.812791959193</v>
      </c>
      <c r="Y80" s="108">
        <f t="shared" si="41"/>
        <v>-23244.519453828983</v>
      </c>
      <c r="Z80" s="108">
        <f t="shared" si="42"/>
        <v>-62846.293338130214</v>
      </c>
      <c r="AA80" s="108">
        <f t="shared" si="43"/>
        <v>2510.7099177831778</v>
      </c>
      <c r="AB80" s="108">
        <f t="shared" si="44"/>
        <v>-65357.003255913391</v>
      </c>
      <c r="AC80" s="109">
        <f t="shared" si="45"/>
        <v>0.48133109294006865</v>
      </c>
      <c r="AD80" s="108">
        <f t="shared" si="46"/>
        <v>-30249.87505967437</v>
      </c>
      <c r="AE80" s="108">
        <f t="shared" si="47"/>
        <v>100964.35972669798</v>
      </c>
      <c r="AF80" s="48">
        <f t="shared" si="48"/>
        <v>-0.29960943784082061</v>
      </c>
      <c r="AG80" s="110"/>
    </row>
    <row r="81" spans="5:33" x14ac:dyDescent="0.4">
      <c r="E81" s="107">
        <v>77</v>
      </c>
      <c r="F81" s="107">
        <v>7</v>
      </c>
      <c r="G81" s="141">
        <f t="shared" si="49"/>
        <v>52907955.450042501</v>
      </c>
      <c r="H81" s="141">
        <f t="shared" si="25"/>
        <v>1537668.1158701384</v>
      </c>
      <c r="I81" s="141">
        <f t="shared" si="26"/>
        <v>606236.98953173705</v>
      </c>
      <c r="J81" s="141">
        <f t="shared" si="27"/>
        <v>931431.12633840134</v>
      </c>
      <c r="K81" s="108">
        <f t="shared" si="28"/>
        <v>51976524.323704101</v>
      </c>
      <c r="L81" s="108">
        <f t="shared" si="29"/>
        <v>55374901.492893822</v>
      </c>
      <c r="M81" s="108">
        <f t="shared" si="30"/>
        <v>88179.925750070906</v>
      </c>
      <c r="N81" s="108">
        <f t="shared" si="31"/>
        <v>12500</v>
      </c>
      <c r="O81" s="108">
        <f t="shared" si="32"/>
        <v>100679.92575007091</v>
      </c>
      <c r="P81" s="108">
        <f t="shared" si="33"/>
        <v>40271.970300028363</v>
      </c>
      <c r="Q81" s="100">
        <f t="shared" si="34"/>
        <v>1.3083333333333334E-2</v>
      </c>
      <c r="R81" s="100">
        <f>20%</f>
        <v>0.2</v>
      </c>
      <c r="S81" s="108">
        <f t="shared" si="35"/>
        <v>144897.6589064055</v>
      </c>
      <c r="T81" s="108">
        <f t="shared" si="36"/>
        <v>196857.77480723753</v>
      </c>
      <c r="U81" s="108">
        <f t="shared" si="37"/>
        <v>3420.8042228897566</v>
      </c>
      <c r="V81" s="108">
        <f t="shared" si="38"/>
        <v>5913.481752159676</v>
      </c>
      <c r="W81" s="108">
        <f t="shared" si="39"/>
        <v>206192.06078228698</v>
      </c>
      <c r="X81" s="108">
        <f t="shared" si="40"/>
        <v>-84489.703456362957</v>
      </c>
      <c r="Y81" s="108">
        <f t="shared" si="41"/>
        <v>-22812.219933217999</v>
      </c>
      <c r="Z81" s="108">
        <f t="shared" si="42"/>
        <v>-61677.483523144954</v>
      </c>
      <c r="AA81" s="108">
        <f t="shared" si="43"/>
        <v>2467.9951327945932</v>
      </c>
      <c r="AB81" s="108">
        <f t="shared" si="44"/>
        <v>-64145.478655939551</v>
      </c>
      <c r="AC81" s="109">
        <f t="shared" si="45"/>
        <v>0.47672238762296082</v>
      </c>
      <c r="AD81" s="108">
        <f t="shared" si="46"/>
        <v>-29403.037207729489</v>
      </c>
      <c r="AE81" s="108">
        <f t="shared" si="47"/>
        <v>98296.37152503051</v>
      </c>
      <c r="AF81" s="48">
        <f t="shared" si="48"/>
        <v>-0.29912637416369131</v>
      </c>
      <c r="AG81" s="110"/>
    </row>
    <row r="82" spans="5:33" x14ac:dyDescent="0.4">
      <c r="E82" s="107">
        <v>78</v>
      </c>
      <c r="F82" s="107">
        <v>7</v>
      </c>
      <c r="G82" s="141">
        <f t="shared" si="49"/>
        <v>51976524.323704101</v>
      </c>
      <c r="H82" s="141">
        <f t="shared" si="25"/>
        <v>1537668.1158701384</v>
      </c>
      <c r="I82" s="141">
        <f t="shared" si="26"/>
        <v>595564.34120910952</v>
      </c>
      <c r="J82" s="141">
        <f t="shared" si="27"/>
        <v>942103.77466102887</v>
      </c>
      <c r="K82" s="108">
        <f t="shared" si="28"/>
        <v>51034420.549043074</v>
      </c>
      <c r="L82" s="108">
        <f t="shared" si="29"/>
        <v>54400040.407643504</v>
      </c>
      <c r="M82" s="108">
        <f t="shared" si="30"/>
        <v>86627.54053950691</v>
      </c>
      <c r="N82" s="108">
        <f t="shared" si="31"/>
        <v>12500</v>
      </c>
      <c r="O82" s="108">
        <f t="shared" si="32"/>
        <v>99127.54053950691</v>
      </c>
      <c r="P82" s="108">
        <f t="shared" si="33"/>
        <v>39651.016215802767</v>
      </c>
      <c r="Q82" s="100">
        <f t="shared" si="34"/>
        <v>1.3083333333333334E-2</v>
      </c>
      <c r="R82" s="100">
        <f>20%</f>
        <v>0.2</v>
      </c>
      <c r="S82" s="108">
        <f t="shared" si="35"/>
        <v>142346.77240000051</v>
      </c>
      <c r="T82" s="108">
        <f t="shared" si="36"/>
        <v>193392.14364917265</v>
      </c>
      <c r="U82" s="108">
        <f t="shared" si="37"/>
        <v>3368.058793805596</v>
      </c>
      <c r="V82" s="108">
        <f t="shared" si="38"/>
        <v>5822.3016927128574</v>
      </c>
      <c r="W82" s="108">
        <f t="shared" si="39"/>
        <v>202582.5041356911</v>
      </c>
      <c r="X82" s="108">
        <f t="shared" si="40"/>
        <v>-82870.248076296368</v>
      </c>
      <c r="Y82" s="108">
        <f t="shared" si="41"/>
        <v>-22374.96698060002</v>
      </c>
      <c r="Z82" s="108">
        <f t="shared" si="42"/>
        <v>-60495.281095696351</v>
      </c>
      <c r="AA82" s="108">
        <f t="shared" si="43"/>
        <v>2424.7909075613475</v>
      </c>
      <c r="AB82" s="108">
        <f t="shared" si="44"/>
        <v>-62920.072003257701</v>
      </c>
      <c r="AC82" s="109">
        <f t="shared" si="45"/>
        <v>0.47215781027724618</v>
      </c>
      <c r="AD82" s="108">
        <f t="shared" si="46"/>
        <v>-28563.319454250475</v>
      </c>
      <c r="AE82" s="108">
        <f t="shared" si="47"/>
        <v>95650.911553189071</v>
      </c>
      <c r="AF82" s="48">
        <f t="shared" si="48"/>
        <v>-0.29862046258040237</v>
      </c>
      <c r="AG82" s="110"/>
    </row>
    <row r="83" spans="5:33" x14ac:dyDescent="0.4">
      <c r="E83" s="107">
        <v>79</v>
      </c>
      <c r="F83" s="107">
        <v>7</v>
      </c>
      <c r="G83" s="141">
        <f t="shared" si="49"/>
        <v>51034420.549043074</v>
      </c>
      <c r="H83" s="141">
        <f t="shared" si="25"/>
        <v>1537668.1158701384</v>
      </c>
      <c r="I83" s="141">
        <f t="shared" si="26"/>
        <v>584769.40212445194</v>
      </c>
      <c r="J83" s="141">
        <f t="shared" si="27"/>
        <v>952898.71374568646</v>
      </c>
      <c r="K83" s="108">
        <f t="shared" si="28"/>
        <v>50081521.835297391</v>
      </c>
      <c r="L83" s="108">
        <f t="shared" si="29"/>
        <v>53414009.03912469</v>
      </c>
      <c r="M83" s="108">
        <f t="shared" si="30"/>
        <v>85057.367581738537</v>
      </c>
      <c r="N83" s="108">
        <f t="shared" si="31"/>
        <v>12500</v>
      </c>
      <c r="O83" s="108">
        <f t="shared" si="32"/>
        <v>97557.367581738537</v>
      </c>
      <c r="P83" s="108">
        <f t="shared" si="33"/>
        <v>39022.947032695418</v>
      </c>
      <c r="Q83" s="100">
        <f t="shared" si="34"/>
        <v>1.3083333333333334E-2</v>
      </c>
      <c r="R83" s="100">
        <f>20%</f>
        <v>0.2</v>
      </c>
      <c r="S83" s="108">
        <f t="shared" si="35"/>
        <v>139766.65698570962</v>
      </c>
      <c r="T83" s="108">
        <f t="shared" si="36"/>
        <v>189886.80213408827</v>
      </c>
      <c r="U83" s="108">
        <f t="shared" si="37"/>
        <v>3314.7089900131791</v>
      </c>
      <c r="V83" s="108">
        <f t="shared" si="38"/>
        <v>5730.0768617515441</v>
      </c>
      <c r="W83" s="108">
        <f t="shared" si="39"/>
        <v>198931.587985853</v>
      </c>
      <c r="X83" s="108">
        <f t="shared" si="40"/>
        <v>-81232.236436666499</v>
      </c>
      <c r="Y83" s="108">
        <f t="shared" si="41"/>
        <v>-21932.703837899957</v>
      </c>
      <c r="Z83" s="108">
        <f t="shared" si="42"/>
        <v>-59299.532598766542</v>
      </c>
      <c r="AA83" s="108">
        <f t="shared" si="43"/>
        <v>2381.0916339139712</v>
      </c>
      <c r="AB83" s="108">
        <f t="shared" si="44"/>
        <v>-61680.624232680515</v>
      </c>
      <c r="AC83" s="109">
        <f t="shared" si="45"/>
        <v>0.46763693838125664</v>
      </c>
      <c r="AD83" s="108">
        <f t="shared" si="46"/>
        <v>-27730.651871926708</v>
      </c>
      <c r="AE83" s="108">
        <f t="shared" si="47"/>
        <v>93027.758753025875</v>
      </c>
      <c r="AF83" s="48">
        <f t="shared" si="48"/>
        <v>-0.29809007809751975</v>
      </c>
      <c r="AG83" s="110"/>
    </row>
    <row r="84" spans="5:33" x14ac:dyDescent="0.4">
      <c r="E84" s="107">
        <v>80</v>
      </c>
      <c r="F84" s="107">
        <v>7</v>
      </c>
      <c r="G84" s="141">
        <f t="shared" si="49"/>
        <v>50081521.835297391</v>
      </c>
      <c r="H84" s="141">
        <f t="shared" si="25"/>
        <v>1537668.1158701384</v>
      </c>
      <c r="I84" s="141">
        <f t="shared" si="26"/>
        <v>573850.7710294493</v>
      </c>
      <c r="J84" s="141">
        <f t="shared" si="27"/>
        <v>963817.3448406891</v>
      </c>
      <c r="K84" s="108">
        <f t="shared" si="28"/>
        <v>49117704.4904567</v>
      </c>
      <c r="L84" s="108">
        <f t="shared" si="29"/>
        <v>52416679.394508265</v>
      </c>
      <c r="M84" s="108">
        <f t="shared" si="30"/>
        <v>83469.203058829051</v>
      </c>
      <c r="N84" s="108">
        <f t="shared" si="31"/>
        <v>12500</v>
      </c>
      <c r="O84" s="108">
        <f t="shared" si="32"/>
        <v>95969.203058829051</v>
      </c>
      <c r="P84" s="108">
        <f t="shared" si="33"/>
        <v>38387.681223531625</v>
      </c>
      <c r="Q84" s="100">
        <f t="shared" si="34"/>
        <v>1.3083333333333334E-2</v>
      </c>
      <c r="R84" s="100">
        <f>20%</f>
        <v>0.2</v>
      </c>
      <c r="S84" s="108">
        <f t="shared" si="35"/>
        <v>137156.97774896331</v>
      </c>
      <c r="T84" s="108">
        <f t="shared" si="36"/>
        <v>186341.29524747687</v>
      </c>
      <c r="U84" s="108">
        <f t="shared" si="37"/>
        <v>3260.7478863856409</v>
      </c>
      <c r="V84" s="108">
        <f t="shared" si="38"/>
        <v>5636.7952879354652</v>
      </c>
      <c r="W84" s="108">
        <f t="shared" si="39"/>
        <v>195238.83842179799</v>
      </c>
      <c r="X84" s="108">
        <f t="shared" si="40"/>
        <v>-79575.455913665879</v>
      </c>
      <c r="Y84" s="108">
        <f t="shared" si="41"/>
        <v>-21485.373096689789</v>
      </c>
      <c r="Z84" s="108">
        <f t="shared" si="42"/>
        <v>-58090.082816976093</v>
      </c>
      <c r="AA84" s="108">
        <f t="shared" si="43"/>
        <v>2336.8916394227185</v>
      </c>
      <c r="AB84" s="108">
        <f t="shared" si="44"/>
        <v>-60426.974456398813</v>
      </c>
      <c r="AC84" s="109">
        <f t="shared" si="45"/>
        <v>0.46315935345893339</v>
      </c>
      <c r="AD84" s="108">
        <f t="shared" si="46"/>
        <v>-26904.965199886545</v>
      </c>
      <c r="AE84" s="108">
        <f t="shared" si="47"/>
        <v>90426.694173513126</v>
      </c>
      <c r="AF84" s="48">
        <f t="shared" si="48"/>
        <v>-0.29753343794986675</v>
      </c>
      <c r="AG84" s="110"/>
    </row>
    <row r="85" spans="5:33" x14ac:dyDescent="0.4">
      <c r="E85" s="107">
        <v>81</v>
      </c>
      <c r="F85" s="107">
        <v>7</v>
      </c>
      <c r="G85" s="141">
        <f t="shared" si="49"/>
        <v>49117704.4904567</v>
      </c>
      <c r="H85" s="141">
        <f t="shared" si="25"/>
        <v>1537668.1158701384</v>
      </c>
      <c r="I85" s="141">
        <f t="shared" si="26"/>
        <v>562807.03061981639</v>
      </c>
      <c r="J85" s="141">
        <f t="shared" si="27"/>
        <v>974861.08525032201</v>
      </c>
      <c r="K85" s="108">
        <f t="shared" si="28"/>
        <v>48142843.405206375</v>
      </c>
      <c r="L85" s="108">
        <f t="shared" si="29"/>
        <v>51407922.014380611</v>
      </c>
      <c r="M85" s="108">
        <f t="shared" si="30"/>
        <v>81862.840817427903</v>
      </c>
      <c r="N85" s="108">
        <f t="shared" si="31"/>
        <v>12500</v>
      </c>
      <c r="O85" s="108">
        <f t="shared" si="32"/>
        <v>94362.840817427903</v>
      </c>
      <c r="P85" s="108">
        <f t="shared" si="33"/>
        <v>37745.136326971166</v>
      </c>
      <c r="Q85" s="100">
        <f t="shared" si="34"/>
        <v>1.3083333333333334E-2</v>
      </c>
      <c r="R85" s="100">
        <f>20%</f>
        <v>0.2</v>
      </c>
      <c r="S85" s="108">
        <f t="shared" si="35"/>
        <v>134517.39593762928</v>
      </c>
      <c r="T85" s="108">
        <f t="shared" si="36"/>
        <v>182755.16276112307</v>
      </c>
      <c r="U85" s="108">
        <f t="shared" si="37"/>
        <v>3206.1684784457034</v>
      </c>
      <c r="V85" s="108">
        <f t="shared" si="38"/>
        <v>5542.4448627527436</v>
      </c>
      <c r="W85" s="108">
        <f t="shared" si="39"/>
        <v>191503.77610232151</v>
      </c>
      <c r="X85" s="108">
        <f t="shared" si="40"/>
        <v>-77899.691447172547</v>
      </c>
      <c r="Y85" s="108">
        <f t="shared" si="41"/>
        <v>-21032.916690736591</v>
      </c>
      <c r="Z85" s="108">
        <f t="shared" si="42"/>
        <v>-56866.77475643596</v>
      </c>
      <c r="AA85" s="108">
        <f t="shared" si="43"/>
        <v>2292.1851866612537</v>
      </c>
      <c r="AB85" s="108">
        <f t="shared" si="44"/>
        <v>-59158.959943097216</v>
      </c>
      <c r="AC85" s="109">
        <f t="shared" si="45"/>
        <v>0.45872464104109206</v>
      </c>
      <c r="AD85" s="108">
        <f t="shared" si="46"/>
        <v>-26086.190837310722</v>
      </c>
      <c r="AE85" s="108">
        <f t="shared" si="47"/>
        <v>87847.500950551097</v>
      </c>
      <c r="AF85" s="48">
        <f t="shared" si="48"/>
        <v>-0.2969485819749671</v>
      </c>
      <c r="AG85" s="110"/>
    </row>
    <row r="86" spans="5:33" x14ac:dyDescent="0.4">
      <c r="E86" s="107">
        <v>82</v>
      </c>
      <c r="F86" s="107">
        <v>7</v>
      </c>
      <c r="G86" s="141">
        <f t="shared" si="49"/>
        <v>48142843.405206375</v>
      </c>
      <c r="H86" s="141">
        <f t="shared" si="25"/>
        <v>1537668.1158701384</v>
      </c>
      <c r="I86" s="141">
        <f t="shared" si="26"/>
        <v>551636.74735132314</v>
      </c>
      <c r="J86" s="141">
        <f t="shared" si="27"/>
        <v>986031.36851881526</v>
      </c>
      <c r="K86" s="108">
        <f t="shared" si="28"/>
        <v>47156812.03668756</v>
      </c>
      <c r="L86" s="108">
        <f t="shared" si="29"/>
        <v>50387605.955938987</v>
      </c>
      <c r="M86" s="108">
        <f t="shared" si="30"/>
        <v>80238.072342010695</v>
      </c>
      <c r="N86" s="108">
        <f t="shared" si="31"/>
        <v>12500</v>
      </c>
      <c r="O86" s="108">
        <f t="shared" si="32"/>
        <v>92738.072342010695</v>
      </c>
      <c r="P86" s="108">
        <f t="shared" si="33"/>
        <v>37095.228936804277</v>
      </c>
      <c r="Q86" s="100">
        <f t="shared" si="34"/>
        <v>1.3083333333333334E-2</v>
      </c>
      <c r="R86" s="100">
        <f>20%</f>
        <v>0.2</v>
      </c>
      <c r="S86" s="108">
        <f t="shared" si="35"/>
        <v>131847.56891804037</v>
      </c>
      <c r="T86" s="108">
        <f t="shared" si="36"/>
        <v>179127.93917336309</v>
      </c>
      <c r="U86" s="108">
        <f t="shared" si="37"/>
        <v>3150.9636814564547</v>
      </c>
      <c r="V86" s="108">
        <f t="shared" si="38"/>
        <v>5447.0133389481371</v>
      </c>
      <c r="W86" s="108">
        <f t="shared" si="39"/>
        <v>187725.91619376768</v>
      </c>
      <c r="X86" s="108">
        <f t="shared" si="40"/>
        <v>-76204.725512833946</v>
      </c>
      <c r="Y86" s="108">
        <f t="shared" si="41"/>
        <v>-20575.275888465167</v>
      </c>
      <c r="Z86" s="108">
        <f t="shared" si="42"/>
        <v>-55629.449624368775</v>
      </c>
      <c r="AA86" s="108">
        <f t="shared" si="43"/>
        <v>2246.966472461897</v>
      </c>
      <c r="AB86" s="108">
        <f t="shared" si="44"/>
        <v>-57876.416096830675</v>
      </c>
      <c r="AC86" s="109">
        <f t="shared" si="45"/>
        <v>0.45433239062705599</v>
      </c>
      <c r="AD86" s="108">
        <f t="shared" si="46"/>
        <v>-25274.260837106849</v>
      </c>
      <c r="AE86" s="108">
        <f t="shared" si="47"/>
        <v>85289.96428696884</v>
      </c>
      <c r="AF86" s="48">
        <f t="shared" si="48"/>
        <v>-0.29633334998322208</v>
      </c>
      <c r="AG86" s="110"/>
    </row>
    <row r="87" spans="5:33" x14ac:dyDescent="0.4">
      <c r="E87" s="107">
        <v>83</v>
      </c>
      <c r="F87" s="107">
        <v>7</v>
      </c>
      <c r="G87" s="141">
        <f t="shared" si="49"/>
        <v>47156812.03668756</v>
      </c>
      <c r="H87" s="141">
        <f t="shared" si="25"/>
        <v>1537668.1158701384</v>
      </c>
      <c r="I87" s="141">
        <f t="shared" si="26"/>
        <v>540338.47125371173</v>
      </c>
      <c r="J87" s="141">
        <f t="shared" si="27"/>
        <v>997329.64461642667</v>
      </c>
      <c r="K87" s="108">
        <f t="shared" si="28"/>
        <v>46159482.392071135</v>
      </c>
      <c r="L87" s="108">
        <f t="shared" si="29"/>
        <v>49355598.77599439</v>
      </c>
      <c r="M87" s="108">
        <f t="shared" si="30"/>
        <v>78594.686727812674</v>
      </c>
      <c r="N87" s="108">
        <f t="shared" si="31"/>
        <v>12500</v>
      </c>
      <c r="O87" s="108">
        <f t="shared" si="32"/>
        <v>91094.686727812674</v>
      </c>
      <c r="P87" s="108">
        <f t="shared" si="33"/>
        <v>36437.874691125071</v>
      </c>
      <c r="Q87" s="100">
        <f t="shared" si="34"/>
        <v>1.3083333333333334E-2</v>
      </c>
      <c r="R87" s="100">
        <f>20%</f>
        <v>0.2</v>
      </c>
      <c r="S87" s="108">
        <f t="shared" si="35"/>
        <v>129147.15013051867</v>
      </c>
      <c r="T87" s="108">
        <f t="shared" si="36"/>
        <v>175459.15364866005</v>
      </c>
      <c r="U87" s="108">
        <f t="shared" si="37"/>
        <v>3095.1263295017038</v>
      </c>
      <c r="V87" s="108">
        <f t="shared" si="38"/>
        <v>5350.4883289332693</v>
      </c>
      <c r="W87" s="108">
        <f t="shared" si="39"/>
        <v>183904.76830709504</v>
      </c>
      <c r="X87" s="108">
        <f t="shared" si="40"/>
        <v>-74490.338093831058</v>
      </c>
      <c r="Y87" s="108">
        <f t="shared" si="41"/>
        <v>-20112.391285334386</v>
      </c>
      <c r="Z87" s="108">
        <f t="shared" si="42"/>
        <v>-54377.946808496672</v>
      </c>
      <c r="AA87" s="108">
        <f t="shared" si="43"/>
        <v>2201.2296271623391</v>
      </c>
      <c r="AB87" s="108">
        <f t="shared" si="44"/>
        <v>-56579.176435659014</v>
      </c>
      <c r="AC87" s="109">
        <f t="shared" si="45"/>
        <v>0.44998219564665815</v>
      </c>
      <c r="AD87" s="108">
        <f t="shared" si="46"/>
        <v>-24469.107899644518</v>
      </c>
      <c r="AE87" s="108">
        <f t="shared" si="47"/>
        <v>82753.87143271658</v>
      </c>
      <c r="AF87" s="48">
        <f t="shared" si="48"/>
        <v>-0.29568535557323433</v>
      </c>
      <c r="AG87" s="110"/>
    </row>
    <row r="88" spans="5:33" x14ac:dyDescent="0.4">
      <c r="E88" s="107">
        <v>84</v>
      </c>
      <c r="F88" s="107">
        <v>7</v>
      </c>
      <c r="G88" s="141">
        <f t="shared" si="49"/>
        <v>46159482.392071135</v>
      </c>
      <c r="H88" s="141">
        <f t="shared" si="25"/>
        <v>1537668.1158701384</v>
      </c>
      <c r="I88" s="141">
        <f t="shared" si="26"/>
        <v>528910.73574248177</v>
      </c>
      <c r="J88" s="141">
        <f t="shared" si="27"/>
        <v>1008757.3801276566</v>
      </c>
      <c r="K88" s="108">
        <f t="shared" si="28"/>
        <v>45150725.011943482</v>
      </c>
      <c r="L88" s="108">
        <f t="shared" si="29"/>
        <v>48311766.513779603</v>
      </c>
      <c r="M88" s="108">
        <f t="shared" si="30"/>
        <v>76932.470653451965</v>
      </c>
      <c r="N88" s="108">
        <f t="shared" si="31"/>
        <v>12500</v>
      </c>
      <c r="O88" s="108">
        <f t="shared" si="32"/>
        <v>89432.470653451965</v>
      </c>
      <c r="P88" s="108">
        <f t="shared" si="33"/>
        <v>35772.988261380786</v>
      </c>
      <c r="Q88" s="100">
        <f t="shared" si="34"/>
        <v>1.3083333333333334E-2</v>
      </c>
      <c r="R88" s="100">
        <f>20%</f>
        <v>0.2</v>
      </c>
      <c r="S88" s="108">
        <f t="shared" si="35"/>
        <v>126415.78904438997</v>
      </c>
      <c r="T88" s="108">
        <f t="shared" si="36"/>
        <v>171748.32995648647</v>
      </c>
      <c r="U88" s="108">
        <f t="shared" si="37"/>
        <v>3038.6491745558051</v>
      </c>
      <c r="V88" s="108">
        <f t="shared" si="38"/>
        <v>5252.8573031786482</v>
      </c>
      <c r="W88" s="108">
        <f t="shared" si="39"/>
        <v>180039.83643422092</v>
      </c>
      <c r="X88" s="108">
        <f t="shared" si="40"/>
        <v>-72756.306652318788</v>
      </c>
      <c r="Y88" s="108">
        <f t="shared" si="41"/>
        <v>-19644.202796126076</v>
      </c>
      <c r="Z88" s="108">
        <f t="shared" si="42"/>
        <v>-53112.103856192713</v>
      </c>
      <c r="AA88" s="108">
        <f t="shared" si="43"/>
        <v>2154.9687138437239</v>
      </c>
      <c r="AB88" s="108">
        <f t="shared" si="44"/>
        <v>-55267.072570036435</v>
      </c>
      <c r="AC88" s="109">
        <f t="shared" si="45"/>
        <v>0.44567365342260767</v>
      </c>
      <c r="AD88" s="108">
        <f t="shared" si="46"/>
        <v>-23670.665366550376</v>
      </c>
      <c r="AE88" s="108">
        <f t="shared" si="47"/>
        <v>80239.011665247948</v>
      </c>
      <c r="AF88" s="48">
        <f t="shared" si="48"/>
        <v>-0.29500195572326943</v>
      </c>
      <c r="AG88" s="110"/>
    </row>
    <row r="89" spans="5:33" x14ac:dyDescent="0.4">
      <c r="E89" s="107">
        <v>85</v>
      </c>
      <c r="F89" s="107">
        <v>8</v>
      </c>
      <c r="G89" s="141">
        <f t="shared" si="49"/>
        <v>45150725.011943482</v>
      </c>
      <c r="H89" s="141">
        <f t="shared" si="25"/>
        <v>1537668.1158701384</v>
      </c>
      <c r="I89" s="141">
        <f t="shared" si="26"/>
        <v>517352.05742851913</v>
      </c>
      <c r="J89" s="141">
        <f t="shared" si="27"/>
        <v>1020316.0584416193</v>
      </c>
      <c r="K89" s="108">
        <f t="shared" si="28"/>
        <v>44130408.953501865</v>
      </c>
      <c r="L89" s="108">
        <f t="shared" si="29"/>
        <v>47255973.673560262</v>
      </c>
      <c r="M89" s="108">
        <f t="shared" si="30"/>
        <v>75251.208353239199</v>
      </c>
      <c r="N89" s="108">
        <f t="shared" si="31"/>
        <v>12500</v>
      </c>
      <c r="O89" s="108">
        <f t="shared" si="32"/>
        <v>87751.208353239199</v>
      </c>
      <c r="P89" s="108">
        <f t="shared" si="33"/>
        <v>35100.48334129568</v>
      </c>
      <c r="Q89" s="100">
        <f t="shared" si="34"/>
        <v>1.3083333333333334E-2</v>
      </c>
      <c r="R89" s="100">
        <f>20%</f>
        <v>0.2</v>
      </c>
      <c r="S89" s="108">
        <f t="shared" si="35"/>
        <v>123653.13111248269</v>
      </c>
      <c r="T89" s="108">
        <f t="shared" si="36"/>
        <v>167994.98640950673</v>
      </c>
      <c r="U89" s="108">
        <f t="shared" si="37"/>
        <v>2981.5248855428176</v>
      </c>
      <c r="V89" s="108">
        <f t="shared" si="38"/>
        <v>5154.1075885872542</v>
      </c>
      <c r="W89" s="108">
        <f t="shared" si="39"/>
        <v>176130.61888363678</v>
      </c>
      <c r="X89" s="108">
        <f t="shared" si="40"/>
        <v>-71002.40610053917</v>
      </c>
      <c r="Y89" s="108">
        <f t="shared" si="41"/>
        <v>-19170.649647145576</v>
      </c>
      <c r="Z89" s="108">
        <f t="shared" si="42"/>
        <v>-51831.756453393595</v>
      </c>
      <c r="AA89" s="108">
        <f t="shared" si="43"/>
        <v>2108.1777275599998</v>
      </c>
      <c r="AB89" s="108">
        <f t="shared" si="44"/>
        <v>-53939.934180953598</v>
      </c>
      <c r="AC89" s="109">
        <f t="shared" si="45"/>
        <v>0.44140636513321513</v>
      </c>
      <c r="AD89" s="108">
        <f t="shared" si="46"/>
        <v>-22878.867214562531</v>
      </c>
      <c r="AE89" s="108">
        <f t="shared" si="47"/>
        <v>77745.176270089738</v>
      </c>
      <c r="AF89" s="48">
        <f t="shared" si="48"/>
        <v>-0.29428021534198429</v>
      </c>
      <c r="AG89" s="110"/>
    </row>
    <row r="90" spans="5:33" x14ac:dyDescent="0.4">
      <c r="E90" s="107">
        <v>86</v>
      </c>
      <c r="F90" s="107">
        <v>8</v>
      </c>
      <c r="G90" s="141">
        <f t="shared" si="49"/>
        <v>44130408.953501865</v>
      </c>
      <c r="H90" s="141">
        <f t="shared" si="25"/>
        <v>1537668.1158701384</v>
      </c>
      <c r="I90" s="141">
        <f t="shared" si="26"/>
        <v>505660.93592554226</v>
      </c>
      <c r="J90" s="141">
        <f t="shared" si="27"/>
        <v>1032007.1799445961</v>
      </c>
      <c r="K90" s="108">
        <f t="shared" si="28"/>
        <v>43098401.773557268</v>
      </c>
      <c r="L90" s="108">
        <f t="shared" si="29"/>
        <v>46188083.207046747</v>
      </c>
      <c r="M90" s="108">
        <f t="shared" si="30"/>
        <v>73550.68158916985</v>
      </c>
      <c r="N90" s="108">
        <f t="shared" si="31"/>
        <v>12500</v>
      </c>
      <c r="O90" s="108">
        <f t="shared" si="32"/>
        <v>86050.68158916985</v>
      </c>
      <c r="P90" s="108">
        <f t="shared" si="33"/>
        <v>34420.272635667941</v>
      </c>
      <c r="Q90" s="100">
        <f t="shared" si="34"/>
        <v>1.3083333333333334E-2</v>
      </c>
      <c r="R90" s="100">
        <f>20%</f>
        <v>0.2</v>
      </c>
      <c r="S90" s="108">
        <f t="shared" si="35"/>
        <v>120858.81772510566</v>
      </c>
      <c r="T90" s="108">
        <f t="shared" si="36"/>
        <v>164198.63580105116</v>
      </c>
      <c r="U90" s="108">
        <f t="shared" si="37"/>
        <v>2923.7460473848901</v>
      </c>
      <c r="V90" s="108">
        <f t="shared" si="38"/>
        <v>5054.2263668495025</v>
      </c>
      <c r="W90" s="108">
        <f t="shared" si="39"/>
        <v>172176.60821528555</v>
      </c>
      <c r="X90" s="108">
        <f t="shared" si="40"/>
        <v>-69228.408771603747</v>
      </c>
      <c r="Y90" s="108">
        <f t="shared" si="41"/>
        <v>-18691.670368333012</v>
      </c>
      <c r="Z90" s="108">
        <f t="shared" si="42"/>
        <v>-50536.738403270734</v>
      </c>
      <c r="AA90" s="108">
        <f t="shared" si="43"/>
        <v>2060.8505945584411</v>
      </c>
      <c r="AB90" s="108">
        <f t="shared" si="44"/>
        <v>-52597.588997829174</v>
      </c>
      <c r="AC90" s="109">
        <f t="shared" si="45"/>
        <v>0.4371799357754757</v>
      </c>
      <c r="AD90" s="108">
        <f t="shared" si="46"/>
        <v>-22093.648049443917</v>
      </c>
      <c r="AE90" s="108">
        <f t="shared" si="47"/>
        <v>75272.158521597783</v>
      </c>
      <c r="AF90" s="48">
        <f t="shared" si="48"/>
        <v>-0.29351686577587122</v>
      </c>
      <c r="AG90" s="110"/>
    </row>
    <row r="91" spans="5:33" x14ac:dyDescent="0.4">
      <c r="E91" s="107">
        <v>87</v>
      </c>
      <c r="F91" s="107">
        <v>8</v>
      </c>
      <c r="G91" s="141">
        <f t="shared" si="49"/>
        <v>43098401.773557268</v>
      </c>
      <c r="H91" s="141">
        <f t="shared" si="25"/>
        <v>1537668.1158701384</v>
      </c>
      <c r="I91" s="141">
        <f t="shared" si="26"/>
        <v>493835.85365534376</v>
      </c>
      <c r="J91" s="141">
        <f t="shared" si="27"/>
        <v>1043832.2622147946</v>
      </c>
      <c r="K91" s="108">
        <f t="shared" si="28"/>
        <v>42054569.511342473</v>
      </c>
      <c r="L91" s="108">
        <f t="shared" si="29"/>
        <v>45107956.495604426</v>
      </c>
      <c r="M91" s="108">
        <f t="shared" si="30"/>
        <v>71830.669622595509</v>
      </c>
      <c r="N91" s="108">
        <f t="shared" si="31"/>
        <v>12500</v>
      </c>
      <c r="O91" s="108">
        <f t="shared" si="32"/>
        <v>84330.669622595509</v>
      </c>
      <c r="P91" s="108">
        <f t="shared" si="33"/>
        <v>33732.267849038202</v>
      </c>
      <c r="Q91" s="100">
        <f t="shared" si="34"/>
        <v>1.3083333333333334E-2</v>
      </c>
      <c r="R91" s="100">
        <f>20%</f>
        <v>0.2</v>
      </c>
      <c r="S91" s="108">
        <f t="shared" si="35"/>
        <v>118032.48616349825</v>
      </c>
      <c r="T91" s="108">
        <f t="shared" si="36"/>
        <v>160358.78534187371</v>
      </c>
      <c r="U91" s="108">
        <f t="shared" si="37"/>
        <v>2865.3051600397357</v>
      </c>
      <c r="V91" s="108">
        <f t="shared" si="38"/>
        <v>4953.2006727793369</v>
      </c>
      <c r="W91" s="108">
        <f t="shared" si="39"/>
        <v>168177.2911746928</v>
      </c>
      <c r="X91" s="108">
        <f t="shared" si="40"/>
        <v>-67434.084389940952</v>
      </c>
      <c r="Y91" s="108">
        <f t="shared" si="41"/>
        <v>-18207.202785284058</v>
      </c>
      <c r="Z91" s="108">
        <f t="shared" si="42"/>
        <v>-49226.881604656897</v>
      </c>
      <c r="AA91" s="108">
        <f t="shared" si="43"/>
        <v>2012.9811714912398</v>
      </c>
      <c r="AB91" s="108">
        <f t="shared" si="44"/>
        <v>-51239.86277614814</v>
      </c>
      <c r="AC91" s="109">
        <f t="shared" si="45"/>
        <v>0.43299397412850565</v>
      </c>
      <c r="AD91" s="108">
        <f t="shared" si="46"/>
        <v>-21314.94309995382</v>
      </c>
      <c r="AE91" s="108">
        <f t="shared" si="47"/>
        <v>72819.753663897092</v>
      </c>
      <c r="AF91" s="48">
        <f t="shared" si="48"/>
        <v>-0.29270825603632106</v>
      </c>
      <c r="AG91" s="110"/>
    </row>
    <row r="92" spans="5:33" x14ac:dyDescent="0.4">
      <c r="E92" s="107">
        <v>88</v>
      </c>
      <c r="F92" s="107">
        <v>8</v>
      </c>
      <c r="G92" s="141">
        <f t="shared" si="49"/>
        <v>42054569.511342473</v>
      </c>
      <c r="H92" s="141">
        <f t="shared" si="25"/>
        <v>1537668.1158701384</v>
      </c>
      <c r="I92" s="141">
        <f t="shared" si="26"/>
        <v>481875.27565079922</v>
      </c>
      <c r="J92" s="141">
        <f t="shared" si="27"/>
        <v>1055792.8402193391</v>
      </c>
      <c r="K92" s="108">
        <f t="shared" si="28"/>
        <v>40998776.671123132</v>
      </c>
      <c r="L92" s="108">
        <f t="shared" si="29"/>
        <v>44015453.332260162</v>
      </c>
      <c r="M92" s="108">
        <f t="shared" si="30"/>
        <v>70090.949185570847</v>
      </c>
      <c r="N92" s="108">
        <f t="shared" si="31"/>
        <v>12500</v>
      </c>
      <c r="O92" s="108">
        <f t="shared" si="32"/>
        <v>82590.949185570847</v>
      </c>
      <c r="P92" s="108">
        <f t="shared" si="33"/>
        <v>33036.379674228338</v>
      </c>
      <c r="Q92" s="100">
        <f t="shared" si="34"/>
        <v>1.3083333333333334E-2</v>
      </c>
      <c r="R92" s="100">
        <f>20%</f>
        <v>0.2</v>
      </c>
      <c r="S92" s="108">
        <f t="shared" si="35"/>
        <v>115173.76955274743</v>
      </c>
      <c r="T92" s="108">
        <f t="shared" si="36"/>
        <v>156474.93659618485</v>
      </c>
      <c r="U92" s="108">
        <f t="shared" si="37"/>
        <v>2806.194637527085</v>
      </c>
      <c r="V92" s="108">
        <f t="shared" si="38"/>
        <v>4851.0173926312846</v>
      </c>
      <c r="W92" s="108">
        <f t="shared" si="39"/>
        <v>164132.1486263432</v>
      </c>
      <c r="X92" s="108">
        <f t="shared" si="40"/>
        <v>-65619.200041404925</v>
      </c>
      <c r="Y92" s="108">
        <f t="shared" si="41"/>
        <v>-17717.184011179332</v>
      </c>
      <c r="Z92" s="108">
        <f t="shared" si="42"/>
        <v>-47902.016030225597</v>
      </c>
      <c r="AA92" s="108">
        <f t="shared" si="43"/>
        <v>1964.5632446180593</v>
      </c>
      <c r="AB92" s="108">
        <f t="shared" si="44"/>
        <v>-49866.579274843658</v>
      </c>
      <c r="AC92" s="109">
        <f t="shared" si="45"/>
        <v>0.4288480927173286</v>
      </c>
      <c r="AD92" s="108">
        <f t="shared" si="46"/>
        <v>-20542.688211877146</v>
      </c>
      <c r="AE92" s="108">
        <f t="shared" si="47"/>
        <v>70387.758892004393</v>
      </c>
      <c r="AF92" s="48">
        <f t="shared" si="48"/>
        <v>-0.2918502952110707</v>
      </c>
      <c r="AG92" s="110"/>
    </row>
    <row r="93" spans="5:33" x14ac:dyDescent="0.4">
      <c r="E93" s="107">
        <v>89</v>
      </c>
      <c r="F93" s="107">
        <v>8</v>
      </c>
      <c r="G93" s="141">
        <f t="shared" si="49"/>
        <v>40998776.671123132</v>
      </c>
      <c r="H93" s="141">
        <f t="shared" si="25"/>
        <v>1537668.1158701384</v>
      </c>
      <c r="I93" s="141">
        <f t="shared" si="26"/>
        <v>469777.64935661928</v>
      </c>
      <c r="J93" s="141">
        <f t="shared" si="27"/>
        <v>1067890.4665135192</v>
      </c>
      <c r="K93" s="108">
        <f t="shared" si="28"/>
        <v>39930886.20460961</v>
      </c>
      <c r="L93" s="108">
        <f t="shared" si="29"/>
        <v>42910431.903502576</v>
      </c>
      <c r="M93" s="108">
        <f t="shared" si="30"/>
        <v>68331.294451871945</v>
      </c>
      <c r="N93" s="108">
        <f t="shared" si="31"/>
        <v>12500</v>
      </c>
      <c r="O93" s="108">
        <f t="shared" si="32"/>
        <v>80831.294451871945</v>
      </c>
      <c r="P93" s="108">
        <f t="shared" si="33"/>
        <v>32332.517780748778</v>
      </c>
      <c r="Q93" s="100">
        <f t="shared" si="34"/>
        <v>1.3083333333333334E-2</v>
      </c>
      <c r="R93" s="100">
        <f>20%</f>
        <v>0.2</v>
      </c>
      <c r="S93" s="108">
        <f t="shared" si="35"/>
        <v>112282.29681416508</v>
      </c>
      <c r="T93" s="108">
        <f t="shared" si="36"/>
        <v>152546.58541695165</v>
      </c>
      <c r="U93" s="108">
        <f t="shared" si="37"/>
        <v>2746.4068069439768</v>
      </c>
      <c r="V93" s="108">
        <f t="shared" si="38"/>
        <v>4747.6632623982023</v>
      </c>
      <c r="W93" s="108">
        <f t="shared" si="39"/>
        <v>160040.65548629384</v>
      </c>
      <c r="X93" s="108">
        <f t="shared" si="40"/>
        <v>-63783.520143041911</v>
      </c>
      <c r="Y93" s="108">
        <f t="shared" si="41"/>
        <v>-17221.550438621318</v>
      </c>
      <c r="Z93" s="108">
        <f t="shared" si="42"/>
        <v>-46561.969704420597</v>
      </c>
      <c r="AA93" s="108">
        <f t="shared" si="43"/>
        <v>1915.590528999458</v>
      </c>
      <c r="AB93" s="108">
        <f t="shared" si="44"/>
        <v>-48477.560233420052</v>
      </c>
      <c r="AC93" s="109">
        <f t="shared" si="45"/>
        <v>0.42474190777700938</v>
      </c>
      <c r="AD93" s="108">
        <f t="shared" si="46"/>
        <v>-19776.819842110919</v>
      </c>
      <c r="AE93" s="108">
        <f t="shared" si="47"/>
        <v>67975.973333131551</v>
      </c>
      <c r="AF93" s="48">
        <f t="shared" si="48"/>
        <v>-0.29093838414332318</v>
      </c>
      <c r="AG93" s="110"/>
    </row>
    <row r="94" spans="5:33" x14ac:dyDescent="0.4">
      <c r="E94" s="107">
        <v>90</v>
      </c>
      <c r="F94" s="107">
        <v>8</v>
      </c>
      <c r="G94" s="141">
        <f t="shared" si="49"/>
        <v>39930886.20460961</v>
      </c>
      <c r="H94" s="141">
        <f t="shared" si="25"/>
        <v>1537668.1158701384</v>
      </c>
      <c r="I94" s="141">
        <f t="shared" si="26"/>
        <v>457541.40442781849</v>
      </c>
      <c r="J94" s="141">
        <f t="shared" si="27"/>
        <v>1080126.7114423199</v>
      </c>
      <c r="K94" s="108">
        <f t="shared" si="28"/>
        <v>38850759.493167289</v>
      </c>
      <c r="L94" s="108">
        <f t="shared" si="29"/>
        <v>41792748.770873815</v>
      </c>
      <c r="M94" s="108">
        <f t="shared" si="30"/>
        <v>66551.477007682741</v>
      </c>
      <c r="N94" s="108">
        <f t="shared" si="31"/>
        <v>12500</v>
      </c>
      <c r="O94" s="108">
        <f t="shared" si="32"/>
        <v>79051.477007682741</v>
      </c>
      <c r="P94" s="108">
        <f t="shared" si="33"/>
        <v>31620.590803073097</v>
      </c>
      <c r="Q94" s="100">
        <f t="shared" si="34"/>
        <v>1.3083333333333334E-2</v>
      </c>
      <c r="R94" s="100">
        <f>20%</f>
        <v>0.2</v>
      </c>
      <c r="S94" s="108">
        <f t="shared" si="35"/>
        <v>109357.69261711983</v>
      </c>
      <c r="T94" s="108">
        <f t="shared" si="36"/>
        <v>148573.2218804564</v>
      </c>
      <c r="U94" s="108">
        <f t="shared" si="37"/>
        <v>2685.93390746877</v>
      </c>
      <c r="V94" s="108">
        <f t="shared" si="38"/>
        <v>4643.1248660895326</v>
      </c>
      <c r="W94" s="108">
        <f t="shared" si="39"/>
        <v>155902.2806540147</v>
      </c>
      <c r="X94" s="108">
        <f t="shared" si="40"/>
        <v>-61926.806412510181</v>
      </c>
      <c r="Y94" s="108">
        <f t="shared" si="41"/>
        <v>-16720.237731377751</v>
      </c>
      <c r="Z94" s="108">
        <f t="shared" si="42"/>
        <v>-45206.568681132427</v>
      </c>
      <c r="AA94" s="108">
        <f t="shared" si="43"/>
        <v>1866.0566676810597</v>
      </c>
      <c r="AB94" s="108">
        <f t="shared" si="44"/>
        <v>-47072.62534881349</v>
      </c>
      <c r="AC94" s="109">
        <f t="shared" si="45"/>
        <v>0.42067503921712979</v>
      </c>
      <c r="AD94" s="108">
        <f t="shared" si="46"/>
        <v>-19017.275052807254</v>
      </c>
      <c r="AE94" s="108">
        <f t="shared" si="47"/>
        <v>65584.198028167608</v>
      </c>
      <c r="AF94" s="48">
        <f t="shared" si="48"/>
        <v>-0.28996733397028912</v>
      </c>
      <c r="AG94" s="110"/>
    </row>
    <row r="95" spans="5:33" x14ac:dyDescent="0.4">
      <c r="E95" s="107">
        <v>91</v>
      </c>
      <c r="F95" s="107">
        <v>8</v>
      </c>
      <c r="G95" s="141">
        <f t="shared" si="49"/>
        <v>38850759.493167289</v>
      </c>
      <c r="H95" s="141">
        <f t="shared" si="25"/>
        <v>1537668.1158701384</v>
      </c>
      <c r="I95" s="141">
        <f t="shared" si="26"/>
        <v>445164.95252587524</v>
      </c>
      <c r="J95" s="141">
        <f t="shared" si="27"/>
        <v>1092503.1633442631</v>
      </c>
      <c r="K95" s="108">
        <f t="shared" si="28"/>
        <v>37758256.329823025</v>
      </c>
      <c r="L95" s="108">
        <f t="shared" si="29"/>
        <v>40662258.852350339</v>
      </c>
      <c r="M95" s="108">
        <f t="shared" si="30"/>
        <v>64751.265821945541</v>
      </c>
      <c r="N95" s="108">
        <f t="shared" si="31"/>
        <v>12500</v>
      </c>
      <c r="O95" s="108">
        <f t="shared" si="32"/>
        <v>77251.265821945533</v>
      </c>
      <c r="P95" s="108">
        <f t="shared" si="33"/>
        <v>30900.506328778214</v>
      </c>
      <c r="Q95" s="100">
        <f t="shared" si="34"/>
        <v>1.3083333333333334E-2</v>
      </c>
      <c r="R95" s="100">
        <f>20%</f>
        <v>0.2</v>
      </c>
      <c r="S95" s="108">
        <f t="shared" si="35"/>
        <v>106399.57733031674</v>
      </c>
      <c r="T95" s="108">
        <f t="shared" si="36"/>
        <v>144554.33022010545</v>
      </c>
      <c r="U95" s="108">
        <f t="shared" si="37"/>
        <v>2624.7680893537436</v>
      </c>
      <c r="V95" s="108">
        <f t="shared" si="38"/>
        <v>4537.3886339898263</v>
      </c>
      <c r="W95" s="108">
        <f t="shared" si="39"/>
        <v>151716.48694344901</v>
      </c>
      <c r="X95" s="108">
        <f t="shared" si="40"/>
        <v>-60048.817837149414</v>
      </c>
      <c r="Y95" s="108">
        <f t="shared" si="41"/>
        <v>-16213.180816030343</v>
      </c>
      <c r="Z95" s="108">
        <f t="shared" si="42"/>
        <v>-43835.637021119073</v>
      </c>
      <c r="AA95" s="108">
        <f t="shared" si="43"/>
        <v>1815.9552308683878</v>
      </c>
      <c r="AB95" s="108">
        <f t="shared" si="44"/>
        <v>-45651.592251987458</v>
      </c>
      <c r="AC95" s="109">
        <f t="shared" si="45"/>
        <v>0.41664711058660603</v>
      </c>
      <c r="AD95" s="108">
        <f t="shared" si="46"/>
        <v>-18263.991505572521</v>
      </c>
      <c r="AE95" s="108">
        <f t="shared" si="47"/>
        <v>63212.235913338569</v>
      </c>
      <c r="AF95" s="48">
        <f t="shared" si="48"/>
        <v>-0.28893126847485218</v>
      </c>
      <c r="AG95" s="110"/>
    </row>
    <row r="96" spans="5:33" x14ac:dyDescent="0.4">
      <c r="E96" s="107">
        <v>92</v>
      </c>
      <c r="F96" s="107">
        <v>8</v>
      </c>
      <c r="G96" s="141">
        <f t="shared" si="49"/>
        <v>37758256.329823025</v>
      </c>
      <c r="H96" s="141">
        <f t="shared" si="25"/>
        <v>1537668.1158701384</v>
      </c>
      <c r="I96" s="141">
        <f t="shared" si="26"/>
        <v>432646.68711255555</v>
      </c>
      <c r="J96" s="141">
        <f t="shared" si="27"/>
        <v>1105021.4287575828</v>
      </c>
      <c r="K96" s="108">
        <f t="shared" si="28"/>
        <v>36653234.901065439</v>
      </c>
      <c r="L96" s="108">
        <f t="shared" si="29"/>
        <v>39518815.403510459</v>
      </c>
      <c r="M96" s="108">
        <f t="shared" si="30"/>
        <v>62930.427216371761</v>
      </c>
      <c r="N96" s="108">
        <f t="shared" si="31"/>
        <v>12500</v>
      </c>
      <c r="O96" s="108">
        <f t="shared" si="32"/>
        <v>75430.427216371754</v>
      </c>
      <c r="P96" s="108">
        <f t="shared" si="33"/>
        <v>30172.170886548702</v>
      </c>
      <c r="Q96" s="100">
        <f t="shared" si="34"/>
        <v>1.3083333333333334E-2</v>
      </c>
      <c r="R96" s="100">
        <f>20%</f>
        <v>0.2</v>
      </c>
      <c r="S96" s="108">
        <f t="shared" si="35"/>
        <v>103407.56697251904</v>
      </c>
      <c r="T96" s="108">
        <f t="shared" si="36"/>
        <v>140489.38875947968</v>
      </c>
      <c r="U96" s="108">
        <f t="shared" si="37"/>
        <v>2562.9014129061493</v>
      </c>
      <c r="V96" s="108">
        <f t="shared" si="38"/>
        <v>4430.4408408973113</v>
      </c>
      <c r="W96" s="108">
        <f t="shared" si="39"/>
        <v>147482.73101328316</v>
      </c>
      <c r="X96" s="108">
        <f t="shared" si="40"/>
        <v>-58149.310642695986</v>
      </c>
      <c r="Y96" s="108">
        <f t="shared" si="41"/>
        <v>-15700.313873527917</v>
      </c>
      <c r="Z96" s="108">
        <f t="shared" si="42"/>
        <v>-42448.996769168065</v>
      </c>
      <c r="AA96" s="108">
        <f t="shared" si="43"/>
        <v>1765.2797150922383</v>
      </c>
      <c r="AB96" s="108">
        <f t="shared" si="44"/>
        <v>-44214.276484260306</v>
      </c>
      <c r="AC96" s="109">
        <f t="shared" si="45"/>
        <v>0.41265774903884245</v>
      </c>
      <c r="AD96" s="108">
        <f t="shared" si="46"/>
        <v>-17516.90745572199</v>
      </c>
      <c r="AE96" s="108">
        <f t="shared" si="47"/>
        <v>60859.891802042512</v>
      </c>
      <c r="AF96" s="48">
        <f t="shared" si="48"/>
        <v>-0.28782350636933118</v>
      </c>
      <c r="AG96" s="110"/>
    </row>
    <row r="97" spans="5:33" x14ac:dyDescent="0.4">
      <c r="E97" s="107">
        <v>93</v>
      </c>
      <c r="F97" s="107">
        <v>8</v>
      </c>
      <c r="G97" s="141">
        <f t="shared" si="49"/>
        <v>36653234.901065439</v>
      </c>
      <c r="H97" s="141">
        <f t="shared" si="25"/>
        <v>1537668.1158701384</v>
      </c>
      <c r="I97" s="141">
        <f t="shared" si="26"/>
        <v>419984.98324137484</v>
      </c>
      <c r="J97" s="141">
        <f t="shared" si="27"/>
        <v>1117683.1326287636</v>
      </c>
      <c r="K97" s="108">
        <f t="shared" si="28"/>
        <v>35535551.768436678</v>
      </c>
      <c r="L97" s="108">
        <f t="shared" si="29"/>
        <v>38362269.998485953</v>
      </c>
      <c r="M97" s="108">
        <f t="shared" si="30"/>
        <v>61088.724835109118</v>
      </c>
      <c r="N97" s="108">
        <f t="shared" si="31"/>
        <v>12500</v>
      </c>
      <c r="O97" s="108">
        <f t="shared" si="32"/>
        <v>73588.724835109111</v>
      </c>
      <c r="P97" s="108">
        <f t="shared" si="33"/>
        <v>29435.489934043646</v>
      </c>
      <c r="Q97" s="100">
        <f t="shared" si="34"/>
        <v>1.3083333333333334E-2</v>
      </c>
      <c r="R97" s="100">
        <f>20%</f>
        <v>0.2</v>
      </c>
      <c r="S97" s="108">
        <f t="shared" si="35"/>
        <v>100381.27316270492</v>
      </c>
      <c r="T97" s="108">
        <f t="shared" si="36"/>
        <v>136377.86984461755</v>
      </c>
      <c r="U97" s="108">
        <f t="shared" si="37"/>
        <v>2500.3258474575928</v>
      </c>
      <c r="V97" s="108">
        <f t="shared" si="38"/>
        <v>4322.2676043422771</v>
      </c>
      <c r="W97" s="108">
        <f t="shared" si="39"/>
        <v>143200.46329641744</v>
      </c>
      <c r="X97" s="108">
        <f t="shared" si="40"/>
        <v>-56228.038261639456</v>
      </c>
      <c r="Y97" s="108">
        <f t="shared" si="41"/>
        <v>-15181.570330642655</v>
      </c>
      <c r="Z97" s="108">
        <f t="shared" si="42"/>
        <v>-41046.467930996805</v>
      </c>
      <c r="AA97" s="108">
        <f t="shared" si="43"/>
        <v>1714.0235423644865</v>
      </c>
      <c r="AB97" s="108">
        <f t="shared" si="44"/>
        <v>-42760.49147336129</v>
      </c>
      <c r="AC97" s="109">
        <f t="shared" si="45"/>
        <v>0.40870658529721837</v>
      </c>
      <c r="AD97" s="108">
        <f t="shared" si="46"/>
        <v>-16775.961746589484</v>
      </c>
      <c r="AE97" s="108">
        <f t="shared" si="47"/>
        <v>58526.972366858419</v>
      </c>
      <c r="AF97" s="48">
        <f t="shared" si="48"/>
        <v>-0.28663641852912702</v>
      </c>
      <c r="AG97" s="110"/>
    </row>
    <row r="98" spans="5:33" x14ac:dyDescent="0.4">
      <c r="E98" s="107">
        <v>94</v>
      </c>
      <c r="F98" s="107">
        <v>8</v>
      </c>
      <c r="G98" s="141">
        <f t="shared" si="49"/>
        <v>35535551.768436678</v>
      </c>
      <c r="H98" s="141">
        <f t="shared" si="25"/>
        <v>1537668.1158701384</v>
      </c>
      <c r="I98" s="141">
        <f t="shared" si="26"/>
        <v>407178.19734667032</v>
      </c>
      <c r="J98" s="141">
        <f t="shared" si="27"/>
        <v>1130489.9185234681</v>
      </c>
      <c r="K98" s="108">
        <f t="shared" si="28"/>
        <v>34405061.84991321</v>
      </c>
      <c r="L98" s="108">
        <f t="shared" si="29"/>
        <v>37192472.510695539</v>
      </c>
      <c r="M98" s="108">
        <f t="shared" si="30"/>
        <v>59225.919614061182</v>
      </c>
      <c r="N98" s="108">
        <f t="shared" si="31"/>
        <v>12500</v>
      </c>
      <c r="O98" s="108">
        <f t="shared" si="32"/>
        <v>71725.919614061189</v>
      </c>
      <c r="P98" s="108">
        <f t="shared" si="33"/>
        <v>28690.367845624478</v>
      </c>
      <c r="Q98" s="100">
        <f t="shared" si="34"/>
        <v>1.3083333333333334E-2</v>
      </c>
      <c r="R98" s="100">
        <f>20%</f>
        <v>0.2</v>
      </c>
      <c r="S98" s="108">
        <f t="shared" si="35"/>
        <v>97320.303069653339</v>
      </c>
      <c r="T98" s="108">
        <f t="shared" si="36"/>
        <v>132219.23977552261</v>
      </c>
      <c r="U98" s="108">
        <f t="shared" si="37"/>
        <v>2437.0332703216054</v>
      </c>
      <c r="V98" s="108">
        <f t="shared" si="38"/>
        <v>4212.8548827850518</v>
      </c>
      <c r="W98" s="108">
        <f t="shared" si="39"/>
        <v>138869.12792862928</v>
      </c>
      <c r="X98" s="108">
        <f t="shared" si="40"/>
        <v>-54284.751301216631</v>
      </c>
      <c r="Y98" s="108">
        <f t="shared" si="41"/>
        <v>-14656.882851328492</v>
      </c>
      <c r="Z98" s="108">
        <f t="shared" si="42"/>
        <v>-39627.868449888141</v>
      </c>
      <c r="AA98" s="108">
        <f t="shared" si="43"/>
        <v>1662.180059324229</v>
      </c>
      <c r="AB98" s="108">
        <f t="shared" si="44"/>
        <v>-41290.048509212371</v>
      </c>
      <c r="AC98" s="109">
        <f t="shared" si="45"/>
        <v>0.40479325362090623</v>
      </c>
      <c r="AD98" s="108">
        <f t="shared" si="46"/>
        <v>-16041.093803891479</v>
      </c>
      <c r="AE98" s="108">
        <f t="shared" si="47"/>
        <v>56213.28612172771</v>
      </c>
      <c r="AF98" s="48">
        <f t="shared" si="48"/>
        <v>-0.28536125372843546</v>
      </c>
      <c r="AG98" s="110"/>
    </row>
    <row r="99" spans="5:33" x14ac:dyDescent="0.4">
      <c r="E99" s="107">
        <v>95</v>
      </c>
      <c r="F99" s="107">
        <v>8</v>
      </c>
      <c r="G99" s="141">
        <f t="shared" si="49"/>
        <v>34405061.84991321</v>
      </c>
      <c r="H99" s="141">
        <f t="shared" si="25"/>
        <v>1537668.1158701384</v>
      </c>
      <c r="I99" s="141">
        <f t="shared" si="26"/>
        <v>394224.66703025554</v>
      </c>
      <c r="J99" s="141">
        <f t="shared" si="27"/>
        <v>1143443.4488398829</v>
      </c>
      <c r="K99" s="108">
        <f t="shared" si="28"/>
        <v>33261618.401073325</v>
      </c>
      <c r="L99" s="108">
        <f t="shared" si="29"/>
        <v>36009271.093357526</v>
      </c>
      <c r="M99" s="108">
        <f t="shared" si="30"/>
        <v>57341.769749855397</v>
      </c>
      <c r="N99" s="108">
        <f t="shared" si="31"/>
        <v>12500</v>
      </c>
      <c r="O99" s="108">
        <f t="shared" si="32"/>
        <v>69841.76974985539</v>
      </c>
      <c r="P99" s="108">
        <f t="shared" si="33"/>
        <v>27936.707899942157</v>
      </c>
      <c r="Q99" s="100">
        <f t="shared" si="34"/>
        <v>1.3083333333333334E-2</v>
      </c>
      <c r="R99" s="100">
        <f>20%</f>
        <v>0.2</v>
      </c>
      <c r="S99" s="108">
        <f t="shared" si="35"/>
        <v>94224.259360952201</v>
      </c>
      <c r="T99" s="108">
        <f t="shared" si="36"/>
        <v>128012.95873688599</v>
      </c>
      <c r="U99" s="108">
        <f t="shared" si="37"/>
        <v>2373.0154657392673</v>
      </c>
      <c r="V99" s="108">
        <f t="shared" si="38"/>
        <v>4102.1884737933142</v>
      </c>
      <c r="W99" s="108">
        <f t="shared" si="39"/>
        <v>134488.16267641858</v>
      </c>
      <c r="X99" s="108">
        <f t="shared" si="40"/>
        <v>-52319.197511038969</v>
      </c>
      <c r="Y99" s="108">
        <f t="shared" si="41"/>
        <v>-14126.183327980523</v>
      </c>
      <c r="Z99" s="108">
        <f t="shared" si="42"/>
        <v>-38193.014183058447</v>
      </c>
      <c r="AA99" s="108">
        <f t="shared" si="43"/>
        <v>1609.7425363741354</v>
      </c>
      <c r="AB99" s="108">
        <f t="shared" si="44"/>
        <v>-39802.756719432582</v>
      </c>
      <c r="AC99" s="109">
        <f t="shared" si="45"/>
        <v>0.40091739177101676</v>
      </c>
      <c r="AD99" s="108">
        <f t="shared" si="46"/>
        <v>-15312.243630145244</v>
      </c>
      <c r="AE99" s="108">
        <f t="shared" si="47"/>
        <v>53918.643404305942</v>
      </c>
      <c r="AF99" s="48">
        <f t="shared" si="48"/>
        <v>-0.28398792446106697</v>
      </c>
      <c r="AG99" s="110"/>
    </row>
    <row r="100" spans="5:33" x14ac:dyDescent="0.4">
      <c r="E100" s="107">
        <v>96</v>
      </c>
      <c r="F100" s="107">
        <v>8</v>
      </c>
      <c r="G100" s="141">
        <f t="shared" si="49"/>
        <v>33261618.401073325</v>
      </c>
      <c r="H100" s="141">
        <f t="shared" si="25"/>
        <v>1537668.1158701384</v>
      </c>
      <c r="I100" s="141">
        <f t="shared" si="26"/>
        <v>381122.7108456319</v>
      </c>
      <c r="J100" s="141">
        <f t="shared" si="27"/>
        <v>1156545.4050245066</v>
      </c>
      <c r="K100" s="108">
        <f t="shared" si="28"/>
        <v>32105072.996048819</v>
      </c>
      <c r="L100" s="108">
        <f t="shared" si="29"/>
        <v>34812512.159779184</v>
      </c>
      <c r="M100" s="108">
        <f t="shared" si="30"/>
        <v>55436.030668455591</v>
      </c>
      <c r="N100" s="108">
        <f t="shared" si="31"/>
        <v>12500</v>
      </c>
      <c r="O100" s="108">
        <f t="shared" si="32"/>
        <v>67936.030668455584</v>
      </c>
      <c r="P100" s="108">
        <f t="shared" si="33"/>
        <v>27174.412267382235</v>
      </c>
      <c r="Q100" s="100">
        <f t="shared" si="34"/>
        <v>1.3083333333333334E-2</v>
      </c>
      <c r="R100" s="100">
        <f>20%</f>
        <v>0.2</v>
      </c>
      <c r="S100" s="108">
        <f t="shared" si="35"/>
        <v>91092.7401514222</v>
      </c>
      <c r="T100" s="108">
        <f t="shared" si="36"/>
        <v>123758.48072801498</v>
      </c>
      <c r="U100" s="108">
        <f t="shared" si="37"/>
        <v>2308.2641238127571</v>
      </c>
      <c r="V100" s="108">
        <f t="shared" si="38"/>
        <v>3990.2540121985471</v>
      </c>
      <c r="W100" s="108">
        <f t="shared" si="39"/>
        <v>130056.99886402629</v>
      </c>
      <c r="X100" s="108">
        <f t="shared" si="40"/>
        <v>-50331.121750348851</v>
      </c>
      <c r="Y100" s="108">
        <f t="shared" si="41"/>
        <v>-13589.402872594192</v>
      </c>
      <c r="Z100" s="108">
        <f t="shared" si="42"/>
        <v>-36741.718877754662</v>
      </c>
      <c r="AA100" s="108">
        <f t="shared" si="43"/>
        <v>1556.7041668069053</v>
      </c>
      <c r="AB100" s="108">
        <f t="shared" si="44"/>
        <v>-38298.423044561569</v>
      </c>
      <c r="AC100" s="109">
        <f t="shared" si="45"/>
        <v>0.39707864097706747</v>
      </c>
      <c r="AD100" s="108">
        <f t="shared" si="46"/>
        <v>-14589.351799140286</v>
      </c>
      <c r="AE100" s="108">
        <f t="shared" si="47"/>
        <v>51642.856358483565</v>
      </c>
      <c r="AF100" s="48">
        <f t="shared" si="48"/>
        <v>-0.28250474175686524</v>
      </c>
      <c r="AG100" s="110"/>
    </row>
    <row r="101" spans="5:33" x14ac:dyDescent="0.4">
      <c r="E101" s="107">
        <v>97</v>
      </c>
      <c r="F101" s="107">
        <v>9</v>
      </c>
      <c r="G101" s="141">
        <f t="shared" si="49"/>
        <v>32105072.996048819</v>
      </c>
      <c r="H101" s="141">
        <f t="shared" si="25"/>
        <v>1537668.1158701384</v>
      </c>
      <c r="I101" s="141">
        <f t="shared" si="26"/>
        <v>367870.62807972607</v>
      </c>
      <c r="J101" s="141">
        <f t="shared" si="27"/>
        <v>1169797.4877904123</v>
      </c>
      <c r="K101" s="108">
        <f t="shared" si="28"/>
        <v>30935275.508258406</v>
      </c>
      <c r="L101" s="108">
        <f t="shared" si="29"/>
        <v>33602040.363420255</v>
      </c>
      <c r="M101" s="108">
        <f t="shared" si="30"/>
        <v>53508.454993414751</v>
      </c>
      <c r="N101" s="108">
        <f t="shared" si="31"/>
        <v>12500</v>
      </c>
      <c r="O101" s="108">
        <f t="shared" si="32"/>
        <v>66008.454993414751</v>
      </c>
      <c r="P101" s="108">
        <f t="shared" si="33"/>
        <v>26403.381997365901</v>
      </c>
      <c r="Q101" s="100">
        <f t="shared" si="34"/>
        <v>1.3083333333333334E-2</v>
      </c>
      <c r="R101" s="100">
        <f>20%</f>
        <v>0.2</v>
      </c>
      <c r="S101" s="108">
        <f t="shared" si="35"/>
        <v>87925.338950949677</v>
      </c>
      <c r="T101" s="108">
        <f t="shared" si="36"/>
        <v>119455.253491959</v>
      </c>
      <c r="U101" s="108">
        <f t="shared" si="37"/>
        <v>2242.7708394266729</v>
      </c>
      <c r="V101" s="108">
        <f t="shared" si="38"/>
        <v>3877.0369682313408</v>
      </c>
      <c r="W101" s="108">
        <f t="shared" si="39"/>
        <v>125575.06129961701</v>
      </c>
      <c r="X101" s="108">
        <f t="shared" si="40"/>
        <v>-48320.265954900824</v>
      </c>
      <c r="Y101" s="108">
        <f t="shared" si="41"/>
        <v>-13046.471807823224</v>
      </c>
      <c r="Z101" s="108">
        <f t="shared" si="42"/>
        <v>-35273.794147077599</v>
      </c>
      <c r="AA101" s="108">
        <f t="shared" si="43"/>
        <v>1503.0580659217176</v>
      </c>
      <c r="AB101" s="108">
        <f t="shared" si="44"/>
        <v>-36776.852212999314</v>
      </c>
      <c r="AC101" s="109">
        <f t="shared" si="45"/>
        <v>0.39327664590377431</v>
      </c>
      <c r="AD101" s="108">
        <f t="shared" si="46"/>
        <v>-13872.359450462864</v>
      </c>
      <c r="AE101" s="108">
        <f t="shared" si="47"/>
        <v>49385.738917074232</v>
      </c>
      <c r="AF101" s="48">
        <f t="shared" si="48"/>
        <v>-0.28089808423756812</v>
      </c>
      <c r="AG101" s="110"/>
    </row>
    <row r="102" spans="5:33" x14ac:dyDescent="0.4">
      <c r="E102" s="107">
        <v>98</v>
      </c>
      <c r="F102" s="107">
        <v>9</v>
      </c>
      <c r="G102" s="141">
        <f t="shared" si="49"/>
        <v>30935275.508258406</v>
      </c>
      <c r="H102" s="141">
        <f t="shared" si="25"/>
        <v>1537668.1158701384</v>
      </c>
      <c r="I102" s="141">
        <f t="shared" si="26"/>
        <v>354466.6985321276</v>
      </c>
      <c r="J102" s="141">
        <f t="shared" si="27"/>
        <v>1183201.4173380109</v>
      </c>
      <c r="K102" s="108">
        <f t="shared" si="28"/>
        <v>29752074.090920396</v>
      </c>
      <c r="L102" s="108">
        <f t="shared" si="29"/>
        <v>32377698.577728052</v>
      </c>
      <c r="M102" s="108">
        <f t="shared" si="30"/>
        <v>51558.792513764056</v>
      </c>
      <c r="N102" s="108">
        <f t="shared" si="31"/>
        <v>12500</v>
      </c>
      <c r="O102" s="108">
        <f t="shared" si="32"/>
        <v>64058.792513764056</v>
      </c>
      <c r="P102" s="108">
        <f t="shared" si="33"/>
        <v>25623.517005505622</v>
      </c>
      <c r="Q102" s="100">
        <f t="shared" si="34"/>
        <v>1.3083333333333334E-2</v>
      </c>
      <c r="R102" s="100">
        <f>20%</f>
        <v>0.2</v>
      </c>
      <c r="S102" s="108">
        <f t="shared" si="35"/>
        <v>84721.644611721742</v>
      </c>
      <c r="T102" s="108">
        <f t="shared" si="36"/>
        <v>115102.71844382321</v>
      </c>
      <c r="U102" s="108">
        <f t="shared" si="37"/>
        <v>2176.5271111569973</v>
      </c>
      <c r="V102" s="108">
        <f t="shared" si="38"/>
        <v>3762.5226456353425</v>
      </c>
      <c r="W102" s="108">
        <f t="shared" si="39"/>
        <v>121041.76820061555</v>
      </c>
      <c r="X102" s="108">
        <f t="shared" si="40"/>
        <v>-46286.369103463308</v>
      </c>
      <c r="Y102" s="108">
        <f t="shared" si="41"/>
        <v>-12497.319657935093</v>
      </c>
      <c r="Z102" s="108">
        <f t="shared" si="42"/>
        <v>-33789.049445528217</v>
      </c>
      <c r="AA102" s="108">
        <f t="shared" si="43"/>
        <v>1448.7972701305537</v>
      </c>
      <c r="AB102" s="108">
        <f t="shared" si="44"/>
        <v>-35237.846715658772</v>
      </c>
      <c r="AC102" s="109">
        <f t="shared" si="45"/>
        <v>0.38951105461815838</v>
      </c>
      <c r="AD102" s="108">
        <f t="shared" si="46"/>
        <v>-13161.208284072796</v>
      </c>
      <c r="AE102" s="108">
        <f t="shared" si="47"/>
        <v>47147.106784668431</v>
      </c>
      <c r="AF102" s="48">
        <f t="shared" si="48"/>
        <v>-0.27915198156661086</v>
      </c>
      <c r="AG102" s="110"/>
    </row>
    <row r="103" spans="5:33" x14ac:dyDescent="0.4">
      <c r="E103" s="107">
        <v>99</v>
      </c>
      <c r="F103" s="107">
        <v>9</v>
      </c>
      <c r="G103" s="141">
        <f t="shared" si="49"/>
        <v>29752074.090920396</v>
      </c>
      <c r="H103" s="141">
        <f t="shared" si="25"/>
        <v>1537668.1158701384</v>
      </c>
      <c r="I103" s="141">
        <f t="shared" si="26"/>
        <v>340909.18229179626</v>
      </c>
      <c r="J103" s="141">
        <f t="shared" si="27"/>
        <v>1196758.9335783422</v>
      </c>
      <c r="K103" s="108">
        <f t="shared" si="28"/>
        <v>28555315.157342054</v>
      </c>
      <c r="L103" s="108">
        <f t="shared" si="29"/>
        <v>31139327.875741456</v>
      </c>
      <c r="M103" s="108">
        <f t="shared" si="30"/>
        <v>49586.790151534042</v>
      </c>
      <c r="N103" s="108">
        <f t="shared" si="31"/>
        <v>12500</v>
      </c>
      <c r="O103" s="108">
        <f t="shared" si="32"/>
        <v>62086.790151534042</v>
      </c>
      <c r="P103" s="108">
        <f t="shared" si="33"/>
        <v>24834.716060613617</v>
      </c>
      <c r="Q103" s="100">
        <f t="shared" si="34"/>
        <v>1.3083333333333334E-2</v>
      </c>
      <c r="R103" s="100">
        <f>20%</f>
        <v>0.2</v>
      </c>
      <c r="S103" s="108">
        <f t="shared" si="35"/>
        <v>81481.241274856817</v>
      </c>
      <c r="T103" s="108">
        <f t="shared" si="36"/>
        <v>110700.31059826087</v>
      </c>
      <c r="U103" s="108">
        <f t="shared" si="37"/>
        <v>2109.5243401675652</v>
      </c>
      <c r="V103" s="108">
        <f t="shared" si="38"/>
        <v>3646.6961797595991</v>
      </c>
      <c r="W103" s="108">
        <f t="shared" si="39"/>
        <v>116456.53111818804</v>
      </c>
      <c r="X103" s="108">
        <f t="shared" si="40"/>
        <v>-44229.167183936392</v>
      </c>
      <c r="Y103" s="108">
        <f t="shared" si="41"/>
        <v>-11941.875139662827</v>
      </c>
      <c r="Z103" s="108">
        <f t="shared" si="42"/>
        <v>-32287.292044273563</v>
      </c>
      <c r="AA103" s="108">
        <f t="shared" si="43"/>
        <v>1393.9147360542827</v>
      </c>
      <c r="AB103" s="108">
        <f t="shared" si="44"/>
        <v>-33681.206780327848</v>
      </c>
      <c r="AC103" s="109">
        <f t="shared" si="45"/>
        <v>0.38578151855697035</v>
      </c>
      <c r="AD103" s="108">
        <f t="shared" si="46"/>
        <v>-12455.840554932243</v>
      </c>
      <c r="AE103" s="108">
        <f t="shared" si="47"/>
        <v>44926.777420651655</v>
      </c>
      <c r="AF103" s="48">
        <f t="shared" si="48"/>
        <v>-0.27724758529434657</v>
      </c>
      <c r="AG103" s="110"/>
    </row>
    <row r="104" spans="5:33" x14ac:dyDescent="0.4">
      <c r="E104" s="107">
        <v>100</v>
      </c>
      <c r="F104" s="107">
        <v>9</v>
      </c>
      <c r="G104" s="141">
        <f t="shared" si="49"/>
        <v>28555315.157342054</v>
      </c>
      <c r="H104" s="141">
        <f t="shared" si="25"/>
        <v>1537668.1158701384</v>
      </c>
      <c r="I104" s="141">
        <f t="shared" si="26"/>
        <v>327196.31951121107</v>
      </c>
      <c r="J104" s="141">
        <f t="shared" si="27"/>
        <v>1210471.7963589274</v>
      </c>
      <c r="K104" s="108">
        <f t="shared" si="28"/>
        <v>27344843.360983126</v>
      </c>
      <c r="L104" s="108">
        <f t="shared" si="29"/>
        <v>29886767.509461261</v>
      </c>
      <c r="M104" s="108">
        <f t="shared" si="30"/>
        <v>47592.191928903463</v>
      </c>
      <c r="N104" s="108">
        <f t="shared" si="31"/>
        <v>12500</v>
      </c>
      <c r="O104" s="108">
        <f t="shared" si="32"/>
        <v>60092.191928903463</v>
      </c>
      <c r="P104" s="108">
        <f t="shared" si="33"/>
        <v>24036.876771561387</v>
      </c>
      <c r="Q104" s="100">
        <f t="shared" si="34"/>
        <v>1.3083333333333334E-2</v>
      </c>
      <c r="R104" s="100">
        <f>20%</f>
        <v>0.2</v>
      </c>
      <c r="S104" s="108">
        <f t="shared" si="35"/>
        <v>78203.708316423639</v>
      </c>
      <c r="T104" s="108">
        <f t="shared" si="36"/>
        <v>106247.45849613477</v>
      </c>
      <c r="U104" s="108">
        <f t="shared" si="37"/>
        <v>2041.7538290938792</v>
      </c>
      <c r="V104" s="108">
        <f t="shared" si="38"/>
        <v>3529.5425356290289</v>
      </c>
      <c r="W104" s="108">
        <f t="shared" si="39"/>
        <v>111818.75486085768</v>
      </c>
      <c r="X104" s="108">
        <f t="shared" si="40"/>
        <v>-42148.393159081563</v>
      </c>
      <c r="Y104" s="108">
        <f t="shared" si="41"/>
        <v>-11380.066152952022</v>
      </c>
      <c r="Z104" s="108">
        <f t="shared" si="42"/>
        <v>-30768.327006129541</v>
      </c>
      <c r="AA104" s="108">
        <f t="shared" si="43"/>
        <v>1338.4033396083876</v>
      </c>
      <c r="AB104" s="108">
        <f t="shared" si="44"/>
        <v>-32106.730345737928</v>
      </c>
      <c r="AC104" s="109">
        <f t="shared" si="45"/>
        <v>0.38208769249442504</v>
      </c>
      <c r="AD104" s="108">
        <f t="shared" si="46"/>
        <v>-11756.199067685937</v>
      </c>
      <c r="AE104" s="108">
        <f t="shared" si="47"/>
        <v>42724.570022384883</v>
      </c>
      <c r="AF104" s="48">
        <f t="shared" si="48"/>
        <v>-0.27516248990982139</v>
      </c>
      <c r="AG104" s="110"/>
    </row>
    <row r="105" spans="5:33" x14ac:dyDescent="0.4">
      <c r="E105" s="107">
        <v>101</v>
      </c>
      <c r="F105" s="107">
        <v>9</v>
      </c>
      <c r="G105" s="141">
        <f t="shared" si="49"/>
        <v>27344843.360983126</v>
      </c>
      <c r="H105" s="141">
        <f t="shared" si="25"/>
        <v>1537668.1158701384</v>
      </c>
      <c r="I105" s="141">
        <f t="shared" si="26"/>
        <v>313326.3301779317</v>
      </c>
      <c r="J105" s="141">
        <f t="shared" si="27"/>
        <v>1224341.7856922066</v>
      </c>
      <c r="K105" s="108">
        <f t="shared" si="28"/>
        <v>26120501.575290918</v>
      </c>
      <c r="L105" s="108">
        <f t="shared" si="29"/>
        <v>28619854.88898411</v>
      </c>
      <c r="M105" s="108">
        <f t="shared" si="30"/>
        <v>45574.738934971916</v>
      </c>
      <c r="N105" s="108">
        <f t="shared" si="31"/>
        <v>12500</v>
      </c>
      <c r="O105" s="108">
        <f t="shared" si="32"/>
        <v>58074.738934971916</v>
      </c>
      <c r="P105" s="108">
        <f t="shared" si="33"/>
        <v>23229.895573988768</v>
      </c>
      <c r="Q105" s="100">
        <f t="shared" si="34"/>
        <v>1.3083333333333334E-2</v>
      </c>
      <c r="R105" s="100">
        <f>20%</f>
        <v>0.2</v>
      </c>
      <c r="S105" s="108">
        <f t="shared" si="35"/>
        <v>74888.620292841762</v>
      </c>
      <c r="T105" s="108">
        <f t="shared" si="36"/>
        <v>101743.58413033851</v>
      </c>
      <c r="U105" s="108">
        <f t="shared" si="37"/>
        <v>1973.2067809141404</v>
      </c>
      <c r="V105" s="108">
        <f t="shared" si="38"/>
        <v>3411.046505992796</v>
      </c>
      <c r="W105" s="108">
        <f t="shared" si="39"/>
        <v>107127.83741724545</v>
      </c>
      <c r="X105" s="108">
        <f t="shared" si="40"/>
        <v>-40043.776931858614</v>
      </c>
      <c r="Y105" s="108">
        <f t="shared" si="41"/>
        <v>-10811.819771601826</v>
      </c>
      <c r="Z105" s="108">
        <f t="shared" si="42"/>
        <v>-29231.957160256788</v>
      </c>
      <c r="AA105" s="108">
        <f t="shared" si="43"/>
        <v>1282.2558750782171</v>
      </c>
      <c r="AB105" s="108">
        <f t="shared" si="44"/>
        <v>-30514.213035335004</v>
      </c>
      <c r="AC105" s="109">
        <f t="shared" si="45"/>
        <v>0.37842923451024524</v>
      </c>
      <c r="AD105" s="108">
        <f t="shared" si="46"/>
        <v>-11062.227171392258</v>
      </c>
      <c r="AE105" s="108">
        <f t="shared" si="47"/>
        <v>40540.305508546204</v>
      </c>
      <c r="AF105" s="48">
        <f t="shared" si="48"/>
        <v>-0.27286985217859933</v>
      </c>
      <c r="AG105" s="110"/>
    </row>
    <row r="106" spans="5:33" x14ac:dyDescent="0.4">
      <c r="E106" s="107">
        <v>102</v>
      </c>
      <c r="F106" s="107">
        <v>9</v>
      </c>
      <c r="G106" s="141">
        <f t="shared" si="49"/>
        <v>26120501.575290918</v>
      </c>
      <c r="H106" s="141">
        <f t="shared" si="25"/>
        <v>1537668.1158701384</v>
      </c>
      <c r="I106" s="141">
        <f t="shared" si="26"/>
        <v>299297.41388354177</v>
      </c>
      <c r="J106" s="141">
        <f t="shared" si="27"/>
        <v>1238370.7019865967</v>
      </c>
      <c r="K106" s="108">
        <f t="shared" si="28"/>
        <v>24882130.873304322</v>
      </c>
      <c r="L106" s="108">
        <f t="shared" si="29"/>
        <v>27338425.561397322</v>
      </c>
      <c r="M106" s="108">
        <f t="shared" si="30"/>
        <v>43534.169292151571</v>
      </c>
      <c r="N106" s="108">
        <f t="shared" si="31"/>
        <v>12500</v>
      </c>
      <c r="O106" s="108">
        <f t="shared" si="32"/>
        <v>56034.169292151571</v>
      </c>
      <c r="P106" s="108">
        <f t="shared" si="33"/>
        <v>22413.667716860629</v>
      </c>
      <c r="Q106" s="100">
        <f t="shared" si="34"/>
        <v>1.3083333333333334E-2</v>
      </c>
      <c r="R106" s="100">
        <f>20%</f>
        <v>0.2</v>
      </c>
      <c r="S106" s="108">
        <f t="shared" si="35"/>
        <v>71535.546885656324</v>
      </c>
      <c r="T106" s="108">
        <f t="shared" si="36"/>
        <v>97188.10287076747</v>
      </c>
      <c r="U106" s="108">
        <f t="shared" si="37"/>
        <v>1903.8742978073424</v>
      </c>
      <c r="V106" s="108">
        <f t="shared" si="38"/>
        <v>3291.192709350315</v>
      </c>
      <c r="W106" s="108">
        <f t="shared" si="39"/>
        <v>102383.16987792513</v>
      </c>
      <c r="X106" s="108">
        <f t="shared" si="40"/>
        <v>-37915.045310365385</v>
      </c>
      <c r="Y106" s="108">
        <f t="shared" si="41"/>
        <v>-10237.062233798655</v>
      </c>
      <c r="Z106" s="108">
        <f t="shared" si="42"/>
        <v>-27677.983076566728</v>
      </c>
      <c r="AA106" s="108">
        <f t="shared" si="43"/>
        <v>1225.4650541836377</v>
      </c>
      <c r="AB106" s="108">
        <f t="shared" si="44"/>
        <v>-28903.448130750367</v>
      </c>
      <c r="AC106" s="109">
        <f t="shared" si="45"/>
        <v>0.37480580595801255</v>
      </c>
      <c r="AD106" s="108">
        <f t="shared" si="46"/>
        <v>-10373.868754304824</v>
      </c>
      <c r="AE106" s="108">
        <f t="shared" si="47"/>
        <v>38373.806502631844</v>
      </c>
      <c r="AF106" s="48">
        <f t="shared" si="48"/>
        <v>-0.27033723520738917</v>
      </c>
      <c r="AG106" s="110"/>
    </row>
    <row r="107" spans="5:33" x14ac:dyDescent="0.4">
      <c r="E107" s="107">
        <v>103</v>
      </c>
      <c r="F107" s="107">
        <v>9</v>
      </c>
      <c r="G107" s="141">
        <f t="shared" si="49"/>
        <v>24882130.873304322</v>
      </c>
      <c r="H107" s="141">
        <f t="shared" si="25"/>
        <v>1537668.1158701384</v>
      </c>
      <c r="I107" s="141">
        <f t="shared" si="26"/>
        <v>285107.74958994536</v>
      </c>
      <c r="J107" s="141">
        <f t="shared" si="27"/>
        <v>1252560.366280193</v>
      </c>
      <c r="K107" s="108">
        <f t="shared" si="28"/>
        <v>23629570.507024128</v>
      </c>
      <c r="L107" s="108">
        <f t="shared" si="29"/>
        <v>26042313.189431936</v>
      </c>
      <c r="M107" s="108">
        <f t="shared" si="30"/>
        <v>41470.218122173908</v>
      </c>
      <c r="N107" s="108">
        <f t="shared" si="31"/>
        <v>12500</v>
      </c>
      <c r="O107" s="108">
        <f t="shared" si="32"/>
        <v>53970.218122173908</v>
      </c>
      <c r="P107" s="108">
        <f t="shared" si="33"/>
        <v>21588.087248869564</v>
      </c>
      <c r="Q107" s="100">
        <f t="shared" si="34"/>
        <v>1.3083333333333334E-2</v>
      </c>
      <c r="R107" s="100">
        <f>20%</f>
        <v>0.2</v>
      </c>
      <c r="S107" s="108">
        <f t="shared" si="35"/>
        <v>68144.052845680242</v>
      </c>
      <c r="T107" s="108">
        <f t="shared" si="36"/>
        <v>92580.423388430529</v>
      </c>
      <c r="U107" s="108">
        <f t="shared" si="37"/>
        <v>1833.7473799982788</v>
      </c>
      <c r="V107" s="108">
        <f t="shared" si="38"/>
        <v>3169.9655879546385</v>
      </c>
      <c r="W107" s="108">
        <f t="shared" si="39"/>
        <v>97584.136356383446</v>
      </c>
      <c r="X107" s="108">
        <f t="shared" si="40"/>
        <v>-35761.921972375902</v>
      </c>
      <c r="Y107" s="108">
        <f t="shared" si="41"/>
        <v>-9655.7189325414947</v>
      </c>
      <c r="Z107" s="108">
        <f t="shared" si="42"/>
        <v>-26106.203039834407</v>
      </c>
      <c r="AA107" s="108">
        <f t="shared" si="43"/>
        <v>1168.0235051329751</v>
      </c>
      <c r="AB107" s="108">
        <f t="shared" si="44"/>
        <v>-27274.226544967383</v>
      </c>
      <c r="AC107" s="109">
        <f t="shared" si="45"/>
        <v>0.37121707143381955</v>
      </c>
      <c r="AD107" s="108">
        <f t="shared" si="46"/>
        <v>-9691.0682387040051</v>
      </c>
      <c r="AE107" s="108">
        <f t="shared" si="47"/>
        <v>36224.897316615177</v>
      </c>
      <c r="AF107" s="48">
        <f t="shared" si="48"/>
        <v>-0.26752507133426789</v>
      </c>
      <c r="AG107" s="110"/>
    </row>
    <row r="108" spans="5:33" x14ac:dyDescent="0.4">
      <c r="E108" s="107">
        <v>104</v>
      </c>
      <c r="F108" s="107">
        <v>9</v>
      </c>
      <c r="G108" s="141">
        <f t="shared" si="49"/>
        <v>23629570.507024128</v>
      </c>
      <c r="H108" s="141">
        <f t="shared" si="25"/>
        <v>1537668.1158701384</v>
      </c>
      <c r="I108" s="141">
        <f t="shared" si="26"/>
        <v>270755.49539298483</v>
      </c>
      <c r="J108" s="141">
        <f t="shared" si="27"/>
        <v>1266912.6204771535</v>
      </c>
      <c r="K108" s="108">
        <f t="shared" si="28"/>
        <v>22362657.886546973</v>
      </c>
      <c r="L108" s="108">
        <f t="shared" si="29"/>
        <v>24731349.52987111</v>
      </c>
      <c r="M108" s="108">
        <f t="shared" si="30"/>
        <v>39382.617511706914</v>
      </c>
      <c r="N108" s="108">
        <f t="shared" si="31"/>
        <v>12500</v>
      </c>
      <c r="O108" s="108">
        <f t="shared" si="32"/>
        <v>51882.617511706914</v>
      </c>
      <c r="P108" s="108">
        <f t="shared" si="33"/>
        <v>20753.047004682769</v>
      </c>
      <c r="Q108" s="100">
        <f t="shared" si="34"/>
        <v>1.3083333333333334E-2</v>
      </c>
      <c r="R108" s="100">
        <f>20%</f>
        <v>0.2</v>
      </c>
      <c r="S108" s="108">
        <f t="shared" si="35"/>
        <v>64713.697936496079</v>
      </c>
      <c r="T108" s="108">
        <f t="shared" si="36"/>
        <v>87919.94757869179</v>
      </c>
      <c r="U108" s="108">
        <f t="shared" si="37"/>
        <v>1762.8169245893196</v>
      </c>
      <c r="V108" s="108">
        <f t="shared" si="38"/>
        <v>3047.3494057929697</v>
      </c>
      <c r="W108" s="108">
        <f t="shared" si="39"/>
        <v>92730.113909074076</v>
      </c>
      <c r="X108" s="108">
        <f t="shared" si="40"/>
        <v>-33584.127429471933</v>
      </c>
      <c r="Y108" s="108">
        <f t="shared" si="41"/>
        <v>-9067.7144059574221</v>
      </c>
      <c r="Z108" s="108">
        <f t="shared" si="42"/>
        <v>-24516.413023514513</v>
      </c>
      <c r="AA108" s="108">
        <f t="shared" si="43"/>
        <v>1109.9237716661064</v>
      </c>
      <c r="AB108" s="108">
        <f t="shared" si="44"/>
        <v>-25626.336795180621</v>
      </c>
      <c r="AC108" s="109">
        <f t="shared" si="45"/>
        <v>0.36766269874522345</v>
      </c>
      <c r="AD108" s="108">
        <f t="shared" si="46"/>
        <v>-9013.7705757778895</v>
      </c>
      <c r="AE108" s="108">
        <f t="shared" si="47"/>
        <v>34093.403934762158</v>
      </c>
      <c r="AF108" s="48">
        <f t="shared" si="48"/>
        <v>-0.26438458867368508</v>
      </c>
      <c r="AG108" s="110"/>
    </row>
    <row r="109" spans="5:33" x14ac:dyDescent="0.4">
      <c r="E109" s="107">
        <v>105</v>
      </c>
      <c r="F109" s="107">
        <v>9</v>
      </c>
      <c r="G109" s="141">
        <f t="shared" si="49"/>
        <v>22362657.886546973</v>
      </c>
      <c r="H109" s="141">
        <f t="shared" si="25"/>
        <v>1537668.1158701384</v>
      </c>
      <c r="I109" s="141">
        <f t="shared" si="26"/>
        <v>256238.78828335076</v>
      </c>
      <c r="J109" s="141">
        <f t="shared" si="27"/>
        <v>1281429.3275867878</v>
      </c>
      <c r="K109" s="108">
        <f t="shared" si="28"/>
        <v>21081228.558960184</v>
      </c>
      <c r="L109" s="108">
        <f t="shared" si="29"/>
        <v>23405364.411711153</v>
      </c>
      <c r="M109" s="108">
        <f t="shared" si="30"/>
        <v>37271.096477578321</v>
      </c>
      <c r="N109" s="108">
        <f t="shared" si="31"/>
        <v>12500</v>
      </c>
      <c r="O109" s="108">
        <f t="shared" si="32"/>
        <v>49771.096477578321</v>
      </c>
      <c r="P109" s="108">
        <f t="shared" si="33"/>
        <v>19908.438591031329</v>
      </c>
      <c r="Q109" s="100">
        <f t="shared" si="34"/>
        <v>1.3083333333333334E-2</v>
      </c>
      <c r="R109" s="100">
        <f>20%</f>
        <v>0.2</v>
      </c>
      <c r="S109" s="108">
        <f t="shared" si="35"/>
        <v>61244.036877310857</v>
      </c>
      <c r="T109" s="108">
        <f t="shared" si="36"/>
        <v>83206.070483633142</v>
      </c>
      <c r="U109" s="108">
        <f t="shared" si="37"/>
        <v>1691.0737243787994</v>
      </c>
      <c r="V109" s="108">
        <f t="shared" si="38"/>
        <v>2923.3282465440325</v>
      </c>
      <c r="W109" s="108">
        <f t="shared" si="39"/>
        <v>87820.472454555973</v>
      </c>
      <c r="X109" s="108">
        <f t="shared" si="40"/>
        <v>-31381.378990763864</v>
      </c>
      <c r="Y109" s="108">
        <f t="shared" si="41"/>
        <v>-8472.9723275062443</v>
      </c>
      <c r="Z109" s="108">
        <f t="shared" si="42"/>
        <v>-22908.406663257621</v>
      </c>
      <c r="AA109" s="108">
        <f t="shared" si="43"/>
        <v>1051.1583120865971</v>
      </c>
      <c r="AB109" s="108">
        <f t="shared" si="44"/>
        <v>-23959.564975344219</v>
      </c>
      <c r="AC109" s="109">
        <f t="shared" si="45"/>
        <v>0.3641423588804969</v>
      </c>
      <c r="AD109" s="108">
        <f t="shared" si="46"/>
        <v>-8341.9212405523231</v>
      </c>
      <c r="AE109" s="108">
        <f t="shared" si="47"/>
        <v>31979.153997601712</v>
      </c>
      <c r="AF109" s="48">
        <f t="shared" si="48"/>
        <v>-0.26085496949600129</v>
      </c>
      <c r="AG109" s="110"/>
    </row>
    <row r="110" spans="5:33" x14ac:dyDescent="0.4">
      <c r="E110" s="107">
        <v>106</v>
      </c>
      <c r="F110" s="107">
        <v>9</v>
      </c>
      <c r="G110" s="141">
        <f t="shared" si="49"/>
        <v>21081228.558960184</v>
      </c>
      <c r="H110" s="141">
        <f t="shared" si="25"/>
        <v>1537668.1158701384</v>
      </c>
      <c r="I110" s="141">
        <f t="shared" si="26"/>
        <v>241555.74390475213</v>
      </c>
      <c r="J110" s="141">
        <f t="shared" si="27"/>
        <v>1296112.3719653862</v>
      </c>
      <c r="K110" s="108">
        <f t="shared" si="28"/>
        <v>19785116.186994798</v>
      </c>
      <c r="L110" s="108">
        <f t="shared" si="29"/>
        <v>22064185.71407228</v>
      </c>
      <c r="M110" s="108">
        <f t="shared" si="30"/>
        <v>35135.380931600339</v>
      </c>
      <c r="N110" s="108">
        <f t="shared" si="31"/>
        <v>12500</v>
      </c>
      <c r="O110" s="108">
        <f t="shared" si="32"/>
        <v>47635.380931600339</v>
      </c>
      <c r="P110" s="108">
        <f t="shared" si="33"/>
        <v>19054.152372640136</v>
      </c>
      <c r="Q110" s="100">
        <f t="shared" si="34"/>
        <v>1.3083333333333334E-2</v>
      </c>
      <c r="R110" s="100">
        <f>20%</f>
        <v>0.2</v>
      </c>
      <c r="S110" s="108">
        <f t="shared" si="35"/>
        <v>57734.619285155801</v>
      </c>
      <c r="T110" s="108">
        <f t="shared" si="36"/>
        <v>78438.180213526954</v>
      </c>
      <c r="U110" s="108">
        <f t="shared" si="37"/>
        <v>1618.5084666658672</v>
      </c>
      <c r="V110" s="108">
        <f t="shared" si="38"/>
        <v>2797.8860115120337</v>
      </c>
      <c r="W110" s="108">
        <f t="shared" si="39"/>
        <v>82854.574691704853</v>
      </c>
      <c r="X110" s="108">
        <f t="shared" si="40"/>
        <v>-29153.390726195597</v>
      </c>
      <c r="Y110" s="108">
        <f t="shared" si="41"/>
        <v>-7871.4154960728119</v>
      </c>
      <c r="Z110" s="108">
        <f t="shared" si="42"/>
        <v>-21281.975230122785</v>
      </c>
      <c r="AA110" s="108">
        <f t="shared" si="43"/>
        <v>991.71949828273898</v>
      </c>
      <c r="AB110" s="108">
        <f t="shared" si="44"/>
        <v>-22273.694728405524</v>
      </c>
      <c r="AC110" s="109">
        <f t="shared" si="45"/>
        <v>0.36065572597817219</v>
      </c>
      <c r="AD110" s="108">
        <f t="shared" si="46"/>
        <v>-7675.466226869411</v>
      </c>
      <c r="AE110" s="108">
        <f t="shared" si="47"/>
        <v>29881.976786049505</v>
      </c>
      <c r="AF110" s="48">
        <f t="shared" si="48"/>
        <v>-0.25685938657353907</v>
      </c>
      <c r="AG110" s="110"/>
    </row>
    <row r="111" spans="5:33" x14ac:dyDescent="0.4">
      <c r="E111" s="107">
        <v>107</v>
      </c>
      <c r="F111" s="107">
        <v>9</v>
      </c>
      <c r="G111" s="141">
        <f t="shared" si="49"/>
        <v>19785116.186994798</v>
      </c>
      <c r="H111" s="141">
        <f t="shared" si="25"/>
        <v>1537668.1158701384</v>
      </c>
      <c r="I111" s="141">
        <f t="shared" si="26"/>
        <v>226704.45630931543</v>
      </c>
      <c r="J111" s="141">
        <f t="shared" si="27"/>
        <v>1310963.6595608229</v>
      </c>
      <c r="K111" s="108">
        <f t="shared" si="28"/>
        <v>18474152.527433977</v>
      </c>
      <c r="L111" s="108">
        <f t="shared" si="29"/>
        <v>20707639.343856294</v>
      </c>
      <c r="M111" s="108">
        <f t="shared" si="30"/>
        <v>32975.193644991356</v>
      </c>
      <c r="N111" s="108">
        <f t="shared" si="31"/>
        <v>12500</v>
      </c>
      <c r="O111" s="108">
        <f t="shared" si="32"/>
        <v>45475.193644991356</v>
      </c>
      <c r="P111" s="108">
        <f t="shared" si="33"/>
        <v>18190.077457996544</v>
      </c>
      <c r="Q111" s="100">
        <f t="shared" si="34"/>
        <v>1.3083333333333334E-2</v>
      </c>
      <c r="R111" s="100">
        <f>20%</f>
        <v>0.2</v>
      </c>
      <c r="S111" s="108">
        <f t="shared" si="35"/>
        <v>54184.989616423976</v>
      </c>
      <c r="T111" s="108">
        <f t="shared" si="36"/>
        <v>73615.657867409129</v>
      </c>
      <c r="U111" s="108">
        <f t="shared" si="37"/>
        <v>1545.1117320416408</v>
      </c>
      <c r="V111" s="108">
        <f t="shared" si="38"/>
        <v>2671.0064175369603</v>
      </c>
      <c r="W111" s="108">
        <f t="shared" si="39"/>
        <v>77831.776016987729</v>
      </c>
      <c r="X111" s="108">
        <f t="shared" si="40"/>
        <v>-26899.873429429164</v>
      </c>
      <c r="Y111" s="108">
        <f t="shared" si="41"/>
        <v>-7262.9658259458747</v>
      </c>
      <c r="Z111" s="108">
        <f t="shared" si="42"/>
        <v>-19636.907603483291</v>
      </c>
      <c r="AA111" s="108">
        <f t="shared" si="43"/>
        <v>931.59961473737849</v>
      </c>
      <c r="AB111" s="108">
        <f t="shared" si="44"/>
        <v>-20568.507218220668</v>
      </c>
      <c r="AC111" s="109">
        <f t="shared" si="45"/>
        <v>0.35720247729687832</v>
      </c>
      <c r="AD111" s="108">
        <f t="shared" si="46"/>
        <v>-7014.352042414137</v>
      </c>
      <c r="AE111" s="108">
        <f t="shared" si="47"/>
        <v>27801.703205683778</v>
      </c>
      <c r="AF111" s="48">
        <f t="shared" si="48"/>
        <v>-0.2522993641979504</v>
      </c>
      <c r="AG111" s="110"/>
    </row>
    <row r="112" spans="5:33" x14ac:dyDescent="0.4">
      <c r="E112" s="107">
        <v>108</v>
      </c>
      <c r="F112" s="107">
        <v>9</v>
      </c>
      <c r="G112" s="141">
        <f t="shared" si="49"/>
        <v>18474152.527433977</v>
      </c>
      <c r="H112" s="141">
        <f t="shared" si="25"/>
        <v>1537668.1158701384</v>
      </c>
      <c r="I112" s="141">
        <f t="shared" si="26"/>
        <v>211682.99771018099</v>
      </c>
      <c r="J112" s="141">
        <f t="shared" si="27"/>
        <v>1325985.1181599575</v>
      </c>
      <c r="K112" s="108">
        <f t="shared" si="28"/>
        <v>17148167.409274019</v>
      </c>
      <c r="L112" s="108">
        <f t="shared" si="29"/>
        <v>19335549.213148251</v>
      </c>
      <c r="M112" s="108">
        <f t="shared" si="30"/>
        <v>30790.254212389988</v>
      </c>
      <c r="N112" s="108">
        <f t="shared" si="31"/>
        <v>12500</v>
      </c>
      <c r="O112" s="108">
        <f t="shared" si="32"/>
        <v>43290.254212389991</v>
      </c>
      <c r="P112" s="108">
        <f t="shared" si="33"/>
        <v>17316.101684955996</v>
      </c>
      <c r="Q112" s="100">
        <f t="shared" si="34"/>
        <v>1.3083333333333334E-2</v>
      </c>
      <c r="R112" s="100">
        <f>20%</f>
        <v>0.2</v>
      </c>
      <c r="S112" s="108">
        <f t="shared" si="35"/>
        <v>50594.687107737926</v>
      </c>
      <c r="T112" s="108">
        <f t="shared" si="36"/>
        <v>68737.877452742032</v>
      </c>
      <c r="U112" s="108">
        <f t="shared" si="37"/>
        <v>1470.8739931665123</v>
      </c>
      <c r="V112" s="108">
        <f t="shared" si="38"/>
        <v>2542.6729948809234</v>
      </c>
      <c r="W112" s="108">
        <f t="shared" si="39"/>
        <v>72751.424440789473</v>
      </c>
      <c r="X112" s="108">
        <f t="shared" si="40"/>
        <v>-24620.534580303931</v>
      </c>
      <c r="Y112" s="108">
        <f t="shared" si="41"/>
        <v>-6647.5443366820618</v>
      </c>
      <c r="Z112" s="108">
        <f t="shared" si="42"/>
        <v>-17972.990243621869</v>
      </c>
      <c r="AA112" s="108">
        <f t="shared" si="43"/>
        <v>870.79085752639401</v>
      </c>
      <c r="AB112" s="108">
        <f t="shared" si="44"/>
        <v>-18843.781101148263</v>
      </c>
      <c r="AC112" s="109">
        <f t="shared" si="45"/>
        <v>0.35378229318546622</v>
      </c>
      <c r="AD112" s="108">
        <f t="shared" si="46"/>
        <v>-6358.5257037885558</v>
      </c>
      <c r="AE112" s="108">
        <f t="shared" si="47"/>
        <v>25738.165771171676</v>
      </c>
      <c r="AF112" s="48">
        <f t="shared" si="48"/>
        <v>-0.24704657512581937</v>
      </c>
      <c r="AG112" s="110"/>
    </row>
    <row r="113" spans="5:33" x14ac:dyDescent="0.4">
      <c r="E113" s="107">
        <v>109</v>
      </c>
      <c r="F113" s="107">
        <v>10</v>
      </c>
      <c r="G113" s="141">
        <f t="shared" si="49"/>
        <v>17148167.409274019</v>
      </c>
      <c r="H113" s="141">
        <f t="shared" si="25"/>
        <v>1537668.1158701384</v>
      </c>
      <c r="I113" s="141">
        <f t="shared" si="26"/>
        <v>196489.41823126483</v>
      </c>
      <c r="J113" s="141">
        <f t="shared" si="27"/>
        <v>1341178.6976388735</v>
      </c>
      <c r="K113" s="108">
        <f t="shared" si="28"/>
        <v>15806988.711635146</v>
      </c>
      <c r="L113" s="108">
        <f t="shared" si="29"/>
        <v>17947737.216359176</v>
      </c>
      <c r="M113" s="108">
        <f t="shared" si="30"/>
        <v>28580.279015456723</v>
      </c>
      <c r="N113" s="108">
        <f t="shared" si="31"/>
        <v>12500</v>
      </c>
      <c r="O113" s="108">
        <f t="shared" si="32"/>
        <v>41080.279015456719</v>
      </c>
      <c r="P113" s="108">
        <f t="shared" si="33"/>
        <v>16432.111606182687</v>
      </c>
      <c r="Q113" s="100">
        <f t="shared" si="34"/>
        <v>1.3083333333333334E-2</v>
      </c>
      <c r="R113" s="100">
        <f>20%</f>
        <v>0.2</v>
      </c>
      <c r="S113" s="108">
        <f t="shared" si="35"/>
        <v>46963.245716139849</v>
      </c>
      <c r="T113" s="108">
        <f t="shared" si="36"/>
        <v>63804.205804156867</v>
      </c>
      <c r="U113" s="108">
        <f t="shared" si="37"/>
        <v>1395.7856135334389</v>
      </c>
      <c r="V113" s="108">
        <f t="shared" si="38"/>
        <v>2412.8690850902849</v>
      </c>
      <c r="W113" s="108">
        <f t="shared" si="39"/>
        <v>67612.86050278059</v>
      </c>
      <c r="X113" s="108">
        <f t="shared" si="40"/>
        <v>-22315.078306865817</v>
      </c>
      <c r="Y113" s="108">
        <f t="shared" si="41"/>
        <v>-6025.0711428537707</v>
      </c>
      <c r="Z113" s="108">
        <f t="shared" si="42"/>
        <v>-16290.007164012046</v>
      </c>
      <c r="AA113" s="108">
        <f t="shared" si="43"/>
        <v>809.28533330570008</v>
      </c>
      <c r="AB113" s="108">
        <f t="shared" si="44"/>
        <v>-17099.292497317747</v>
      </c>
      <c r="AC113" s="109">
        <f t="shared" si="45"/>
        <v>0.35039485705341999</v>
      </c>
      <c r="AD113" s="108">
        <f t="shared" si="46"/>
        <v>-5707.9347316331887</v>
      </c>
      <c r="AE113" s="108">
        <f t="shared" si="47"/>
        <v>23691.198590844633</v>
      </c>
      <c r="AF113" s="48">
        <f t="shared" si="48"/>
        <v>-0.24093060170619637</v>
      </c>
      <c r="AG113" s="110"/>
    </row>
    <row r="114" spans="5:33" x14ac:dyDescent="0.4">
      <c r="E114" s="107">
        <v>110</v>
      </c>
      <c r="F114" s="107">
        <v>10</v>
      </c>
      <c r="G114" s="141">
        <f t="shared" si="49"/>
        <v>15806988.711635146</v>
      </c>
      <c r="H114" s="141">
        <f t="shared" si="25"/>
        <v>1537668.1158701384</v>
      </c>
      <c r="I114" s="141">
        <f t="shared" si="26"/>
        <v>181121.74565415274</v>
      </c>
      <c r="J114" s="141">
        <f t="shared" si="27"/>
        <v>1356546.3702159857</v>
      </c>
      <c r="K114" s="108">
        <f t="shared" si="28"/>
        <v>14450442.34141916</v>
      </c>
      <c r="L114" s="108">
        <f t="shared" si="29"/>
        <v>16544023.207106896</v>
      </c>
      <c r="M114" s="108">
        <f t="shared" si="30"/>
        <v>26344.981186058601</v>
      </c>
      <c r="N114" s="108">
        <f t="shared" si="31"/>
        <v>12500</v>
      </c>
      <c r="O114" s="108">
        <f t="shared" si="32"/>
        <v>38844.981186058605</v>
      </c>
      <c r="P114" s="108">
        <f t="shared" si="33"/>
        <v>15537.992474423443</v>
      </c>
      <c r="Q114" s="100">
        <f t="shared" si="34"/>
        <v>1.3083333333333334E-2</v>
      </c>
      <c r="R114" s="100">
        <f>20%</f>
        <v>0.2</v>
      </c>
      <c r="S114" s="108">
        <f t="shared" si="35"/>
        <v>43290.194058596382</v>
      </c>
      <c r="T114" s="108">
        <f t="shared" si="36"/>
        <v>58814.002501265008</v>
      </c>
      <c r="U114" s="108">
        <f t="shared" si="37"/>
        <v>1319.8368462170706</v>
      </c>
      <c r="V114" s="108">
        <f t="shared" si="38"/>
        <v>2281.577838833296</v>
      </c>
      <c r="W114" s="108">
        <f t="shared" si="39"/>
        <v>62415.417186315375</v>
      </c>
      <c r="X114" s="108">
        <f t="shared" si="40"/>
        <v>-19983.205346961222</v>
      </c>
      <c r="Y114" s="108">
        <f t="shared" si="41"/>
        <v>-5395.4654436795299</v>
      </c>
      <c r="Z114" s="108">
        <f t="shared" si="42"/>
        <v>-14587.739903281692</v>
      </c>
      <c r="AA114" s="108">
        <f t="shared" si="43"/>
        <v>747.07505828664432</v>
      </c>
      <c r="AB114" s="108">
        <f t="shared" si="44"/>
        <v>-15334.814961568336</v>
      </c>
      <c r="AC114" s="109">
        <f t="shared" si="45"/>
        <v>0.34703985534155174</v>
      </c>
      <c r="AD114" s="108">
        <f t="shared" si="46"/>
        <v>-5062.5271457950603</v>
      </c>
      <c r="AE114" s="108">
        <f t="shared" si="47"/>
        <v>21660.63735142149</v>
      </c>
      <c r="AF114" s="48">
        <f t="shared" si="48"/>
        <v>-0.23372013776237427</v>
      </c>
      <c r="AG114" s="110"/>
    </row>
    <row r="115" spans="5:33" x14ac:dyDescent="0.4">
      <c r="E115" s="107">
        <v>111</v>
      </c>
      <c r="F115" s="107">
        <v>10</v>
      </c>
      <c r="G115" s="141">
        <f t="shared" si="49"/>
        <v>14450442.34141916</v>
      </c>
      <c r="H115" s="141">
        <f t="shared" si="25"/>
        <v>1537668.1158701384</v>
      </c>
      <c r="I115" s="141">
        <f t="shared" si="26"/>
        <v>165577.98516209456</v>
      </c>
      <c r="J115" s="141">
        <f t="shared" si="27"/>
        <v>1372090.1307080439</v>
      </c>
      <c r="K115" s="108">
        <f t="shared" si="28"/>
        <v>13078352.210711116</v>
      </c>
      <c r="L115" s="108">
        <f t="shared" si="29"/>
        <v>15124224.974831931</v>
      </c>
      <c r="M115" s="108">
        <f t="shared" si="30"/>
        <v>24084.070569031956</v>
      </c>
      <c r="N115" s="108">
        <f t="shared" si="31"/>
        <v>12500</v>
      </c>
      <c r="O115" s="108">
        <f t="shared" si="32"/>
        <v>36584.070569031959</v>
      </c>
      <c r="P115" s="108">
        <f t="shared" si="33"/>
        <v>14633.628227612784</v>
      </c>
      <c r="Q115" s="100">
        <f t="shared" si="34"/>
        <v>1.3083333333333334E-2</v>
      </c>
      <c r="R115" s="100">
        <f>20%</f>
        <v>0.2</v>
      </c>
      <c r="S115" s="108">
        <f t="shared" si="35"/>
        <v>39575.055350810224</v>
      </c>
      <c r="T115" s="108">
        <f t="shared" si="36"/>
        <v>53766.61978552751</v>
      </c>
      <c r="U115" s="108">
        <f t="shared" si="37"/>
        <v>1243.0178326085352</v>
      </c>
      <c r="V115" s="108">
        <f t="shared" si="38"/>
        <v>2148.7822137129456</v>
      </c>
      <c r="W115" s="108">
        <f t="shared" si="39"/>
        <v>57158.419831848994</v>
      </c>
      <c r="X115" s="108">
        <f t="shared" si="40"/>
        <v>-17624.613009391047</v>
      </c>
      <c r="Y115" s="108">
        <f t="shared" si="41"/>
        <v>-4758.6455125355833</v>
      </c>
      <c r="Z115" s="108">
        <f t="shared" si="42"/>
        <v>-12865.967496855465</v>
      </c>
      <c r="AA115" s="108">
        <f t="shared" si="43"/>
        <v>684.15195719966187</v>
      </c>
      <c r="AB115" s="108">
        <f t="shared" si="44"/>
        <v>-13550.119454055126</v>
      </c>
      <c r="AC115" s="109">
        <f t="shared" si="45"/>
        <v>0.34371697749297681</v>
      </c>
      <c r="AD115" s="108">
        <f t="shared" si="46"/>
        <v>-4422.2514605420411</v>
      </c>
      <c r="AE115" s="108">
        <f t="shared" si="47"/>
        <v>19646.31930287776</v>
      </c>
      <c r="AF115" s="48">
        <f t="shared" si="48"/>
        <v>-0.22509312774399817</v>
      </c>
      <c r="AG115" s="110"/>
    </row>
    <row r="116" spans="5:33" x14ac:dyDescent="0.4">
      <c r="E116" s="107">
        <v>112</v>
      </c>
      <c r="F116" s="107">
        <v>10</v>
      </c>
      <c r="G116" s="141">
        <f t="shared" si="49"/>
        <v>13078352.210711116</v>
      </c>
      <c r="H116" s="141">
        <f t="shared" si="25"/>
        <v>1537668.1158701384</v>
      </c>
      <c r="I116" s="141">
        <f t="shared" si="26"/>
        <v>149856.11908106488</v>
      </c>
      <c r="J116" s="141">
        <f t="shared" si="27"/>
        <v>1387811.9967890736</v>
      </c>
      <c r="K116" s="108">
        <f t="shared" si="28"/>
        <v>11690540.213922042</v>
      </c>
      <c r="L116" s="108">
        <f t="shared" si="29"/>
        <v>13688158.221145483</v>
      </c>
      <c r="M116" s="108">
        <f t="shared" si="30"/>
        <v>21797.253684518546</v>
      </c>
      <c r="N116" s="108">
        <f t="shared" si="31"/>
        <v>12500</v>
      </c>
      <c r="O116" s="108">
        <f t="shared" si="32"/>
        <v>34297.253684518546</v>
      </c>
      <c r="P116" s="108">
        <f t="shared" si="33"/>
        <v>13718.901473807418</v>
      </c>
      <c r="Q116" s="100">
        <f t="shared" si="34"/>
        <v>1.3083333333333334E-2</v>
      </c>
      <c r="R116" s="100">
        <f>20%</f>
        <v>0.2</v>
      </c>
      <c r="S116" s="108">
        <f t="shared" si="35"/>
        <v>35817.34734533068</v>
      </c>
      <c r="T116" s="108">
        <f t="shared" si="36"/>
        <v>48661.402476172188</v>
      </c>
      <c r="U116" s="108">
        <f t="shared" si="37"/>
        <v>1165.318601135735</v>
      </c>
      <c r="V116" s="108">
        <f t="shared" si="38"/>
        <v>2014.4649720547575</v>
      </c>
      <c r="W116" s="108">
        <f t="shared" si="39"/>
        <v>51841.186049362681</v>
      </c>
      <c r="X116" s="108">
        <f t="shared" si="40"/>
        <v>-15238.995134619552</v>
      </c>
      <c r="Y116" s="108">
        <f t="shared" si="41"/>
        <v>-4114.5286863472793</v>
      </c>
      <c r="Z116" s="108">
        <f t="shared" si="42"/>
        <v>-11124.466448272273</v>
      </c>
      <c r="AA116" s="108">
        <f t="shared" si="43"/>
        <v>620.50786224605758</v>
      </c>
      <c r="AB116" s="108">
        <f t="shared" si="44"/>
        <v>-11744.97431051833</v>
      </c>
      <c r="AC116" s="109">
        <f t="shared" si="45"/>
        <v>0.34042591592436666</v>
      </c>
      <c r="AD116" s="108">
        <f t="shared" si="46"/>
        <v>-3787.0566798229747</v>
      </c>
      <c r="AE116" s="108">
        <f t="shared" si="47"/>
        <v>17648.083243459791</v>
      </c>
      <c r="AF116" s="48">
        <f t="shared" si="48"/>
        <v>-0.2145874216241824</v>
      </c>
      <c r="AG116" s="110"/>
    </row>
    <row r="117" spans="5:33" x14ac:dyDescent="0.4">
      <c r="E117" s="107">
        <v>113</v>
      </c>
      <c r="F117" s="107">
        <v>10</v>
      </c>
      <c r="G117" s="141">
        <f t="shared" si="49"/>
        <v>11690540.213922042</v>
      </c>
      <c r="H117" s="141">
        <f t="shared" si="25"/>
        <v>1537668.1158701384</v>
      </c>
      <c r="I117" s="141">
        <f t="shared" si="26"/>
        <v>133954.10661785674</v>
      </c>
      <c r="J117" s="141">
        <f t="shared" si="27"/>
        <v>1403714.0092522816</v>
      </c>
      <c r="K117" s="108">
        <f t="shared" si="28"/>
        <v>10286826.204669761</v>
      </c>
      <c r="L117" s="108">
        <f t="shared" si="29"/>
        <v>12235636.535906378</v>
      </c>
      <c r="M117" s="108">
        <f t="shared" si="30"/>
        <v>19484.233689870089</v>
      </c>
      <c r="N117" s="108">
        <f t="shared" si="31"/>
        <v>12500</v>
      </c>
      <c r="O117" s="108">
        <f t="shared" si="32"/>
        <v>31984.233689870089</v>
      </c>
      <c r="P117" s="108">
        <f t="shared" si="33"/>
        <v>12793.693475948035</v>
      </c>
      <c r="Q117" s="100">
        <f t="shared" si="34"/>
        <v>1.3083333333333334E-2</v>
      </c>
      <c r="R117" s="100">
        <f>20%</f>
        <v>0.2</v>
      </c>
      <c r="S117" s="108">
        <f t="shared" si="35"/>
        <v>32016.582268955026</v>
      </c>
      <c r="T117" s="108">
        <f t="shared" si="36"/>
        <v>43497.68788514717</v>
      </c>
      <c r="U117" s="108">
        <f t="shared" si="37"/>
        <v>1086.7290659689761</v>
      </c>
      <c r="V117" s="108">
        <f t="shared" si="38"/>
        <v>1878.6086786692363</v>
      </c>
      <c r="W117" s="108">
        <f t="shared" si="39"/>
        <v>46463.025629785385</v>
      </c>
      <c r="X117" s="108">
        <f t="shared" si="40"/>
        <v>-12826.042055032973</v>
      </c>
      <c r="Y117" s="108">
        <f t="shared" si="41"/>
        <v>-3463.0313548589029</v>
      </c>
      <c r="Z117" s="108">
        <f t="shared" si="42"/>
        <v>-9363.0107001740689</v>
      </c>
      <c r="AA117" s="108">
        <f t="shared" si="43"/>
        <v>556.13451203777674</v>
      </c>
      <c r="AB117" s="108">
        <f t="shared" si="44"/>
        <v>-9919.1452122118462</v>
      </c>
      <c r="AC117" s="109">
        <f t="shared" si="45"/>
        <v>0.33716636599747812</v>
      </c>
      <c r="AD117" s="108">
        <f t="shared" si="46"/>
        <v>-3156.892292573194</v>
      </c>
      <c r="AE117" s="108">
        <f t="shared" si="47"/>
        <v>15665.769504842425</v>
      </c>
      <c r="AF117" s="48">
        <f t="shared" si="48"/>
        <v>-0.20151530326023059</v>
      </c>
      <c r="AG117" s="110"/>
    </row>
    <row r="118" spans="5:33" x14ac:dyDescent="0.4">
      <c r="E118" s="107">
        <v>114</v>
      </c>
      <c r="F118" s="107">
        <v>10</v>
      </c>
      <c r="G118" s="141">
        <f t="shared" si="49"/>
        <v>10286826.204669761</v>
      </c>
      <c r="H118" s="141">
        <f t="shared" si="25"/>
        <v>1537668.1158701384</v>
      </c>
      <c r="I118" s="141">
        <f t="shared" si="26"/>
        <v>117869.88359517435</v>
      </c>
      <c r="J118" s="141">
        <f t="shared" si="27"/>
        <v>1419798.232274964</v>
      </c>
      <c r="K118" s="108">
        <f t="shared" si="28"/>
        <v>8867027.9723947961</v>
      </c>
      <c r="L118" s="108">
        <f t="shared" si="29"/>
        <v>10766471.373023909</v>
      </c>
      <c r="M118" s="108">
        <f t="shared" si="30"/>
        <v>17144.710341116283</v>
      </c>
      <c r="N118" s="108">
        <f t="shared" si="31"/>
        <v>12500</v>
      </c>
      <c r="O118" s="108">
        <f t="shared" si="32"/>
        <v>29644.710341116283</v>
      </c>
      <c r="P118" s="108">
        <f t="shared" si="33"/>
        <v>11857.884136446513</v>
      </c>
      <c r="Q118" s="100">
        <f t="shared" si="34"/>
        <v>1.3083333333333334E-2</v>
      </c>
      <c r="R118" s="100">
        <f>20%</f>
        <v>0.2</v>
      </c>
      <c r="S118" s="108">
        <f t="shared" si="35"/>
        <v>28172.266759412563</v>
      </c>
      <c r="T118" s="108">
        <f t="shared" si="36"/>
        <v>38274.805731099987</v>
      </c>
      <c r="U118" s="108">
        <f t="shared" si="37"/>
        <v>1007.2390257117645</v>
      </c>
      <c r="V118" s="108">
        <f t="shared" si="38"/>
        <v>1741.1956985886725</v>
      </c>
      <c r="W118" s="108">
        <f t="shared" si="39"/>
        <v>41023.240455400424</v>
      </c>
      <c r="X118" s="108">
        <f t="shared" si="40"/>
        <v>-10385.440554742792</v>
      </c>
      <c r="Y118" s="108">
        <f t="shared" si="41"/>
        <v>-2804.0689497805542</v>
      </c>
      <c r="Z118" s="108">
        <f t="shared" si="42"/>
        <v>-7581.3716049622381</v>
      </c>
      <c r="AA118" s="108">
        <f t="shared" si="43"/>
        <v>491.02355052502594</v>
      </c>
      <c r="AB118" s="108">
        <f t="shared" si="44"/>
        <v>-8072.3951554872638</v>
      </c>
      <c r="AC118" s="109">
        <f t="shared" si="45"/>
        <v>0.33393802599095379</v>
      </c>
      <c r="AD118" s="108">
        <f t="shared" si="46"/>
        <v>-2531.7082680649587</v>
      </c>
      <c r="AE118" s="108">
        <f t="shared" si="47"/>
        <v>13699.219937428654</v>
      </c>
      <c r="AF118" s="48">
        <f t="shared" si="48"/>
        <v>-0.18480674663437524</v>
      </c>
      <c r="AG118" s="110"/>
    </row>
    <row r="119" spans="5:33" x14ac:dyDescent="0.4">
      <c r="E119" s="107">
        <v>115</v>
      </c>
      <c r="F119" s="107">
        <v>10</v>
      </c>
      <c r="G119" s="141">
        <f t="shared" si="49"/>
        <v>8867027.9723947961</v>
      </c>
      <c r="H119" s="141">
        <f t="shared" si="25"/>
        <v>1537668.1158701384</v>
      </c>
      <c r="I119" s="141">
        <f t="shared" si="26"/>
        <v>101601.36218369038</v>
      </c>
      <c r="J119" s="141">
        <f t="shared" si="27"/>
        <v>1436066.7536864481</v>
      </c>
      <c r="K119" s="108">
        <f t="shared" si="28"/>
        <v>7430961.2187083475</v>
      </c>
      <c r="L119" s="108">
        <f t="shared" si="29"/>
        <v>9280472.02598341</v>
      </c>
      <c r="M119" s="108">
        <f t="shared" si="30"/>
        <v>14778.37995399134</v>
      </c>
      <c r="N119" s="108">
        <f t="shared" si="31"/>
        <v>12500</v>
      </c>
      <c r="O119" s="108">
        <f t="shared" si="32"/>
        <v>27278.379953991338</v>
      </c>
      <c r="P119" s="108">
        <f t="shared" si="33"/>
        <v>10911.351981596536</v>
      </c>
      <c r="Q119" s="100">
        <f t="shared" si="34"/>
        <v>1.3083333333333334E-2</v>
      </c>
      <c r="R119" s="100">
        <f>20%</f>
        <v>0.2</v>
      </c>
      <c r="S119" s="108">
        <f t="shared" si="35"/>
        <v>24283.901801323256</v>
      </c>
      <c r="T119" s="108">
        <f t="shared" si="36"/>
        <v>32992.07805237102</v>
      </c>
      <c r="U119" s="108">
        <f t="shared" si="37"/>
        <v>926.83816207660573</v>
      </c>
      <c r="V119" s="108">
        <f t="shared" si="38"/>
        <v>1602.2081947780189</v>
      </c>
      <c r="W119" s="108">
        <f t="shared" si="39"/>
        <v>35521.124409225646</v>
      </c>
      <c r="X119" s="108">
        <f t="shared" si="40"/>
        <v>-7916.8738289284538</v>
      </c>
      <c r="Y119" s="108">
        <f t="shared" si="41"/>
        <v>-2137.5559338106827</v>
      </c>
      <c r="Z119" s="108">
        <f t="shared" si="42"/>
        <v>-5779.3178951177706</v>
      </c>
      <c r="AA119" s="108">
        <f t="shared" si="43"/>
        <v>425.16652591160823</v>
      </c>
      <c r="AB119" s="108">
        <f t="shared" si="44"/>
        <v>-6204.4844210293786</v>
      </c>
      <c r="AC119" s="109">
        <f t="shared" si="45"/>
        <v>0.33074059707239306</v>
      </c>
      <c r="AD119" s="108">
        <f t="shared" si="46"/>
        <v>-1911.4550513024174</v>
      </c>
      <c r="AE119" s="108">
        <f t="shared" si="47"/>
        <v>11748.277895790045</v>
      </c>
      <c r="AF119" s="48">
        <f t="shared" si="48"/>
        <v>-0.16270087141770631</v>
      </c>
      <c r="AG119" s="110"/>
    </row>
    <row r="120" spans="5:33" x14ac:dyDescent="0.4">
      <c r="E120" s="107">
        <v>116</v>
      </c>
      <c r="F120" s="107">
        <v>10</v>
      </c>
      <c r="G120" s="141">
        <f t="shared" si="49"/>
        <v>7430961.2187083475</v>
      </c>
      <c r="H120" s="141">
        <f t="shared" si="25"/>
        <v>1537668.1158701384</v>
      </c>
      <c r="I120" s="141">
        <f t="shared" si="26"/>
        <v>85146.430631033159</v>
      </c>
      <c r="J120" s="141">
        <f t="shared" si="27"/>
        <v>1452521.6852391053</v>
      </c>
      <c r="K120" s="108">
        <f t="shared" si="28"/>
        <v>5978439.533469242</v>
      </c>
      <c r="L120" s="108">
        <f t="shared" si="29"/>
        <v>7777445.6030914048</v>
      </c>
      <c r="M120" s="108">
        <f t="shared" si="30"/>
        <v>12384.935364513922</v>
      </c>
      <c r="N120" s="108">
        <f t="shared" si="31"/>
        <v>12500</v>
      </c>
      <c r="O120" s="108">
        <f t="shared" si="32"/>
        <v>24884.93536451392</v>
      </c>
      <c r="P120" s="108">
        <f t="shared" si="33"/>
        <v>9953.9741458055687</v>
      </c>
      <c r="Q120" s="100">
        <f t="shared" si="34"/>
        <v>1.3083333333333334E-2</v>
      </c>
      <c r="R120" s="100">
        <f>20%</f>
        <v>0.2</v>
      </c>
      <c r="S120" s="108">
        <f t="shared" si="35"/>
        <v>20350.982661422509</v>
      </c>
      <c r="T120" s="108">
        <f t="shared" si="36"/>
        <v>27648.819118989941</v>
      </c>
      <c r="U120" s="108">
        <f t="shared" si="37"/>
        <v>845.51603854562745</v>
      </c>
      <c r="V120" s="108">
        <f t="shared" si="38"/>
        <v>1461.6281258195349</v>
      </c>
      <c r="W120" s="108">
        <f t="shared" si="39"/>
        <v>29955.963283355104</v>
      </c>
      <c r="X120" s="108">
        <f t="shared" si="40"/>
        <v>-5420.0214427141582</v>
      </c>
      <c r="Y120" s="108">
        <f t="shared" si="41"/>
        <v>-1463.4057895328228</v>
      </c>
      <c r="Z120" s="108">
        <f t="shared" si="42"/>
        <v>-3956.6156531813353</v>
      </c>
      <c r="AA120" s="108">
        <f t="shared" si="43"/>
        <v>358.5548895578284</v>
      </c>
      <c r="AB120" s="108">
        <f t="shared" si="44"/>
        <v>-4315.1705427391635</v>
      </c>
      <c r="AC120" s="109">
        <f t="shared" si="45"/>
        <v>0.32757378327069087</v>
      </c>
      <c r="AD120" s="108">
        <f t="shared" si="46"/>
        <v>-1296.0835584606457</v>
      </c>
      <c r="AE120" s="108">
        <f t="shared" si="47"/>
        <v>9812.7882242465384</v>
      </c>
      <c r="AF120" s="48">
        <f t="shared" si="48"/>
        <v>-0.13208106899302455</v>
      </c>
      <c r="AG120" s="110"/>
    </row>
    <row r="121" spans="5:33" x14ac:dyDescent="0.4">
      <c r="E121" s="107">
        <v>117</v>
      </c>
      <c r="F121" s="107">
        <v>10</v>
      </c>
      <c r="G121" s="141">
        <f t="shared" si="49"/>
        <v>5978439.533469242</v>
      </c>
      <c r="H121" s="141">
        <f t="shared" si="25"/>
        <v>1537668.1158701384</v>
      </c>
      <c r="I121" s="141">
        <f t="shared" si="26"/>
        <v>68502.95298766841</v>
      </c>
      <c r="J121" s="141">
        <f t="shared" si="27"/>
        <v>1469165.1628824701</v>
      </c>
      <c r="K121" s="108">
        <f t="shared" si="28"/>
        <v>4509274.3705867715</v>
      </c>
      <c r="L121" s="108">
        <f t="shared" si="29"/>
        <v>6257197.002437097</v>
      </c>
      <c r="M121" s="108">
        <f t="shared" si="30"/>
        <v>9964.0658891154126</v>
      </c>
      <c r="N121" s="108">
        <f t="shared" si="31"/>
        <v>12500</v>
      </c>
      <c r="O121" s="108">
        <f t="shared" si="32"/>
        <v>22464.065889115413</v>
      </c>
      <c r="P121" s="108">
        <f t="shared" si="33"/>
        <v>8985.6263556461654</v>
      </c>
      <c r="Q121" s="100">
        <f t="shared" si="34"/>
        <v>1.3083333333333334E-2</v>
      </c>
      <c r="R121" s="100">
        <f>20%</f>
        <v>0.2</v>
      </c>
      <c r="S121" s="108">
        <f t="shared" si="35"/>
        <v>16372.998823043739</v>
      </c>
      <c r="T121" s="108">
        <f t="shared" si="36"/>
        <v>22244.335343663879</v>
      </c>
      <c r="U121" s="108">
        <f t="shared" si="37"/>
        <v>763.26209901585685</v>
      </c>
      <c r="V121" s="108">
        <f t="shared" si="38"/>
        <v>1319.437243570902</v>
      </c>
      <c r="W121" s="108">
        <f t="shared" si="39"/>
        <v>24327.034686250638</v>
      </c>
      <c r="X121" s="108">
        <f t="shared" si="40"/>
        <v>-2894.5592895744921</v>
      </c>
      <c r="Y121" s="108">
        <f t="shared" si="41"/>
        <v>-781.53100818511291</v>
      </c>
      <c r="Z121" s="108">
        <f t="shared" si="42"/>
        <v>-2113.0282813893791</v>
      </c>
      <c r="AA121" s="108">
        <f t="shared" si="43"/>
        <v>291.17999487082824</v>
      </c>
      <c r="AB121" s="108">
        <f t="shared" si="44"/>
        <v>-2404.2082762602072</v>
      </c>
      <c r="AC121" s="109">
        <f t="shared" si="45"/>
        <v>0.32443729144864114</v>
      </c>
      <c r="AD121" s="108">
        <f t="shared" si="46"/>
        <v>-685.54517236834727</v>
      </c>
      <c r="AE121" s="108">
        <f t="shared" si="47"/>
        <v>7892.5972425843001</v>
      </c>
      <c r="AF121" s="48">
        <f t="shared" si="48"/>
        <v>-8.6859262077824823E-2</v>
      </c>
      <c r="AG121" s="110"/>
    </row>
    <row r="122" spans="5:33" x14ac:dyDescent="0.4">
      <c r="E122" s="107">
        <v>118</v>
      </c>
      <c r="F122" s="107">
        <v>10</v>
      </c>
      <c r="G122" s="141">
        <f t="shared" si="49"/>
        <v>4509274.3705867715</v>
      </c>
      <c r="H122" s="141">
        <f t="shared" si="25"/>
        <v>1537668.1158701384</v>
      </c>
      <c r="I122" s="141">
        <f t="shared" si="26"/>
        <v>51668.768829640096</v>
      </c>
      <c r="J122" s="141">
        <f t="shared" si="27"/>
        <v>1485999.3470404984</v>
      </c>
      <c r="K122" s="108">
        <f t="shared" si="28"/>
        <v>3023275.0235462729</v>
      </c>
      <c r="L122" s="108">
        <f t="shared" si="29"/>
        <v>4719528.8865669575</v>
      </c>
      <c r="M122" s="108">
        <f t="shared" si="30"/>
        <v>7515.4572843112919</v>
      </c>
      <c r="N122" s="108">
        <f t="shared" si="31"/>
        <v>12500</v>
      </c>
      <c r="O122" s="108">
        <f t="shared" si="32"/>
        <v>20015.457284311291</v>
      </c>
      <c r="P122" s="108">
        <f t="shared" si="33"/>
        <v>8006.1829137245168</v>
      </c>
      <c r="Q122" s="100">
        <f t="shared" si="34"/>
        <v>1.3083333333333334E-2</v>
      </c>
      <c r="R122" s="100">
        <f>20%</f>
        <v>0.2</v>
      </c>
      <c r="S122" s="108">
        <f t="shared" si="35"/>
        <v>12349.433919850206</v>
      </c>
      <c r="T122" s="108">
        <f t="shared" si="36"/>
        <v>16777.925191745533</v>
      </c>
      <c r="U122" s="108">
        <f t="shared" si="37"/>
        <v>680.06566642897405</v>
      </c>
      <c r="V122" s="108">
        <f t="shared" si="38"/>
        <v>1175.6170907965029</v>
      </c>
      <c r="W122" s="108">
        <f t="shared" si="39"/>
        <v>18633.60794897101</v>
      </c>
      <c r="X122" s="108">
        <f t="shared" si="40"/>
        <v>-340.15954926343147</v>
      </c>
      <c r="Y122" s="108">
        <f t="shared" si="41"/>
        <v>-91.843078301126511</v>
      </c>
      <c r="Z122" s="108">
        <f t="shared" si="42"/>
        <v>-248.31647096230495</v>
      </c>
      <c r="AA122" s="108">
        <f t="shared" si="43"/>
        <v>223.03309618220609</v>
      </c>
      <c r="AB122" s="108">
        <f t="shared" si="44"/>
        <v>-471.34956714451107</v>
      </c>
      <c r="AC122" s="109">
        <f t="shared" si="45"/>
        <v>0.32133083127580209</v>
      </c>
      <c r="AD122" s="108">
        <f t="shared" si="46"/>
        <v>-79.79173803379102</v>
      </c>
      <c r="AE122" s="108">
        <f t="shared" si="47"/>
        <v>5987.5527319102484</v>
      </c>
      <c r="AF122" s="48">
        <f t="shared" si="48"/>
        <v>-1.3326268945999668E-2</v>
      </c>
      <c r="AG122" s="110"/>
    </row>
    <row r="123" spans="5:33" x14ac:dyDescent="0.4">
      <c r="E123" s="107">
        <v>119</v>
      </c>
      <c r="F123" s="107">
        <v>10</v>
      </c>
      <c r="G123" s="141">
        <f t="shared" si="49"/>
        <v>3023275.0235462729</v>
      </c>
      <c r="H123" s="141">
        <f t="shared" si="25"/>
        <v>1537668.1158701384</v>
      </c>
      <c r="I123" s="141">
        <f t="shared" si="26"/>
        <v>34641.692978134379</v>
      </c>
      <c r="J123" s="141">
        <f t="shared" si="27"/>
        <v>1503026.422892004</v>
      </c>
      <c r="K123" s="108">
        <f t="shared" si="28"/>
        <v>1520248.6006542689</v>
      </c>
      <c r="L123" s="108">
        <f t="shared" si="29"/>
        <v>3164241.65686914</v>
      </c>
      <c r="M123" s="108">
        <f t="shared" si="30"/>
        <v>5038.7917059104593</v>
      </c>
      <c r="N123" s="108">
        <f t="shared" si="31"/>
        <v>12500</v>
      </c>
      <c r="O123" s="108">
        <f t="shared" si="32"/>
        <v>17538.791705910458</v>
      </c>
      <c r="P123" s="108">
        <f t="shared" si="33"/>
        <v>7015.5166823641839</v>
      </c>
      <c r="Q123" s="100">
        <f t="shared" si="34"/>
        <v>1.3083333333333334E-2</v>
      </c>
      <c r="R123" s="100">
        <f>20%</f>
        <v>0.2</v>
      </c>
      <c r="S123" s="108">
        <f t="shared" si="35"/>
        <v>8279.765668807584</v>
      </c>
      <c r="T123" s="108">
        <f t="shared" si="36"/>
        <v>11248.879090169792</v>
      </c>
      <c r="U123" s="108">
        <f t="shared" si="37"/>
        <v>595.91594138536675</v>
      </c>
      <c r="V123" s="108">
        <f t="shared" si="38"/>
        <v>1030.1489987715643</v>
      </c>
      <c r="W123" s="108">
        <f t="shared" si="39"/>
        <v>12874.944030326724</v>
      </c>
      <c r="X123" s="108">
        <f t="shared" si="40"/>
        <v>2243.5093547386896</v>
      </c>
      <c r="Y123" s="108">
        <f t="shared" si="41"/>
        <v>605.74752577944628</v>
      </c>
      <c r="Z123" s="108">
        <f t="shared" si="42"/>
        <v>1637.7618289592433</v>
      </c>
      <c r="AA123" s="108">
        <f t="shared" si="43"/>
        <v>154.10534761277691</v>
      </c>
      <c r="AB123" s="108">
        <f t="shared" si="44"/>
        <v>1483.6564813464663</v>
      </c>
      <c r="AC123" s="109">
        <f t="shared" si="45"/>
        <v>0.31825411520162183</v>
      </c>
      <c r="AD123" s="108">
        <f t="shared" si="46"/>
        <v>521.22444178641388</v>
      </c>
      <c r="AE123" s="108">
        <f t="shared" si="47"/>
        <v>4097.5039206420342</v>
      </c>
      <c r="AF123" s="48">
        <f t="shared" si="48"/>
        <v>0.12720535523117782</v>
      </c>
      <c r="AG123" s="110"/>
    </row>
    <row r="124" spans="5:33" x14ac:dyDescent="0.4">
      <c r="E124" s="107">
        <v>120</v>
      </c>
      <c r="F124" s="107">
        <v>10</v>
      </c>
      <c r="G124" s="141">
        <f t="shared" si="49"/>
        <v>1520248.6006542689</v>
      </c>
      <c r="H124" s="141">
        <f t="shared" si="25"/>
        <v>1537668.1158701384</v>
      </c>
      <c r="I124" s="141">
        <f t="shared" si="26"/>
        <v>17419.515215830164</v>
      </c>
      <c r="J124" s="141">
        <f t="shared" si="27"/>
        <v>1520248.6006543082</v>
      </c>
      <c r="K124" s="108">
        <f t="shared" si="28"/>
        <v>-3.9348378777503967E-8</v>
      </c>
      <c r="L124" s="108">
        <f t="shared" si="29"/>
        <v>1591133.4276643684</v>
      </c>
      <c r="M124" s="108">
        <f t="shared" si="30"/>
        <v>2533.7476677571171</v>
      </c>
      <c r="N124" s="108">
        <f t="shared" si="31"/>
        <v>12500</v>
      </c>
      <c r="O124" s="108">
        <f t="shared" si="32"/>
        <v>15033.747667757118</v>
      </c>
      <c r="P124" s="108">
        <f t="shared" si="33"/>
        <v>6013.4990671028472</v>
      </c>
      <c r="Q124" s="100">
        <f t="shared" si="34"/>
        <v>1.3083333333333334E-2</v>
      </c>
      <c r="R124" s="100">
        <f>20%</f>
        <v>0.2</v>
      </c>
      <c r="S124" s="108">
        <f t="shared" si="35"/>
        <v>4163.4658023884313</v>
      </c>
      <c r="T124" s="108">
        <f t="shared" si="36"/>
        <v>5656.4793353468294</v>
      </c>
      <c r="U124" s="108">
        <f t="shared" si="37"/>
        <v>510.80200074230146</v>
      </c>
      <c r="V124" s="108">
        <f t="shared" si="38"/>
        <v>883.01408485883985</v>
      </c>
      <c r="W124" s="108">
        <f t="shared" si="39"/>
        <v>7050.2954209479703</v>
      </c>
      <c r="X124" s="108">
        <f t="shared" si="40"/>
        <v>4856.78279826584</v>
      </c>
      <c r="Y124" s="108">
        <f t="shared" si="41"/>
        <v>1311.3313555317768</v>
      </c>
      <c r="Z124" s="108">
        <f t="shared" si="42"/>
        <v>3545.4514427340632</v>
      </c>
      <c r="AA124" s="108">
        <f t="shared" si="43"/>
        <v>84.387801924322986</v>
      </c>
      <c r="AB124" s="108">
        <f t="shared" si="44"/>
        <v>3461.0636408097403</v>
      </c>
      <c r="AC124" s="109">
        <f t="shared" si="45"/>
        <v>0.31520685842882107</v>
      </c>
      <c r="AD124" s="108">
        <f t="shared" si="46"/>
        <v>1117.5506109761352</v>
      </c>
      <c r="AE124" s="108">
        <f t="shared" si="47"/>
        <v>2222.3014706321123</v>
      </c>
      <c r="AF124" s="48">
        <f t="shared" si="48"/>
        <v>0.50287984134675423</v>
      </c>
      <c r="AG124" s="110"/>
    </row>
    <row r="125" spans="5:33" x14ac:dyDescent="0.4">
      <c r="E125" s="107"/>
      <c r="F125" s="107"/>
      <c r="H125" s="108"/>
      <c r="I125" s="108"/>
      <c r="J125" s="108"/>
      <c r="K125" s="108"/>
      <c r="L125" s="108"/>
      <c r="M125" s="108"/>
      <c r="N125" s="108"/>
      <c r="O125" s="108"/>
      <c r="P125" s="108"/>
      <c r="R125" s="100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9"/>
      <c r="AD125" s="108"/>
      <c r="AE125" s="108"/>
      <c r="AF125" s="48"/>
      <c r="AG125" s="110"/>
    </row>
    <row r="126" spans="5:33" x14ac:dyDescent="0.4">
      <c r="E126" s="107"/>
      <c r="F126" s="107"/>
      <c r="H126" s="108"/>
      <c r="I126" s="108"/>
      <c r="J126" s="108"/>
      <c r="K126" s="108"/>
      <c r="L126" s="108"/>
      <c r="M126" s="108"/>
      <c r="N126" s="108"/>
      <c r="O126" s="108"/>
      <c r="P126" s="108"/>
      <c r="R126" s="100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9"/>
      <c r="AD126" s="108"/>
      <c r="AE126" s="108"/>
      <c r="AF126" s="48"/>
      <c r="AG126" s="110"/>
    </row>
    <row r="127" spans="5:33" x14ac:dyDescent="0.4">
      <c r="E127" s="107"/>
      <c r="F127" s="107"/>
      <c r="H127" s="108"/>
      <c r="I127" s="108"/>
      <c r="J127" s="108"/>
      <c r="K127" s="108"/>
      <c r="L127" s="108"/>
      <c r="M127" s="108"/>
      <c r="N127" s="108"/>
      <c r="O127" s="108"/>
      <c r="P127" s="108"/>
      <c r="R127" s="100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9"/>
      <c r="AD127" s="108"/>
      <c r="AE127" s="108"/>
      <c r="AF127" s="48"/>
      <c r="AG127" s="110"/>
    </row>
    <row r="128" spans="5:33" x14ac:dyDescent="0.4">
      <c r="E128" s="107"/>
      <c r="F128" s="107"/>
      <c r="H128" s="108"/>
      <c r="I128" s="108"/>
      <c r="J128" s="108"/>
      <c r="K128" s="108"/>
      <c r="L128" s="108"/>
      <c r="M128" s="108"/>
      <c r="N128" s="108"/>
      <c r="O128" s="108"/>
      <c r="P128" s="108"/>
      <c r="R128" s="100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9"/>
      <c r="AD128" s="108"/>
      <c r="AE128" s="108"/>
      <c r="AF128" s="48"/>
      <c r="AG128" s="110"/>
    </row>
    <row r="129" spans="5:33" x14ac:dyDescent="0.4">
      <c r="E129" s="107"/>
      <c r="F129" s="107"/>
      <c r="H129" s="108"/>
      <c r="I129" s="108"/>
      <c r="J129" s="108"/>
      <c r="K129" s="108"/>
      <c r="L129" s="108"/>
      <c r="M129" s="108"/>
      <c r="N129" s="108"/>
      <c r="O129" s="108"/>
      <c r="P129" s="108"/>
      <c r="R129" s="100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9"/>
      <c r="AD129" s="108"/>
      <c r="AE129" s="108"/>
      <c r="AF129" s="48"/>
      <c r="AG129" s="110"/>
    </row>
    <row r="130" spans="5:33" x14ac:dyDescent="0.4">
      <c r="E130" s="107"/>
      <c r="F130" s="107"/>
      <c r="H130" s="108"/>
      <c r="I130" s="108"/>
      <c r="J130" s="108"/>
      <c r="K130" s="108"/>
      <c r="L130" s="108"/>
      <c r="M130" s="108"/>
      <c r="N130" s="108"/>
      <c r="O130" s="108"/>
      <c r="P130" s="108"/>
      <c r="R130" s="100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9"/>
      <c r="AD130" s="108"/>
      <c r="AE130" s="108"/>
      <c r="AF130" s="48"/>
      <c r="AG130" s="110"/>
    </row>
    <row r="131" spans="5:33" x14ac:dyDescent="0.4">
      <c r="E131" s="107"/>
      <c r="F131" s="107"/>
      <c r="H131" s="108"/>
      <c r="I131" s="108"/>
      <c r="J131" s="108"/>
      <c r="K131" s="108"/>
      <c r="L131" s="108"/>
      <c r="M131" s="108"/>
      <c r="N131" s="108"/>
      <c r="O131" s="108"/>
      <c r="P131" s="108"/>
      <c r="R131" s="100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9"/>
      <c r="AD131" s="108"/>
      <c r="AE131" s="108"/>
      <c r="AF131" s="48"/>
      <c r="AG131" s="110"/>
    </row>
    <row r="132" spans="5:33" x14ac:dyDescent="0.4">
      <c r="E132" s="107"/>
      <c r="F132" s="107"/>
      <c r="H132" s="108"/>
      <c r="I132" s="108"/>
      <c r="J132" s="108"/>
      <c r="K132" s="108"/>
      <c r="L132" s="108"/>
      <c r="M132" s="108"/>
      <c r="N132" s="108"/>
      <c r="O132" s="108"/>
      <c r="P132" s="108"/>
      <c r="R132" s="100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9"/>
      <c r="AD132" s="108"/>
      <c r="AE132" s="108"/>
      <c r="AF132" s="48"/>
      <c r="AG132" s="110"/>
    </row>
    <row r="133" spans="5:33" x14ac:dyDescent="0.4">
      <c r="E133" s="107"/>
      <c r="F133" s="107"/>
      <c r="H133" s="108"/>
      <c r="I133" s="108"/>
      <c r="J133" s="108"/>
      <c r="K133" s="108"/>
      <c r="L133" s="108"/>
      <c r="M133" s="108"/>
      <c r="N133" s="108"/>
      <c r="O133" s="108"/>
      <c r="P133" s="108"/>
      <c r="R133" s="100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9"/>
      <c r="AD133" s="108"/>
      <c r="AE133" s="108"/>
      <c r="AF133" s="48"/>
      <c r="AG133" s="110"/>
    </row>
    <row r="134" spans="5:33" x14ac:dyDescent="0.4">
      <c r="E134" s="107"/>
      <c r="F134" s="107"/>
      <c r="H134" s="108"/>
      <c r="I134" s="108"/>
      <c r="J134" s="108"/>
      <c r="K134" s="108"/>
      <c r="L134" s="108"/>
      <c r="M134" s="108"/>
      <c r="N134" s="108"/>
      <c r="O134" s="108"/>
      <c r="P134" s="108"/>
      <c r="R134" s="100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9"/>
      <c r="AD134" s="108"/>
      <c r="AE134" s="108"/>
      <c r="AF134" s="48"/>
      <c r="AG134" s="110"/>
    </row>
    <row r="135" spans="5:33" x14ac:dyDescent="0.4">
      <c r="E135" s="107"/>
      <c r="F135" s="107"/>
      <c r="H135" s="108"/>
      <c r="I135" s="108"/>
      <c r="J135" s="108"/>
      <c r="K135" s="108"/>
      <c r="L135" s="108"/>
      <c r="M135" s="108"/>
      <c r="N135" s="108"/>
      <c r="O135" s="108"/>
      <c r="P135" s="108"/>
      <c r="R135" s="100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9"/>
      <c r="AD135" s="108"/>
      <c r="AE135" s="108"/>
      <c r="AF135" s="48"/>
      <c r="AG135" s="110"/>
    </row>
    <row r="136" spans="5:33" x14ac:dyDescent="0.4">
      <c r="E136" s="107"/>
      <c r="F136" s="107"/>
      <c r="H136" s="108"/>
      <c r="I136" s="108"/>
      <c r="J136" s="108"/>
      <c r="K136" s="108"/>
      <c r="L136" s="108"/>
      <c r="M136" s="108"/>
      <c r="N136" s="108"/>
      <c r="O136" s="108"/>
      <c r="P136" s="108"/>
      <c r="R136" s="100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9"/>
      <c r="AD136" s="108"/>
      <c r="AE136" s="108"/>
      <c r="AF136" s="48"/>
      <c r="AG136" s="110"/>
    </row>
    <row r="137" spans="5:33" x14ac:dyDescent="0.4">
      <c r="E137" s="107"/>
      <c r="F137" s="107"/>
      <c r="H137" s="108"/>
      <c r="I137" s="108"/>
      <c r="J137" s="108"/>
      <c r="K137" s="108"/>
      <c r="L137" s="108"/>
      <c r="M137" s="108"/>
      <c r="N137" s="108"/>
      <c r="O137" s="108"/>
      <c r="P137" s="108"/>
      <c r="R137" s="100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9"/>
      <c r="AD137" s="108"/>
      <c r="AE137" s="108"/>
      <c r="AF137" s="48"/>
      <c r="AG137" s="110"/>
    </row>
    <row r="138" spans="5:33" x14ac:dyDescent="0.4">
      <c r="E138" s="107"/>
      <c r="F138" s="107"/>
      <c r="H138" s="108"/>
      <c r="I138" s="108"/>
      <c r="J138" s="108"/>
      <c r="K138" s="108"/>
      <c r="L138" s="108"/>
      <c r="M138" s="108"/>
      <c r="N138" s="108"/>
      <c r="O138" s="108"/>
      <c r="P138" s="108"/>
      <c r="R138" s="100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9"/>
      <c r="AD138" s="108"/>
      <c r="AE138" s="108"/>
      <c r="AF138" s="48"/>
      <c r="AG138" s="110"/>
    </row>
    <row r="139" spans="5:33" x14ac:dyDescent="0.4">
      <c r="E139" s="107"/>
      <c r="F139" s="107"/>
      <c r="H139" s="108"/>
      <c r="I139" s="108"/>
      <c r="J139" s="108"/>
      <c r="K139" s="108"/>
      <c r="L139" s="108"/>
      <c r="M139" s="108"/>
      <c r="N139" s="108"/>
      <c r="O139" s="108"/>
      <c r="P139" s="108"/>
      <c r="R139" s="100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9"/>
      <c r="AD139" s="108"/>
      <c r="AE139" s="108"/>
      <c r="AF139" s="48"/>
      <c r="AG139" s="110"/>
    </row>
    <row r="140" spans="5:33" x14ac:dyDescent="0.4">
      <c r="E140" s="107"/>
      <c r="F140" s="107"/>
      <c r="H140" s="108"/>
      <c r="I140" s="108"/>
      <c r="J140" s="108"/>
      <c r="K140" s="108"/>
      <c r="L140" s="108"/>
      <c r="M140" s="108"/>
      <c r="N140" s="108"/>
      <c r="O140" s="108"/>
      <c r="P140" s="108"/>
      <c r="R140" s="100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9"/>
      <c r="AD140" s="108"/>
      <c r="AE140" s="108"/>
      <c r="AF140" s="48"/>
      <c r="AG140" s="110"/>
    </row>
    <row r="141" spans="5:33" x14ac:dyDescent="0.4">
      <c r="E141" s="107"/>
      <c r="F141" s="107"/>
      <c r="H141" s="108"/>
      <c r="I141" s="108"/>
      <c r="J141" s="108"/>
      <c r="K141" s="108"/>
      <c r="L141" s="108"/>
      <c r="M141" s="108"/>
      <c r="N141" s="108"/>
      <c r="O141" s="108"/>
      <c r="P141" s="108"/>
      <c r="R141" s="100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9"/>
      <c r="AD141" s="108"/>
      <c r="AE141" s="108"/>
      <c r="AF141" s="48"/>
      <c r="AG141" s="110"/>
    </row>
    <row r="142" spans="5:33" x14ac:dyDescent="0.4">
      <c r="E142" s="107"/>
      <c r="F142" s="107"/>
      <c r="H142" s="108"/>
      <c r="I142" s="108"/>
      <c r="J142" s="108"/>
      <c r="K142" s="108"/>
      <c r="L142" s="108"/>
      <c r="M142" s="108"/>
      <c r="N142" s="108"/>
      <c r="O142" s="108"/>
      <c r="P142" s="108"/>
      <c r="R142" s="100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9"/>
      <c r="AD142" s="108"/>
      <c r="AE142" s="108"/>
      <c r="AF142" s="48"/>
      <c r="AG142" s="110"/>
    </row>
    <row r="143" spans="5:33" x14ac:dyDescent="0.4">
      <c r="E143" s="107"/>
      <c r="F143" s="107"/>
      <c r="H143" s="108"/>
      <c r="I143" s="108"/>
      <c r="J143" s="108"/>
      <c r="K143" s="108"/>
      <c r="L143" s="108"/>
      <c r="M143" s="108"/>
      <c r="N143" s="108"/>
      <c r="O143" s="108"/>
      <c r="P143" s="108"/>
      <c r="R143" s="100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9"/>
      <c r="AD143" s="108"/>
      <c r="AE143" s="108"/>
      <c r="AF143" s="48"/>
      <c r="AG143" s="110"/>
    </row>
    <row r="144" spans="5:33" x14ac:dyDescent="0.4">
      <c r="E144" s="107"/>
      <c r="F144" s="107"/>
      <c r="H144" s="108"/>
      <c r="I144" s="108"/>
      <c r="J144" s="108"/>
      <c r="K144" s="108"/>
      <c r="L144" s="108"/>
      <c r="M144" s="108"/>
      <c r="N144" s="108"/>
      <c r="O144" s="108"/>
      <c r="P144" s="108"/>
      <c r="R144" s="100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9"/>
      <c r="AD144" s="108"/>
      <c r="AE144" s="108"/>
      <c r="AF144" s="48"/>
      <c r="AG144" s="110"/>
    </row>
    <row r="145" spans="5:33" x14ac:dyDescent="0.4">
      <c r="E145" s="107"/>
      <c r="F145" s="107"/>
      <c r="H145" s="108"/>
      <c r="I145" s="108"/>
      <c r="J145" s="108"/>
      <c r="K145" s="108"/>
      <c r="L145" s="108"/>
      <c r="M145" s="108"/>
      <c r="N145" s="108"/>
      <c r="O145" s="108"/>
      <c r="P145" s="108"/>
      <c r="R145" s="100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9"/>
      <c r="AD145" s="108"/>
      <c r="AE145" s="108"/>
      <c r="AF145" s="48"/>
      <c r="AG145" s="110"/>
    </row>
    <row r="146" spans="5:33" x14ac:dyDescent="0.4">
      <c r="E146" s="107"/>
      <c r="F146" s="107"/>
      <c r="H146" s="108"/>
      <c r="I146" s="108"/>
      <c r="J146" s="108"/>
      <c r="K146" s="108"/>
      <c r="L146" s="108"/>
      <c r="M146" s="108"/>
      <c r="N146" s="108"/>
      <c r="O146" s="108"/>
      <c r="P146" s="108"/>
      <c r="R146" s="100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9"/>
      <c r="AD146" s="108"/>
      <c r="AE146" s="108"/>
      <c r="AF146" s="48"/>
      <c r="AG146" s="110"/>
    </row>
    <row r="147" spans="5:33" x14ac:dyDescent="0.4">
      <c r="E147" s="107"/>
      <c r="F147" s="107"/>
      <c r="H147" s="108"/>
      <c r="I147" s="108"/>
      <c r="J147" s="108"/>
      <c r="K147" s="108"/>
      <c r="L147" s="108"/>
      <c r="M147" s="108"/>
      <c r="N147" s="108"/>
      <c r="O147" s="108"/>
      <c r="P147" s="108"/>
      <c r="R147" s="100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9"/>
      <c r="AD147" s="108"/>
      <c r="AE147" s="108"/>
      <c r="AF147" s="48"/>
      <c r="AG147" s="110"/>
    </row>
    <row r="148" spans="5:33" x14ac:dyDescent="0.4">
      <c r="E148" s="107"/>
      <c r="F148" s="107"/>
      <c r="H148" s="108"/>
      <c r="I148" s="108"/>
      <c r="J148" s="108"/>
      <c r="K148" s="108"/>
      <c r="L148" s="108"/>
      <c r="M148" s="108"/>
      <c r="N148" s="108"/>
      <c r="O148" s="108"/>
      <c r="P148" s="108"/>
      <c r="R148" s="100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9"/>
      <c r="AD148" s="108"/>
      <c r="AE148" s="108"/>
      <c r="AF148" s="48"/>
      <c r="AG148" s="110"/>
    </row>
    <row r="149" spans="5:33" x14ac:dyDescent="0.4">
      <c r="E149" s="107"/>
      <c r="F149" s="107"/>
      <c r="H149" s="108"/>
      <c r="I149" s="108"/>
      <c r="J149" s="108"/>
      <c r="K149" s="108"/>
      <c r="L149" s="108"/>
      <c r="M149" s="108"/>
      <c r="N149" s="108"/>
      <c r="O149" s="108"/>
      <c r="P149" s="108"/>
      <c r="R149" s="100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9"/>
      <c r="AD149" s="108"/>
      <c r="AE149" s="108"/>
      <c r="AF149" s="48"/>
      <c r="AG149" s="110"/>
    </row>
    <row r="150" spans="5:33" x14ac:dyDescent="0.4">
      <c r="E150" s="107"/>
      <c r="F150" s="107"/>
      <c r="H150" s="108"/>
      <c r="I150" s="108"/>
      <c r="J150" s="108"/>
      <c r="K150" s="108"/>
      <c r="L150" s="108"/>
      <c r="M150" s="108"/>
      <c r="N150" s="108"/>
      <c r="O150" s="108"/>
      <c r="P150" s="108"/>
      <c r="R150" s="100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9"/>
      <c r="AD150" s="108"/>
      <c r="AE150" s="108"/>
      <c r="AF150" s="48"/>
      <c r="AG150" s="110"/>
    </row>
    <row r="151" spans="5:33" x14ac:dyDescent="0.4">
      <c r="E151" s="107"/>
      <c r="F151" s="107"/>
      <c r="H151" s="108"/>
      <c r="I151" s="108"/>
      <c r="J151" s="108"/>
      <c r="K151" s="108"/>
      <c r="L151" s="108"/>
      <c r="M151" s="108"/>
      <c r="N151" s="108"/>
      <c r="O151" s="108"/>
      <c r="P151" s="108"/>
      <c r="R151" s="100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9"/>
      <c r="AD151" s="108"/>
      <c r="AE151" s="108"/>
      <c r="AF151" s="48"/>
      <c r="AG151" s="110"/>
    </row>
    <row r="152" spans="5:33" x14ac:dyDescent="0.4">
      <c r="E152" s="107"/>
      <c r="F152" s="107"/>
      <c r="H152" s="108"/>
      <c r="I152" s="108"/>
      <c r="J152" s="108"/>
      <c r="K152" s="108"/>
      <c r="L152" s="108"/>
      <c r="M152" s="108"/>
      <c r="N152" s="108"/>
      <c r="O152" s="108"/>
      <c r="P152" s="108"/>
      <c r="R152" s="100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9"/>
      <c r="AD152" s="108"/>
      <c r="AE152" s="108"/>
      <c r="AF152" s="48"/>
      <c r="AG152" s="110"/>
    </row>
    <row r="153" spans="5:33" x14ac:dyDescent="0.4">
      <c r="E153" s="107"/>
      <c r="F153" s="107"/>
      <c r="H153" s="108"/>
      <c r="I153" s="108"/>
      <c r="J153" s="108"/>
      <c r="K153" s="108"/>
      <c r="L153" s="108"/>
      <c r="M153" s="108"/>
      <c r="N153" s="108"/>
      <c r="O153" s="108"/>
      <c r="P153" s="108"/>
      <c r="R153" s="100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9"/>
      <c r="AD153" s="108"/>
      <c r="AE153" s="108"/>
      <c r="AF153" s="48"/>
      <c r="AG153" s="110"/>
    </row>
    <row r="154" spans="5:33" x14ac:dyDescent="0.4">
      <c r="E154" s="107"/>
      <c r="F154" s="107"/>
      <c r="H154" s="108"/>
      <c r="I154" s="108"/>
      <c r="J154" s="108"/>
      <c r="K154" s="108"/>
      <c r="L154" s="108"/>
      <c r="M154" s="108"/>
      <c r="N154" s="108"/>
      <c r="O154" s="108"/>
      <c r="P154" s="108"/>
      <c r="R154" s="100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9"/>
      <c r="AD154" s="108"/>
      <c r="AE154" s="108"/>
      <c r="AF154" s="48"/>
      <c r="AG154" s="110"/>
    </row>
    <row r="155" spans="5:33" x14ac:dyDescent="0.4">
      <c r="E155" s="107"/>
      <c r="F155" s="107"/>
      <c r="H155" s="108"/>
      <c r="I155" s="108"/>
      <c r="J155" s="108"/>
      <c r="K155" s="108"/>
      <c r="L155" s="108"/>
      <c r="M155" s="108"/>
      <c r="N155" s="108"/>
      <c r="O155" s="108"/>
      <c r="P155" s="108"/>
      <c r="R155" s="100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9"/>
      <c r="AD155" s="108"/>
      <c r="AE155" s="108"/>
      <c r="AF155" s="48"/>
      <c r="AG155" s="110"/>
    </row>
    <row r="156" spans="5:33" x14ac:dyDescent="0.4">
      <c r="E156" s="107"/>
      <c r="F156" s="107"/>
      <c r="H156" s="108"/>
      <c r="I156" s="108"/>
      <c r="J156" s="108"/>
      <c r="K156" s="108"/>
      <c r="L156" s="108"/>
      <c r="M156" s="108"/>
      <c r="N156" s="108"/>
      <c r="O156" s="108"/>
      <c r="P156" s="108"/>
      <c r="R156" s="100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9"/>
      <c r="AD156" s="108"/>
      <c r="AE156" s="108"/>
      <c r="AF156" s="48"/>
      <c r="AG156" s="110"/>
    </row>
    <row r="157" spans="5:33" x14ac:dyDescent="0.4">
      <c r="E157" s="107"/>
      <c r="F157" s="107"/>
      <c r="H157" s="108"/>
      <c r="I157" s="108"/>
      <c r="J157" s="108"/>
      <c r="K157" s="108"/>
      <c r="L157" s="108"/>
      <c r="M157" s="108"/>
      <c r="N157" s="108"/>
      <c r="O157" s="108"/>
      <c r="P157" s="108"/>
      <c r="R157" s="100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9"/>
      <c r="AD157" s="108"/>
      <c r="AE157" s="108"/>
      <c r="AF157" s="48"/>
      <c r="AG157" s="110"/>
    </row>
    <row r="158" spans="5:33" x14ac:dyDescent="0.4">
      <c r="E158" s="107"/>
      <c r="F158" s="107"/>
      <c r="H158" s="108"/>
      <c r="I158" s="108"/>
      <c r="J158" s="108"/>
      <c r="K158" s="108"/>
      <c r="L158" s="108"/>
      <c r="M158" s="108"/>
      <c r="N158" s="108"/>
      <c r="O158" s="108"/>
      <c r="P158" s="108"/>
      <c r="R158" s="100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9"/>
      <c r="AD158" s="108"/>
      <c r="AE158" s="108"/>
      <c r="AF158" s="48"/>
      <c r="AG158" s="110"/>
    </row>
    <row r="159" spans="5:33" x14ac:dyDescent="0.4">
      <c r="E159" s="107"/>
      <c r="F159" s="107"/>
      <c r="H159" s="108"/>
      <c r="I159" s="108"/>
      <c r="J159" s="108"/>
      <c r="K159" s="108"/>
      <c r="L159" s="108"/>
      <c r="M159" s="108"/>
      <c r="N159" s="108"/>
      <c r="O159" s="108"/>
      <c r="P159" s="108"/>
      <c r="R159" s="100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9"/>
      <c r="AD159" s="108"/>
      <c r="AE159" s="108"/>
      <c r="AF159" s="48"/>
      <c r="AG159" s="110"/>
    </row>
    <row r="160" spans="5:33" x14ac:dyDescent="0.4">
      <c r="E160" s="107"/>
      <c r="F160" s="107"/>
      <c r="H160" s="108"/>
      <c r="I160" s="108"/>
      <c r="J160" s="108"/>
      <c r="K160" s="108"/>
      <c r="L160" s="108"/>
      <c r="M160" s="108"/>
      <c r="N160" s="108"/>
      <c r="O160" s="108"/>
      <c r="P160" s="108"/>
      <c r="R160" s="100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9"/>
      <c r="AD160" s="108"/>
      <c r="AE160" s="108"/>
      <c r="AF160" s="48"/>
      <c r="AG160" s="110"/>
    </row>
    <row r="161" spans="5:33" x14ac:dyDescent="0.4">
      <c r="E161" s="107"/>
      <c r="F161" s="107"/>
      <c r="H161" s="108"/>
      <c r="I161" s="108"/>
      <c r="J161" s="108"/>
      <c r="K161" s="108"/>
      <c r="L161" s="108"/>
      <c r="M161" s="108"/>
      <c r="N161" s="108"/>
      <c r="O161" s="108"/>
      <c r="P161" s="108"/>
      <c r="R161" s="100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9"/>
      <c r="AD161" s="108"/>
      <c r="AE161" s="108"/>
      <c r="AF161" s="48"/>
      <c r="AG161" s="110"/>
    </row>
    <row r="162" spans="5:33" x14ac:dyDescent="0.4">
      <c r="E162" s="107"/>
      <c r="F162" s="107"/>
      <c r="H162" s="108"/>
      <c r="I162" s="108"/>
      <c r="J162" s="108"/>
      <c r="K162" s="108"/>
      <c r="L162" s="108"/>
      <c r="M162" s="108"/>
      <c r="N162" s="108"/>
      <c r="O162" s="108"/>
      <c r="P162" s="108"/>
      <c r="R162" s="100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9"/>
      <c r="AD162" s="108"/>
      <c r="AE162" s="108"/>
      <c r="AF162" s="48"/>
      <c r="AG162" s="110"/>
    </row>
    <row r="163" spans="5:33" x14ac:dyDescent="0.4">
      <c r="E163" s="107"/>
      <c r="F163" s="107"/>
      <c r="H163" s="108"/>
      <c r="I163" s="108"/>
      <c r="J163" s="108"/>
      <c r="K163" s="108"/>
      <c r="L163" s="108"/>
      <c r="M163" s="108"/>
      <c r="N163" s="108"/>
      <c r="O163" s="108"/>
      <c r="P163" s="108"/>
      <c r="R163" s="100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9"/>
      <c r="AD163" s="108"/>
      <c r="AE163" s="108"/>
      <c r="AF163" s="48"/>
      <c r="AG163" s="110"/>
    </row>
    <row r="164" spans="5:33" x14ac:dyDescent="0.4">
      <c r="E164" s="107"/>
      <c r="F164" s="107"/>
      <c r="H164" s="108"/>
      <c r="I164" s="108"/>
      <c r="J164" s="108"/>
      <c r="K164" s="108"/>
      <c r="L164" s="108"/>
      <c r="M164" s="108"/>
      <c r="N164" s="108"/>
      <c r="O164" s="108"/>
      <c r="P164" s="108"/>
      <c r="R164" s="100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9"/>
      <c r="AD164" s="108"/>
      <c r="AE164" s="108"/>
      <c r="AF164" s="48"/>
      <c r="AG164" s="110"/>
    </row>
    <row r="165" spans="5:33" x14ac:dyDescent="0.4">
      <c r="E165" s="107"/>
      <c r="F165" s="107"/>
      <c r="H165" s="108"/>
      <c r="I165" s="108"/>
      <c r="J165" s="108"/>
      <c r="K165" s="108"/>
      <c r="L165" s="108"/>
      <c r="M165" s="108"/>
      <c r="N165" s="108"/>
      <c r="O165" s="108"/>
      <c r="P165" s="108"/>
      <c r="R165" s="100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9"/>
      <c r="AD165" s="108"/>
      <c r="AE165" s="108"/>
      <c r="AF165" s="48"/>
      <c r="AG165" s="110"/>
    </row>
    <row r="166" spans="5:33" x14ac:dyDescent="0.4">
      <c r="E166" s="107"/>
      <c r="F166" s="107"/>
      <c r="H166" s="108"/>
      <c r="I166" s="108"/>
      <c r="J166" s="108"/>
      <c r="K166" s="108"/>
      <c r="L166" s="108"/>
      <c r="M166" s="108"/>
      <c r="N166" s="108"/>
      <c r="O166" s="108"/>
      <c r="P166" s="108"/>
      <c r="R166" s="100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9"/>
      <c r="AD166" s="108"/>
      <c r="AE166" s="108"/>
      <c r="AF166" s="48"/>
      <c r="AG166" s="110"/>
    </row>
    <row r="167" spans="5:33" x14ac:dyDescent="0.4">
      <c r="E167" s="107"/>
      <c r="F167" s="107"/>
      <c r="H167" s="108"/>
      <c r="I167" s="108"/>
      <c r="J167" s="108"/>
      <c r="K167" s="108"/>
      <c r="L167" s="108"/>
      <c r="M167" s="108"/>
      <c r="N167" s="108"/>
      <c r="O167" s="108"/>
      <c r="P167" s="108"/>
      <c r="R167" s="100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9"/>
      <c r="AD167" s="108"/>
      <c r="AE167" s="108"/>
      <c r="AF167" s="48"/>
      <c r="AG167" s="110"/>
    </row>
    <row r="168" spans="5:33" x14ac:dyDescent="0.4">
      <c r="E168" s="107"/>
      <c r="F168" s="107"/>
      <c r="H168" s="108"/>
      <c r="I168" s="108"/>
      <c r="J168" s="108"/>
      <c r="K168" s="108"/>
      <c r="L168" s="108"/>
      <c r="M168" s="108"/>
      <c r="N168" s="108"/>
      <c r="O168" s="108"/>
      <c r="P168" s="108"/>
      <c r="R168" s="100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9"/>
      <c r="AD168" s="108"/>
      <c r="AE168" s="108"/>
      <c r="AF168" s="48"/>
      <c r="AG168" s="110"/>
    </row>
    <row r="169" spans="5:33" x14ac:dyDescent="0.4">
      <c r="E169" s="107"/>
      <c r="F169" s="107"/>
      <c r="H169" s="108"/>
      <c r="I169" s="108"/>
      <c r="J169" s="108"/>
      <c r="K169" s="108"/>
      <c r="L169" s="108"/>
      <c r="M169" s="108"/>
      <c r="N169" s="108"/>
      <c r="O169" s="108"/>
      <c r="P169" s="108"/>
      <c r="R169" s="100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9"/>
      <c r="AD169" s="108"/>
      <c r="AE169" s="108"/>
      <c r="AF169" s="48"/>
      <c r="AG169" s="110"/>
    </row>
    <row r="170" spans="5:33" x14ac:dyDescent="0.4">
      <c r="E170" s="107"/>
      <c r="F170" s="107"/>
      <c r="H170" s="108"/>
      <c r="I170" s="108"/>
      <c r="J170" s="108"/>
      <c r="K170" s="108"/>
      <c r="L170" s="108"/>
      <c r="M170" s="108"/>
      <c r="N170" s="108"/>
      <c r="O170" s="108"/>
      <c r="P170" s="108"/>
      <c r="R170" s="100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9"/>
      <c r="AD170" s="108"/>
      <c r="AE170" s="108"/>
      <c r="AF170" s="48"/>
      <c r="AG170" s="110"/>
    </row>
    <row r="171" spans="5:33" x14ac:dyDescent="0.4">
      <c r="E171" s="107"/>
      <c r="F171" s="107"/>
      <c r="H171" s="108"/>
      <c r="I171" s="108"/>
      <c r="J171" s="108"/>
      <c r="K171" s="108"/>
      <c r="L171" s="108"/>
      <c r="M171" s="108"/>
      <c r="N171" s="108"/>
      <c r="O171" s="108"/>
      <c r="P171" s="108"/>
      <c r="R171" s="100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9"/>
      <c r="AD171" s="108"/>
      <c r="AE171" s="108"/>
      <c r="AF171" s="48"/>
      <c r="AG171" s="110"/>
    </row>
    <row r="172" spans="5:33" x14ac:dyDescent="0.4">
      <c r="E172" s="107"/>
      <c r="F172" s="107"/>
      <c r="H172" s="108"/>
      <c r="I172" s="108"/>
      <c r="J172" s="108"/>
      <c r="K172" s="108"/>
      <c r="L172" s="108"/>
      <c r="M172" s="108"/>
      <c r="N172" s="108"/>
      <c r="O172" s="108"/>
      <c r="P172" s="108"/>
      <c r="R172" s="100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9"/>
      <c r="AD172" s="108"/>
      <c r="AE172" s="108"/>
      <c r="AF172" s="48"/>
      <c r="AG172" s="110"/>
    </row>
    <row r="173" spans="5:33" x14ac:dyDescent="0.4">
      <c r="E173" s="107"/>
      <c r="F173" s="107"/>
      <c r="H173" s="108"/>
      <c r="I173" s="108"/>
      <c r="J173" s="108"/>
      <c r="K173" s="108"/>
      <c r="L173" s="108"/>
      <c r="M173" s="108"/>
      <c r="N173" s="108"/>
      <c r="O173" s="108"/>
      <c r="P173" s="108"/>
      <c r="R173" s="100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9"/>
      <c r="AD173" s="108"/>
      <c r="AE173" s="108"/>
      <c r="AF173" s="48"/>
      <c r="AG173" s="110"/>
    </row>
    <row r="174" spans="5:33" x14ac:dyDescent="0.4">
      <c r="E174" s="107"/>
      <c r="F174" s="107"/>
      <c r="H174" s="108"/>
      <c r="I174" s="108"/>
      <c r="J174" s="108"/>
      <c r="K174" s="108"/>
      <c r="L174" s="108"/>
      <c r="M174" s="108"/>
      <c r="N174" s="108"/>
      <c r="O174" s="108"/>
      <c r="P174" s="108"/>
      <c r="R174" s="100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9"/>
      <c r="AD174" s="108"/>
      <c r="AE174" s="108"/>
      <c r="AF174" s="48"/>
      <c r="AG174" s="110"/>
    </row>
    <row r="175" spans="5:33" x14ac:dyDescent="0.4">
      <c r="E175" s="107"/>
      <c r="F175" s="107"/>
      <c r="H175" s="108"/>
      <c r="I175" s="108"/>
      <c r="J175" s="108"/>
      <c r="K175" s="108"/>
      <c r="L175" s="108"/>
      <c r="M175" s="108"/>
      <c r="N175" s="108"/>
      <c r="O175" s="108"/>
      <c r="P175" s="108"/>
      <c r="R175" s="100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9"/>
      <c r="AD175" s="108"/>
      <c r="AE175" s="108"/>
      <c r="AF175" s="48"/>
      <c r="AG175" s="110"/>
    </row>
    <row r="176" spans="5:33" x14ac:dyDescent="0.4">
      <c r="E176" s="107"/>
      <c r="F176" s="107"/>
      <c r="H176" s="108"/>
      <c r="I176" s="108"/>
      <c r="J176" s="108"/>
      <c r="K176" s="108"/>
      <c r="L176" s="108"/>
      <c r="M176" s="108"/>
      <c r="N176" s="108"/>
      <c r="O176" s="108"/>
      <c r="P176" s="108"/>
      <c r="R176" s="100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9"/>
      <c r="AD176" s="108"/>
      <c r="AE176" s="108"/>
      <c r="AF176" s="48"/>
      <c r="AG176" s="110"/>
    </row>
    <row r="177" spans="5:33" x14ac:dyDescent="0.4">
      <c r="E177" s="107"/>
      <c r="F177" s="107"/>
      <c r="H177" s="108"/>
      <c r="I177" s="108"/>
      <c r="J177" s="108"/>
      <c r="K177" s="108"/>
      <c r="L177" s="108"/>
      <c r="M177" s="108"/>
      <c r="N177" s="108"/>
      <c r="O177" s="108"/>
      <c r="P177" s="108"/>
      <c r="R177" s="100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9"/>
      <c r="AD177" s="108"/>
      <c r="AE177" s="108"/>
      <c r="AF177" s="48"/>
      <c r="AG177" s="110"/>
    </row>
    <row r="178" spans="5:33" x14ac:dyDescent="0.4">
      <c r="E178" s="107"/>
      <c r="F178" s="107"/>
      <c r="H178" s="108"/>
      <c r="I178" s="108"/>
      <c r="J178" s="108"/>
      <c r="K178" s="108"/>
      <c r="L178" s="108"/>
      <c r="M178" s="108"/>
      <c r="N178" s="108"/>
      <c r="O178" s="108"/>
      <c r="P178" s="108"/>
      <c r="R178" s="100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9"/>
      <c r="AD178" s="108"/>
      <c r="AE178" s="108"/>
      <c r="AF178" s="48"/>
      <c r="AG178" s="110"/>
    </row>
    <row r="179" spans="5:33" x14ac:dyDescent="0.4">
      <c r="E179" s="107"/>
      <c r="F179" s="107"/>
      <c r="H179" s="108"/>
      <c r="I179" s="108"/>
      <c r="J179" s="108"/>
      <c r="K179" s="108"/>
      <c r="L179" s="108"/>
      <c r="M179" s="108"/>
      <c r="N179" s="108"/>
      <c r="O179" s="108"/>
      <c r="P179" s="108"/>
      <c r="R179" s="100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9"/>
      <c r="AD179" s="108"/>
      <c r="AE179" s="108"/>
      <c r="AF179" s="48"/>
      <c r="AG179" s="110"/>
    </row>
    <row r="180" spans="5:33" x14ac:dyDescent="0.4">
      <c r="E180" s="107"/>
      <c r="F180" s="107"/>
      <c r="H180" s="108"/>
      <c r="I180" s="108"/>
      <c r="J180" s="108"/>
      <c r="K180" s="108"/>
      <c r="L180" s="108"/>
      <c r="M180" s="108"/>
      <c r="N180" s="108"/>
      <c r="O180" s="108"/>
      <c r="P180" s="108"/>
      <c r="R180" s="100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9"/>
      <c r="AD180" s="108"/>
      <c r="AE180" s="108"/>
      <c r="AF180" s="48"/>
      <c r="AG180" s="110"/>
    </row>
    <row r="181" spans="5:33" x14ac:dyDescent="0.4">
      <c r="E181" s="107"/>
      <c r="F181" s="107"/>
      <c r="H181" s="108"/>
      <c r="I181" s="108"/>
      <c r="J181" s="108"/>
      <c r="K181" s="108"/>
      <c r="L181" s="108"/>
      <c r="M181" s="108"/>
      <c r="N181" s="108"/>
      <c r="O181" s="108"/>
      <c r="P181" s="108"/>
      <c r="R181" s="100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9"/>
      <c r="AD181" s="108"/>
      <c r="AE181" s="108"/>
      <c r="AF181" s="48"/>
      <c r="AG181" s="110"/>
    </row>
    <row r="182" spans="5:33" x14ac:dyDescent="0.4">
      <c r="E182" s="107"/>
      <c r="F182" s="107"/>
      <c r="H182" s="108"/>
      <c r="I182" s="108"/>
      <c r="J182" s="108"/>
      <c r="K182" s="108"/>
      <c r="L182" s="108"/>
      <c r="M182" s="108"/>
      <c r="N182" s="108"/>
      <c r="O182" s="108"/>
      <c r="P182" s="108"/>
      <c r="R182" s="100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9"/>
      <c r="AD182" s="108"/>
      <c r="AE182" s="108"/>
      <c r="AF182" s="48"/>
      <c r="AG182" s="110"/>
    </row>
    <row r="183" spans="5:33" x14ac:dyDescent="0.4">
      <c r="E183" s="107"/>
      <c r="F183" s="107"/>
      <c r="H183" s="108"/>
      <c r="I183" s="108"/>
      <c r="J183" s="108"/>
      <c r="K183" s="108"/>
      <c r="L183" s="108"/>
      <c r="M183" s="108"/>
      <c r="N183" s="108"/>
      <c r="O183" s="108"/>
      <c r="P183" s="108"/>
      <c r="R183" s="100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9"/>
      <c r="AD183" s="108"/>
      <c r="AE183" s="108"/>
      <c r="AF183" s="48"/>
      <c r="AG183" s="110"/>
    </row>
    <row r="184" spans="5:33" x14ac:dyDescent="0.4">
      <c r="E184" s="107"/>
      <c r="F184" s="107"/>
      <c r="H184" s="108"/>
      <c r="I184" s="108"/>
      <c r="J184" s="108"/>
      <c r="K184" s="108"/>
      <c r="L184" s="108"/>
      <c r="M184" s="108"/>
      <c r="N184" s="108"/>
      <c r="O184" s="108"/>
      <c r="P184" s="108"/>
      <c r="R184" s="100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9"/>
      <c r="AD184" s="108"/>
      <c r="AE184" s="108"/>
      <c r="AF184" s="48"/>
      <c r="AG184" s="110"/>
    </row>
    <row r="185" spans="5:33" x14ac:dyDescent="0.4">
      <c r="E185" s="107"/>
      <c r="F185" s="107"/>
      <c r="H185" s="108"/>
      <c r="I185" s="108"/>
      <c r="J185" s="108"/>
      <c r="K185" s="108"/>
      <c r="L185" s="108"/>
      <c r="M185" s="108"/>
      <c r="N185" s="108"/>
      <c r="O185" s="108"/>
      <c r="P185" s="108"/>
      <c r="R185" s="100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9"/>
      <c r="AD185" s="108"/>
      <c r="AE185" s="108"/>
      <c r="AF185" s="48"/>
      <c r="AG185" s="110"/>
    </row>
    <row r="186" spans="5:33" x14ac:dyDescent="0.4">
      <c r="E186" s="107"/>
      <c r="F186" s="107"/>
      <c r="H186" s="108"/>
      <c r="I186" s="108"/>
      <c r="J186" s="108"/>
      <c r="K186" s="108"/>
      <c r="L186" s="108"/>
      <c r="M186" s="108"/>
      <c r="N186" s="108"/>
      <c r="O186" s="108"/>
      <c r="P186" s="108"/>
      <c r="R186" s="100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9"/>
      <c r="AD186" s="108"/>
      <c r="AE186" s="108"/>
      <c r="AF186" s="48"/>
      <c r="AG186" s="110"/>
    </row>
    <row r="187" spans="5:33" x14ac:dyDescent="0.4">
      <c r="E187" s="107"/>
      <c r="F187" s="107"/>
      <c r="H187" s="108"/>
      <c r="I187" s="108"/>
      <c r="J187" s="108"/>
      <c r="K187" s="108"/>
      <c r="L187" s="108"/>
      <c r="M187" s="108"/>
      <c r="N187" s="108"/>
      <c r="O187" s="108"/>
      <c r="P187" s="108"/>
      <c r="R187" s="100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9"/>
      <c r="AD187" s="108"/>
      <c r="AE187" s="108"/>
      <c r="AF187" s="48"/>
      <c r="AG187" s="110"/>
    </row>
    <row r="188" spans="5:33" x14ac:dyDescent="0.4">
      <c r="E188" s="107"/>
      <c r="F188" s="107"/>
      <c r="H188" s="108"/>
      <c r="I188" s="108"/>
      <c r="J188" s="108"/>
      <c r="K188" s="108"/>
      <c r="L188" s="108"/>
      <c r="M188" s="108"/>
      <c r="N188" s="108"/>
      <c r="O188" s="108"/>
      <c r="P188" s="108"/>
      <c r="R188" s="100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9"/>
      <c r="AD188" s="108"/>
      <c r="AE188" s="108"/>
      <c r="AF188" s="48"/>
      <c r="AG188" s="110"/>
    </row>
    <row r="189" spans="5:33" x14ac:dyDescent="0.4">
      <c r="E189" s="107"/>
      <c r="F189" s="107"/>
      <c r="H189" s="108"/>
      <c r="I189" s="108"/>
      <c r="J189" s="108"/>
      <c r="K189" s="108"/>
      <c r="L189" s="108"/>
      <c r="M189" s="108"/>
      <c r="N189" s="108"/>
      <c r="O189" s="108"/>
      <c r="P189" s="108"/>
      <c r="R189" s="100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9"/>
      <c r="AD189" s="108"/>
      <c r="AE189" s="108"/>
      <c r="AF189" s="48"/>
      <c r="AG189" s="110"/>
    </row>
    <row r="190" spans="5:33" x14ac:dyDescent="0.4">
      <c r="E190" s="107"/>
      <c r="F190" s="107"/>
      <c r="H190" s="108"/>
      <c r="I190" s="108"/>
      <c r="J190" s="108"/>
      <c r="K190" s="108"/>
      <c r="L190" s="108"/>
      <c r="M190" s="108"/>
      <c r="N190" s="108"/>
      <c r="O190" s="108"/>
      <c r="P190" s="108"/>
      <c r="R190" s="100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9"/>
      <c r="AD190" s="108"/>
      <c r="AE190" s="108"/>
      <c r="AF190" s="48"/>
      <c r="AG190" s="110"/>
    </row>
    <row r="191" spans="5:33" x14ac:dyDescent="0.4">
      <c r="E191" s="107"/>
      <c r="F191" s="107"/>
      <c r="H191" s="108"/>
      <c r="I191" s="108"/>
      <c r="J191" s="108"/>
      <c r="K191" s="108"/>
      <c r="L191" s="108"/>
      <c r="M191" s="108"/>
      <c r="N191" s="108"/>
      <c r="O191" s="108"/>
      <c r="P191" s="108"/>
      <c r="R191" s="100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9"/>
      <c r="AD191" s="108"/>
      <c r="AE191" s="108"/>
      <c r="AF191" s="48"/>
      <c r="AG191" s="110"/>
    </row>
    <row r="192" spans="5:33" x14ac:dyDescent="0.4">
      <c r="E192" s="107"/>
      <c r="F192" s="107"/>
      <c r="H192" s="108"/>
      <c r="I192" s="108"/>
      <c r="J192" s="108"/>
      <c r="K192" s="108"/>
      <c r="L192" s="108"/>
      <c r="M192" s="108"/>
      <c r="N192" s="108"/>
      <c r="O192" s="108"/>
      <c r="P192" s="108"/>
      <c r="R192" s="100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9"/>
      <c r="AD192" s="108"/>
      <c r="AE192" s="108"/>
      <c r="AF192" s="48"/>
      <c r="AG192" s="110"/>
    </row>
    <row r="193" spans="5:33" x14ac:dyDescent="0.4">
      <c r="E193" s="107"/>
      <c r="F193" s="107"/>
      <c r="H193" s="108"/>
      <c r="I193" s="108"/>
      <c r="J193" s="108"/>
      <c r="K193" s="108"/>
      <c r="L193" s="108"/>
      <c r="M193" s="108"/>
      <c r="N193" s="108"/>
      <c r="O193" s="108"/>
      <c r="P193" s="108"/>
      <c r="R193" s="100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9"/>
      <c r="AD193" s="108"/>
      <c r="AE193" s="108"/>
      <c r="AF193" s="48"/>
      <c r="AG193" s="110"/>
    </row>
    <row r="194" spans="5:33" x14ac:dyDescent="0.4">
      <c r="E194" s="107"/>
      <c r="F194" s="107"/>
      <c r="H194" s="108"/>
      <c r="I194" s="108"/>
      <c r="J194" s="108"/>
      <c r="K194" s="108"/>
      <c r="L194" s="108"/>
      <c r="M194" s="108"/>
      <c r="N194" s="108"/>
      <c r="O194" s="108"/>
      <c r="P194" s="108"/>
      <c r="R194" s="100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9"/>
      <c r="AD194" s="108"/>
      <c r="AE194" s="108"/>
      <c r="AF194" s="48"/>
      <c r="AG194" s="110"/>
    </row>
    <row r="195" spans="5:33" x14ac:dyDescent="0.4">
      <c r="E195" s="107"/>
      <c r="F195" s="107"/>
      <c r="H195" s="108"/>
      <c r="I195" s="108"/>
      <c r="J195" s="108"/>
      <c r="K195" s="108"/>
      <c r="L195" s="108"/>
      <c r="M195" s="108"/>
      <c r="N195" s="108"/>
      <c r="O195" s="108"/>
      <c r="P195" s="108"/>
      <c r="R195" s="100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9"/>
      <c r="AD195" s="108"/>
      <c r="AE195" s="108"/>
      <c r="AF195" s="48"/>
      <c r="AG195" s="110"/>
    </row>
    <row r="196" spans="5:33" x14ac:dyDescent="0.4">
      <c r="E196" s="107"/>
      <c r="F196" s="107"/>
      <c r="H196" s="108"/>
      <c r="I196" s="108"/>
      <c r="J196" s="108"/>
      <c r="K196" s="108"/>
      <c r="L196" s="108"/>
      <c r="M196" s="108"/>
      <c r="N196" s="108"/>
      <c r="O196" s="108"/>
      <c r="P196" s="108"/>
      <c r="R196" s="100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9"/>
      <c r="AD196" s="108"/>
      <c r="AE196" s="108"/>
      <c r="AF196" s="48"/>
      <c r="AG196" s="110"/>
    </row>
    <row r="197" spans="5:33" x14ac:dyDescent="0.4">
      <c r="E197" s="107"/>
      <c r="F197" s="107"/>
      <c r="H197" s="108"/>
      <c r="I197" s="108"/>
      <c r="J197" s="108"/>
      <c r="K197" s="108"/>
      <c r="L197" s="108"/>
      <c r="M197" s="108"/>
      <c r="N197" s="108"/>
      <c r="O197" s="108"/>
      <c r="P197" s="108"/>
      <c r="R197" s="100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9"/>
      <c r="AD197" s="108"/>
      <c r="AE197" s="108"/>
      <c r="AF197" s="48"/>
      <c r="AG197" s="110"/>
    </row>
    <row r="198" spans="5:33" x14ac:dyDescent="0.4">
      <c r="E198" s="107"/>
      <c r="F198" s="107"/>
      <c r="H198" s="108"/>
      <c r="I198" s="108"/>
      <c r="J198" s="108"/>
      <c r="K198" s="108"/>
      <c r="L198" s="108"/>
      <c r="M198" s="108"/>
      <c r="N198" s="108"/>
      <c r="O198" s="108"/>
      <c r="P198" s="108"/>
      <c r="R198" s="100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9"/>
      <c r="AD198" s="108"/>
      <c r="AE198" s="108"/>
      <c r="AF198" s="48"/>
      <c r="AG198" s="110"/>
    </row>
    <row r="199" spans="5:33" x14ac:dyDescent="0.4">
      <c r="E199" s="107"/>
      <c r="F199" s="107"/>
      <c r="H199" s="108"/>
      <c r="I199" s="108"/>
      <c r="J199" s="108"/>
      <c r="K199" s="108"/>
      <c r="L199" s="108"/>
      <c r="M199" s="108"/>
      <c r="N199" s="108"/>
      <c r="O199" s="108"/>
      <c r="P199" s="108"/>
      <c r="R199" s="100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9"/>
      <c r="AD199" s="108"/>
      <c r="AE199" s="108"/>
      <c r="AF199" s="48"/>
      <c r="AG199" s="110"/>
    </row>
    <row r="200" spans="5:33" x14ac:dyDescent="0.4">
      <c r="E200" s="107"/>
      <c r="F200" s="107"/>
      <c r="H200" s="108"/>
      <c r="I200" s="108"/>
      <c r="J200" s="108"/>
      <c r="K200" s="108"/>
      <c r="L200" s="108"/>
      <c r="M200" s="108"/>
      <c r="N200" s="108"/>
      <c r="O200" s="108"/>
      <c r="P200" s="108"/>
      <c r="R200" s="100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9"/>
      <c r="AD200" s="108"/>
      <c r="AE200" s="108"/>
      <c r="AF200" s="48"/>
      <c r="AG200" s="110"/>
    </row>
    <row r="201" spans="5:33" x14ac:dyDescent="0.4">
      <c r="E201" s="107"/>
      <c r="F201" s="107"/>
      <c r="H201" s="108"/>
      <c r="I201" s="108"/>
      <c r="J201" s="108"/>
      <c r="K201" s="108"/>
      <c r="L201" s="108"/>
      <c r="M201" s="108"/>
      <c r="N201" s="108"/>
      <c r="O201" s="108"/>
      <c r="P201" s="108"/>
      <c r="R201" s="100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9"/>
      <c r="AD201" s="108"/>
      <c r="AE201" s="108"/>
      <c r="AF201" s="48"/>
      <c r="AG201" s="110"/>
    </row>
    <row r="202" spans="5:33" x14ac:dyDescent="0.4">
      <c r="E202" s="107"/>
      <c r="F202" s="107"/>
      <c r="H202" s="108"/>
      <c r="I202" s="108"/>
      <c r="J202" s="108"/>
      <c r="K202" s="108"/>
      <c r="L202" s="108"/>
      <c r="M202" s="108"/>
      <c r="N202" s="108"/>
      <c r="O202" s="108"/>
      <c r="P202" s="108"/>
      <c r="R202" s="100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9"/>
      <c r="AD202" s="108"/>
      <c r="AE202" s="108"/>
      <c r="AF202" s="48"/>
      <c r="AG202" s="110"/>
    </row>
    <row r="203" spans="5:33" x14ac:dyDescent="0.4">
      <c r="E203" s="107"/>
      <c r="F203" s="107"/>
      <c r="H203" s="108"/>
      <c r="I203" s="108"/>
      <c r="J203" s="108"/>
      <c r="K203" s="108"/>
      <c r="L203" s="108"/>
      <c r="M203" s="108"/>
      <c r="N203" s="108"/>
      <c r="O203" s="108"/>
      <c r="P203" s="108"/>
      <c r="R203" s="100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9"/>
      <c r="AD203" s="108"/>
      <c r="AE203" s="108"/>
      <c r="AF203" s="48"/>
      <c r="AG203" s="110"/>
    </row>
    <row r="204" spans="5:33" x14ac:dyDescent="0.4">
      <c r="E204" s="107"/>
      <c r="F204" s="107"/>
      <c r="H204" s="108"/>
      <c r="I204" s="108"/>
      <c r="J204" s="108"/>
      <c r="K204" s="108"/>
      <c r="L204" s="108"/>
      <c r="M204" s="108"/>
      <c r="N204" s="108"/>
      <c r="O204" s="108"/>
      <c r="P204" s="108"/>
      <c r="R204" s="100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9"/>
      <c r="AD204" s="108"/>
      <c r="AE204" s="108"/>
      <c r="AF204" s="48"/>
      <c r="AG204" s="110"/>
    </row>
    <row r="205" spans="5:33" x14ac:dyDescent="0.4">
      <c r="E205" s="107"/>
      <c r="F205" s="107"/>
      <c r="H205" s="108"/>
      <c r="I205" s="108"/>
      <c r="J205" s="108"/>
      <c r="K205" s="108"/>
      <c r="L205" s="108"/>
      <c r="M205" s="108"/>
      <c r="N205" s="108"/>
      <c r="O205" s="108"/>
      <c r="P205" s="108"/>
      <c r="R205" s="100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9"/>
      <c r="AD205" s="108"/>
      <c r="AE205" s="108"/>
      <c r="AF205" s="48"/>
      <c r="AG205" s="110"/>
    </row>
    <row r="206" spans="5:33" x14ac:dyDescent="0.4">
      <c r="E206" s="107"/>
      <c r="F206" s="107"/>
      <c r="H206" s="108"/>
      <c r="I206" s="108"/>
      <c r="J206" s="108"/>
      <c r="K206" s="108"/>
      <c r="L206" s="108"/>
      <c r="M206" s="108"/>
      <c r="N206" s="108"/>
      <c r="O206" s="108"/>
      <c r="P206" s="108"/>
      <c r="R206" s="100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9"/>
      <c r="AD206" s="108"/>
      <c r="AE206" s="108"/>
      <c r="AF206" s="48"/>
      <c r="AG206" s="110"/>
    </row>
    <row r="207" spans="5:33" x14ac:dyDescent="0.4">
      <c r="E207" s="107"/>
      <c r="F207" s="107"/>
      <c r="H207" s="108"/>
      <c r="I207" s="108"/>
      <c r="J207" s="108"/>
      <c r="K207" s="108"/>
      <c r="L207" s="108"/>
      <c r="M207" s="108"/>
      <c r="N207" s="108"/>
      <c r="O207" s="108"/>
      <c r="P207" s="108"/>
      <c r="R207" s="100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9"/>
      <c r="AD207" s="108"/>
      <c r="AE207" s="108"/>
      <c r="AF207" s="48"/>
      <c r="AG207" s="110"/>
    </row>
    <row r="208" spans="5:33" x14ac:dyDescent="0.4">
      <c r="E208" s="107"/>
      <c r="F208" s="107"/>
      <c r="H208" s="108"/>
      <c r="I208" s="108"/>
      <c r="J208" s="108"/>
      <c r="K208" s="108"/>
      <c r="L208" s="108"/>
      <c r="M208" s="108"/>
      <c r="N208" s="108"/>
      <c r="O208" s="108"/>
      <c r="P208" s="108"/>
      <c r="R208" s="100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9"/>
      <c r="AD208" s="108"/>
      <c r="AE208" s="108"/>
      <c r="AF208" s="48"/>
      <c r="AG208" s="110"/>
    </row>
    <row r="209" spans="5:33" x14ac:dyDescent="0.4">
      <c r="E209" s="107"/>
      <c r="F209" s="107"/>
      <c r="H209" s="108"/>
      <c r="I209" s="108"/>
      <c r="J209" s="108"/>
      <c r="K209" s="108"/>
      <c r="L209" s="108"/>
      <c r="M209" s="108"/>
      <c r="N209" s="108"/>
      <c r="O209" s="108"/>
      <c r="P209" s="108"/>
      <c r="R209" s="100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9"/>
      <c r="AD209" s="108"/>
      <c r="AE209" s="108"/>
      <c r="AF209" s="48"/>
      <c r="AG209" s="110"/>
    </row>
    <row r="210" spans="5:33" x14ac:dyDescent="0.4">
      <c r="E210" s="107"/>
      <c r="F210" s="107"/>
      <c r="H210" s="108"/>
      <c r="I210" s="108"/>
      <c r="J210" s="108"/>
      <c r="K210" s="108"/>
      <c r="L210" s="108"/>
      <c r="M210" s="108"/>
      <c r="N210" s="108"/>
      <c r="O210" s="108"/>
      <c r="P210" s="108"/>
      <c r="R210" s="100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9"/>
      <c r="AD210" s="108"/>
      <c r="AE210" s="108"/>
      <c r="AF210" s="48"/>
      <c r="AG210" s="110"/>
    </row>
    <row r="211" spans="5:33" x14ac:dyDescent="0.4">
      <c r="E211" s="107"/>
      <c r="F211" s="107"/>
      <c r="H211" s="108"/>
      <c r="I211" s="108"/>
      <c r="J211" s="108"/>
      <c r="K211" s="108"/>
      <c r="L211" s="108"/>
      <c r="M211" s="108"/>
      <c r="N211" s="108"/>
      <c r="O211" s="108"/>
      <c r="P211" s="108"/>
      <c r="R211" s="100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9"/>
      <c r="AD211" s="108"/>
      <c r="AE211" s="108"/>
      <c r="AF211" s="48"/>
      <c r="AG211" s="110"/>
    </row>
    <row r="212" spans="5:33" x14ac:dyDescent="0.4">
      <c r="E212" s="107"/>
      <c r="F212" s="107"/>
      <c r="H212" s="108"/>
      <c r="I212" s="108"/>
      <c r="J212" s="108"/>
      <c r="K212" s="108"/>
      <c r="L212" s="108"/>
      <c r="M212" s="108"/>
      <c r="N212" s="108"/>
      <c r="O212" s="108"/>
      <c r="P212" s="108"/>
      <c r="R212" s="100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9"/>
      <c r="AD212" s="108"/>
      <c r="AE212" s="108"/>
      <c r="AF212" s="48"/>
      <c r="AG212" s="110"/>
    </row>
    <row r="213" spans="5:33" x14ac:dyDescent="0.4">
      <c r="E213" s="107"/>
      <c r="F213" s="107"/>
      <c r="H213" s="108"/>
      <c r="I213" s="108"/>
      <c r="J213" s="108"/>
      <c r="K213" s="108"/>
      <c r="L213" s="108"/>
      <c r="M213" s="108"/>
      <c r="N213" s="108"/>
      <c r="O213" s="108"/>
      <c r="P213" s="108"/>
      <c r="R213" s="100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9"/>
      <c r="AD213" s="108"/>
      <c r="AE213" s="108"/>
      <c r="AF213" s="48"/>
      <c r="AG213" s="110"/>
    </row>
    <row r="214" spans="5:33" x14ac:dyDescent="0.4">
      <c r="E214" s="107"/>
      <c r="F214" s="107"/>
      <c r="H214" s="108"/>
      <c r="I214" s="108"/>
      <c r="J214" s="108"/>
      <c r="K214" s="108"/>
      <c r="L214" s="108"/>
      <c r="M214" s="108"/>
      <c r="N214" s="108"/>
      <c r="O214" s="108"/>
      <c r="P214" s="108"/>
      <c r="R214" s="100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9"/>
      <c r="AD214" s="108"/>
      <c r="AE214" s="108"/>
      <c r="AF214" s="48"/>
      <c r="AG214" s="110"/>
    </row>
    <row r="215" spans="5:33" x14ac:dyDescent="0.4">
      <c r="E215" s="107"/>
      <c r="F215" s="107"/>
      <c r="H215" s="108"/>
      <c r="I215" s="108"/>
      <c r="J215" s="108"/>
      <c r="K215" s="108"/>
      <c r="L215" s="108"/>
      <c r="M215" s="108"/>
      <c r="N215" s="108"/>
      <c r="O215" s="108"/>
      <c r="P215" s="108"/>
      <c r="R215" s="100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9"/>
      <c r="AD215" s="108"/>
      <c r="AE215" s="108"/>
      <c r="AF215" s="48"/>
      <c r="AG215" s="110"/>
    </row>
    <row r="216" spans="5:33" x14ac:dyDescent="0.4">
      <c r="E216" s="107"/>
      <c r="F216" s="107"/>
      <c r="H216" s="108"/>
      <c r="I216" s="108"/>
      <c r="J216" s="108"/>
      <c r="K216" s="108"/>
      <c r="L216" s="108"/>
      <c r="M216" s="108"/>
      <c r="N216" s="108"/>
      <c r="O216" s="108"/>
      <c r="P216" s="108"/>
      <c r="R216" s="100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9"/>
      <c r="AD216" s="108"/>
      <c r="AE216" s="108"/>
      <c r="AF216" s="48"/>
      <c r="AG216" s="110"/>
    </row>
    <row r="217" spans="5:33" x14ac:dyDescent="0.4">
      <c r="E217" s="107"/>
      <c r="F217" s="107"/>
      <c r="H217" s="108"/>
      <c r="I217" s="108"/>
      <c r="J217" s="108"/>
      <c r="K217" s="108"/>
      <c r="L217" s="108"/>
      <c r="M217" s="108"/>
      <c r="N217" s="108"/>
      <c r="O217" s="108"/>
      <c r="P217" s="108"/>
      <c r="R217" s="100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9"/>
      <c r="AD217" s="108"/>
      <c r="AE217" s="108"/>
      <c r="AF217" s="48"/>
      <c r="AG217" s="110"/>
    </row>
    <row r="218" spans="5:33" x14ac:dyDescent="0.4">
      <c r="E218" s="107"/>
      <c r="F218" s="107"/>
      <c r="H218" s="108"/>
      <c r="I218" s="108"/>
      <c r="J218" s="108"/>
      <c r="K218" s="108"/>
      <c r="L218" s="108"/>
      <c r="M218" s="108"/>
      <c r="N218" s="108"/>
      <c r="O218" s="108"/>
      <c r="P218" s="108"/>
      <c r="R218" s="100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9"/>
      <c r="AD218" s="108"/>
      <c r="AE218" s="108"/>
      <c r="AF218" s="48"/>
      <c r="AG218" s="110"/>
    </row>
    <row r="219" spans="5:33" x14ac:dyDescent="0.4">
      <c r="E219" s="107"/>
      <c r="F219" s="107"/>
      <c r="H219" s="108"/>
      <c r="I219" s="108"/>
      <c r="J219" s="108"/>
      <c r="K219" s="108"/>
      <c r="L219" s="108"/>
      <c r="M219" s="108"/>
      <c r="N219" s="108"/>
      <c r="O219" s="108"/>
      <c r="P219" s="108"/>
      <c r="R219" s="100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9"/>
      <c r="AD219" s="108"/>
      <c r="AE219" s="108"/>
      <c r="AF219" s="48"/>
      <c r="AG219" s="110"/>
    </row>
    <row r="220" spans="5:33" x14ac:dyDescent="0.4">
      <c r="E220" s="107"/>
      <c r="F220" s="107"/>
      <c r="H220" s="108"/>
      <c r="I220" s="108"/>
      <c r="J220" s="108"/>
      <c r="K220" s="108"/>
      <c r="L220" s="108"/>
      <c r="M220" s="108"/>
      <c r="N220" s="108"/>
      <c r="O220" s="108"/>
      <c r="P220" s="108"/>
      <c r="R220" s="100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9"/>
      <c r="AD220" s="108"/>
      <c r="AE220" s="108"/>
      <c r="AF220" s="48"/>
      <c r="AG220" s="110"/>
    </row>
    <row r="221" spans="5:33" x14ac:dyDescent="0.4">
      <c r="E221" s="107"/>
      <c r="F221" s="107"/>
      <c r="H221" s="108"/>
      <c r="I221" s="108"/>
      <c r="J221" s="108"/>
      <c r="K221" s="108"/>
      <c r="L221" s="108"/>
      <c r="M221" s="108"/>
      <c r="N221" s="108"/>
      <c r="O221" s="108"/>
      <c r="P221" s="108"/>
      <c r="R221" s="100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9"/>
      <c r="AD221" s="108"/>
      <c r="AE221" s="108"/>
      <c r="AF221" s="48"/>
      <c r="AG221" s="110"/>
    </row>
    <row r="222" spans="5:33" x14ac:dyDescent="0.4">
      <c r="E222" s="107"/>
      <c r="F222" s="107"/>
      <c r="H222" s="108"/>
      <c r="I222" s="108"/>
      <c r="J222" s="108"/>
      <c r="K222" s="108"/>
      <c r="L222" s="108"/>
      <c r="M222" s="108"/>
      <c r="N222" s="108"/>
      <c r="O222" s="108"/>
      <c r="P222" s="108"/>
      <c r="R222" s="100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9"/>
      <c r="AD222" s="108"/>
      <c r="AE222" s="108"/>
      <c r="AF222" s="48"/>
      <c r="AG222" s="110"/>
    </row>
    <row r="223" spans="5:33" x14ac:dyDescent="0.4">
      <c r="E223" s="107"/>
      <c r="F223" s="107"/>
      <c r="H223" s="108"/>
      <c r="I223" s="108"/>
      <c r="J223" s="108"/>
      <c r="K223" s="108"/>
      <c r="L223" s="108"/>
      <c r="M223" s="108"/>
      <c r="N223" s="108"/>
      <c r="O223" s="108"/>
      <c r="P223" s="108"/>
      <c r="R223" s="100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9"/>
      <c r="AD223" s="108"/>
      <c r="AE223" s="108"/>
      <c r="AF223" s="48"/>
      <c r="AG223" s="110"/>
    </row>
    <row r="224" spans="5:33" x14ac:dyDescent="0.4">
      <c r="E224" s="107"/>
      <c r="F224" s="107"/>
      <c r="H224" s="108"/>
      <c r="I224" s="108"/>
      <c r="J224" s="108"/>
      <c r="K224" s="108"/>
      <c r="L224" s="108"/>
      <c r="M224" s="108"/>
      <c r="N224" s="108"/>
      <c r="O224" s="108"/>
      <c r="P224" s="108"/>
      <c r="R224" s="100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9"/>
      <c r="AD224" s="108"/>
      <c r="AE224" s="108"/>
      <c r="AF224" s="48"/>
      <c r="AG224" s="110"/>
    </row>
    <row r="225" spans="5:33" x14ac:dyDescent="0.4">
      <c r="E225" s="107"/>
      <c r="F225" s="107"/>
      <c r="H225" s="108"/>
      <c r="I225" s="108"/>
      <c r="J225" s="108"/>
      <c r="K225" s="108"/>
      <c r="L225" s="108"/>
      <c r="M225" s="108"/>
      <c r="N225" s="108"/>
      <c r="O225" s="108"/>
      <c r="P225" s="108"/>
      <c r="R225" s="100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9"/>
      <c r="AD225" s="108"/>
      <c r="AE225" s="108"/>
      <c r="AF225" s="48"/>
      <c r="AG225" s="110"/>
    </row>
    <row r="226" spans="5:33" x14ac:dyDescent="0.4">
      <c r="E226" s="107"/>
      <c r="F226" s="107"/>
      <c r="H226" s="108"/>
      <c r="I226" s="108"/>
      <c r="J226" s="108"/>
      <c r="K226" s="108"/>
      <c r="L226" s="108"/>
      <c r="M226" s="108"/>
      <c r="N226" s="108"/>
      <c r="O226" s="108"/>
      <c r="P226" s="108"/>
      <c r="R226" s="100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9"/>
      <c r="AD226" s="108"/>
      <c r="AE226" s="108"/>
      <c r="AF226" s="48"/>
      <c r="AG226" s="110"/>
    </row>
    <row r="227" spans="5:33" x14ac:dyDescent="0.4">
      <c r="E227" s="107"/>
      <c r="F227" s="107"/>
      <c r="H227" s="108"/>
      <c r="I227" s="108"/>
      <c r="J227" s="108"/>
      <c r="K227" s="108"/>
      <c r="L227" s="108"/>
      <c r="M227" s="108"/>
      <c r="N227" s="108"/>
      <c r="O227" s="108"/>
      <c r="P227" s="108"/>
      <c r="R227" s="100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9"/>
      <c r="AD227" s="108"/>
      <c r="AE227" s="108"/>
      <c r="AF227" s="48"/>
      <c r="AG227" s="110"/>
    </row>
    <row r="228" spans="5:33" x14ac:dyDescent="0.4">
      <c r="E228" s="107"/>
      <c r="F228" s="107"/>
      <c r="H228" s="108"/>
      <c r="I228" s="108"/>
      <c r="J228" s="108"/>
      <c r="K228" s="108"/>
      <c r="L228" s="108"/>
      <c r="M228" s="108"/>
      <c r="N228" s="108"/>
      <c r="O228" s="108"/>
      <c r="P228" s="108"/>
      <c r="R228" s="100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9"/>
      <c r="AD228" s="108"/>
      <c r="AE228" s="108"/>
      <c r="AF228" s="48"/>
      <c r="AG228" s="110"/>
    </row>
    <row r="229" spans="5:33" x14ac:dyDescent="0.4">
      <c r="E229" s="107"/>
      <c r="F229" s="107"/>
      <c r="H229" s="108"/>
      <c r="I229" s="108"/>
      <c r="J229" s="108"/>
      <c r="K229" s="108"/>
      <c r="L229" s="108"/>
      <c r="M229" s="108"/>
      <c r="N229" s="108"/>
      <c r="O229" s="108"/>
      <c r="P229" s="108"/>
      <c r="R229" s="100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9"/>
      <c r="AD229" s="108"/>
      <c r="AE229" s="108"/>
      <c r="AF229" s="48"/>
      <c r="AG229" s="110"/>
    </row>
    <row r="230" spans="5:33" x14ac:dyDescent="0.4">
      <c r="E230" s="107"/>
      <c r="F230" s="107"/>
      <c r="H230" s="108"/>
      <c r="I230" s="108"/>
      <c r="J230" s="108"/>
      <c r="K230" s="108"/>
      <c r="L230" s="108"/>
      <c r="M230" s="108"/>
      <c r="N230" s="108"/>
      <c r="O230" s="108"/>
      <c r="P230" s="108"/>
      <c r="R230" s="100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9"/>
      <c r="AD230" s="108"/>
      <c r="AE230" s="108"/>
      <c r="AF230" s="48"/>
      <c r="AG230" s="110"/>
    </row>
    <row r="231" spans="5:33" x14ac:dyDescent="0.4">
      <c r="E231" s="107"/>
      <c r="F231" s="107"/>
      <c r="H231" s="108"/>
      <c r="I231" s="108"/>
      <c r="J231" s="108"/>
      <c r="K231" s="108"/>
      <c r="L231" s="108"/>
      <c r="M231" s="108"/>
      <c r="N231" s="108"/>
      <c r="O231" s="108"/>
      <c r="P231" s="108"/>
      <c r="R231" s="100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9"/>
      <c r="AD231" s="108"/>
      <c r="AE231" s="108"/>
      <c r="AF231" s="48"/>
      <c r="AG231" s="110"/>
    </row>
    <row r="232" spans="5:33" x14ac:dyDescent="0.4">
      <c r="E232" s="107"/>
      <c r="F232" s="107"/>
      <c r="H232" s="108"/>
      <c r="I232" s="108"/>
      <c r="J232" s="108"/>
      <c r="K232" s="108"/>
      <c r="L232" s="108"/>
      <c r="M232" s="108"/>
      <c r="N232" s="108"/>
      <c r="O232" s="108"/>
      <c r="P232" s="108"/>
      <c r="R232" s="100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9"/>
      <c r="AD232" s="108"/>
      <c r="AE232" s="108"/>
      <c r="AF232" s="48"/>
      <c r="AG232" s="110"/>
    </row>
    <row r="233" spans="5:33" x14ac:dyDescent="0.4">
      <c r="E233" s="107"/>
      <c r="F233" s="126"/>
      <c r="H233" s="108"/>
      <c r="I233" s="108"/>
      <c r="J233" s="108"/>
      <c r="K233" s="108"/>
      <c r="L233" s="127"/>
      <c r="M233" s="108"/>
      <c r="N233" s="127"/>
      <c r="O233" s="127"/>
      <c r="P233" s="127"/>
      <c r="Q233" s="128"/>
      <c r="R233" s="128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9"/>
      <c r="AD233" s="127"/>
      <c r="AE233" s="127"/>
      <c r="AF233" s="130"/>
      <c r="AG233" s="110"/>
    </row>
    <row r="234" spans="5:33" x14ac:dyDescent="0.4">
      <c r="E234" s="107"/>
      <c r="F234" s="107"/>
      <c r="AG234" s="110"/>
    </row>
    <row r="235" spans="5:33" x14ac:dyDescent="0.4">
      <c r="E235" s="107"/>
      <c r="F235" s="107"/>
      <c r="AG235" s="110"/>
    </row>
    <row r="236" spans="5:33" x14ac:dyDescent="0.4">
      <c r="E236" s="107"/>
      <c r="F236" s="107"/>
      <c r="AG236" s="110"/>
    </row>
    <row r="237" spans="5:33" x14ac:dyDescent="0.4">
      <c r="E237" s="107"/>
      <c r="F237" s="107"/>
      <c r="AG237" s="110"/>
    </row>
    <row r="238" spans="5:33" x14ac:dyDescent="0.4">
      <c r="E238" s="107"/>
      <c r="F238" s="107"/>
      <c r="AG238" s="110"/>
    </row>
    <row r="239" spans="5:33" x14ac:dyDescent="0.4">
      <c r="E239" s="107"/>
      <c r="F239" s="107"/>
      <c r="AG239" s="110"/>
    </row>
    <row r="240" spans="5:33" x14ac:dyDescent="0.4">
      <c r="E240" s="107"/>
      <c r="F240" s="107"/>
      <c r="AG240" s="110"/>
    </row>
    <row r="241" spans="5:33" x14ac:dyDescent="0.4">
      <c r="E241" s="107"/>
      <c r="F241" s="107"/>
      <c r="AG241" s="110"/>
    </row>
    <row r="242" spans="5:33" x14ac:dyDescent="0.4">
      <c r="E242" s="107"/>
      <c r="F242" s="107"/>
      <c r="AG242" s="110"/>
    </row>
    <row r="243" spans="5:33" x14ac:dyDescent="0.4">
      <c r="E243" s="107"/>
      <c r="F243" s="107"/>
      <c r="AG243" s="110"/>
    </row>
    <row r="244" spans="5:33" x14ac:dyDescent="0.4">
      <c r="E244" s="107"/>
      <c r="F244" s="107"/>
      <c r="AG244" s="110"/>
    </row>
    <row r="245" spans="5:33" x14ac:dyDescent="0.4">
      <c r="E245" s="107"/>
      <c r="F245" s="107"/>
      <c r="AG245" s="110"/>
    </row>
    <row r="246" spans="5:33" x14ac:dyDescent="0.4">
      <c r="E246" s="107"/>
      <c r="F246" s="107"/>
      <c r="AG246" s="110"/>
    </row>
    <row r="247" spans="5:33" x14ac:dyDescent="0.4">
      <c r="E247" s="126"/>
      <c r="F247" s="107"/>
      <c r="AG247" s="131"/>
    </row>
    <row r="248" spans="5:33" x14ac:dyDescent="0.4">
      <c r="E248" s="107"/>
      <c r="F248" s="107"/>
    </row>
    <row r="249" spans="5:33" x14ac:dyDescent="0.4">
      <c r="E249" s="107"/>
      <c r="F249" s="107"/>
    </row>
    <row r="250" spans="5:33" x14ac:dyDescent="0.4">
      <c r="E250" s="107"/>
      <c r="F250" s="107"/>
    </row>
    <row r="251" spans="5:33" x14ac:dyDescent="0.4">
      <c r="E251" s="107"/>
      <c r="F251" s="107"/>
    </row>
    <row r="252" spans="5:33" x14ac:dyDescent="0.4">
      <c r="E252" s="107"/>
      <c r="F252" s="107"/>
    </row>
    <row r="253" spans="5:33" x14ac:dyDescent="0.4">
      <c r="E253" s="107"/>
      <c r="F253" s="107"/>
    </row>
    <row r="254" spans="5:33" x14ac:dyDescent="0.4">
      <c r="E254" s="107"/>
      <c r="F254" s="107"/>
    </row>
    <row r="255" spans="5:33" x14ac:dyDescent="0.4">
      <c r="E255" s="107"/>
      <c r="F255" s="107"/>
    </row>
    <row r="256" spans="5:33" x14ac:dyDescent="0.4">
      <c r="E256" s="107"/>
      <c r="F256" s="107"/>
    </row>
    <row r="257" spans="5:6" x14ac:dyDescent="0.4">
      <c r="E257" s="107"/>
      <c r="F257" s="107"/>
    </row>
    <row r="258" spans="5:6" x14ac:dyDescent="0.4">
      <c r="E258" s="107"/>
      <c r="F258" s="107"/>
    </row>
    <row r="259" spans="5:6" x14ac:dyDescent="0.4">
      <c r="E259" s="107"/>
      <c r="F259" s="107"/>
    </row>
    <row r="260" spans="5:6" x14ac:dyDescent="0.4">
      <c r="E260" s="107"/>
      <c r="F260" s="107"/>
    </row>
    <row r="261" spans="5:6" x14ac:dyDescent="0.4">
      <c r="E261" s="107"/>
      <c r="F261" s="107"/>
    </row>
    <row r="262" spans="5:6" x14ac:dyDescent="0.4">
      <c r="E262" s="107"/>
      <c r="F262" s="107"/>
    </row>
    <row r="263" spans="5:6" x14ac:dyDescent="0.4">
      <c r="E263" s="107"/>
      <c r="F263" s="107"/>
    </row>
    <row r="264" spans="5:6" x14ac:dyDescent="0.4">
      <c r="E264" s="107"/>
      <c r="F264" s="107"/>
    </row>
    <row r="265" spans="5:6" x14ac:dyDescent="0.4">
      <c r="E265" s="107"/>
      <c r="F265" s="107"/>
    </row>
    <row r="266" spans="5:6" x14ac:dyDescent="0.4">
      <c r="E266" s="107"/>
      <c r="F266" s="107"/>
    </row>
    <row r="267" spans="5:6" x14ac:dyDescent="0.4">
      <c r="E267" s="107"/>
      <c r="F267" s="107"/>
    </row>
    <row r="268" spans="5:6" x14ac:dyDescent="0.4">
      <c r="E268" s="107"/>
      <c r="F268" s="107"/>
    </row>
    <row r="269" spans="5:6" x14ac:dyDescent="0.4">
      <c r="E269" s="107"/>
      <c r="F269" s="107"/>
    </row>
    <row r="270" spans="5:6" x14ac:dyDescent="0.4">
      <c r="E270" s="107"/>
      <c r="F270" s="107"/>
    </row>
    <row r="271" spans="5:6" x14ac:dyDescent="0.4">
      <c r="E271" s="107"/>
      <c r="F271" s="107"/>
    </row>
    <row r="272" spans="5:6" x14ac:dyDescent="0.4">
      <c r="E272" s="107"/>
      <c r="F272" s="107"/>
    </row>
    <row r="273" spans="5:6" x14ac:dyDescent="0.4">
      <c r="E273" s="107"/>
      <c r="F273" s="107"/>
    </row>
    <row r="274" spans="5:6" x14ac:dyDescent="0.4">
      <c r="E274" s="107"/>
      <c r="F274" s="107"/>
    </row>
    <row r="275" spans="5:6" x14ac:dyDescent="0.4">
      <c r="E275" s="107"/>
      <c r="F275" s="107"/>
    </row>
    <row r="276" spans="5:6" x14ac:dyDescent="0.4">
      <c r="E276" s="107"/>
      <c r="F276" s="107"/>
    </row>
    <row r="277" spans="5:6" x14ac:dyDescent="0.4">
      <c r="E277" s="107"/>
      <c r="F277" s="107"/>
    </row>
    <row r="278" spans="5:6" x14ac:dyDescent="0.4">
      <c r="E278" s="107"/>
      <c r="F278" s="107"/>
    </row>
    <row r="279" spans="5:6" x14ac:dyDescent="0.4">
      <c r="E279" s="107"/>
      <c r="F279" s="107"/>
    </row>
    <row r="280" spans="5:6" x14ac:dyDescent="0.4">
      <c r="E280" s="107"/>
      <c r="F280" s="107"/>
    </row>
    <row r="281" spans="5:6" x14ac:dyDescent="0.4">
      <c r="E281" s="107"/>
      <c r="F281" s="107"/>
    </row>
    <row r="282" spans="5:6" x14ac:dyDescent="0.4">
      <c r="E282" s="107"/>
    </row>
    <row r="283" spans="5:6" x14ac:dyDescent="0.4">
      <c r="E283" s="107"/>
    </row>
    <row r="284" spans="5:6" x14ac:dyDescent="0.4">
      <c r="E284" s="107"/>
    </row>
    <row r="285" spans="5:6" x14ac:dyDescent="0.4">
      <c r="E285" s="107"/>
    </row>
    <row r="286" spans="5:6" x14ac:dyDescent="0.4">
      <c r="E286" s="107"/>
    </row>
    <row r="287" spans="5:6" x14ac:dyDescent="0.4">
      <c r="E287" s="107"/>
    </row>
    <row r="288" spans="5:6" x14ac:dyDescent="0.4">
      <c r="E288" s="107"/>
    </row>
    <row r="289" spans="5:5" x14ac:dyDescent="0.4">
      <c r="E289" s="107"/>
    </row>
    <row r="290" spans="5:5" x14ac:dyDescent="0.4">
      <c r="E290" s="107"/>
    </row>
    <row r="291" spans="5:5" x14ac:dyDescent="0.4">
      <c r="E291" s="107"/>
    </row>
    <row r="292" spans="5:5" x14ac:dyDescent="0.4">
      <c r="E292" s="107"/>
    </row>
    <row r="293" spans="5:5" x14ac:dyDescent="0.4">
      <c r="E293" s="107"/>
    </row>
    <row r="294" spans="5:5" x14ac:dyDescent="0.4">
      <c r="E294" s="107"/>
    </row>
    <row r="295" spans="5:5" x14ac:dyDescent="0.4">
      <c r="E295" s="107"/>
    </row>
  </sheetData>
  <mergeCells count="6">
    <mergeCell ref="E2:F2"/>
    <mergeCell ref="G2:L2"/>
    <mergeCell ref="N2:O2"/>
    <mergeCell ref="Q2:S2"/>
    <mergeCell ref="T2:W2"/>
    <mergeCell ref="B4:C4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8F67-38D8-4CA5-8C15-B6488D982B64}">
  <sheetPr>
    <tabColor theme="4" tint="0.79998168889431442"/>
  </sheetPr>
  <dimension ref="A2:BQ295"/>
  <sheetViews>
    <sheetView showGridLines="0" zoomScale="99" zoomScaleNormal="115" workbookViewId="0">
      <selection activeCell="C10" sqref="C10"/>
    </sheetView>
  </sheetViews>
  <sheetFormatPr defaultColWidth="8.88671875" defaultRowHeight="14.4" x14ac:dyDescent="0.3"/>
  <cols>
    <col min="1" max="1" width="2.88671875" customWidth="1"/>
    <col min="2" max="2" width="43.5546875" style="1" customWidth="1"/>
    <col min="3" max="3" width="18.109375" style="1" bestFit="1" customWidth="1"/>
    <col min="4" max="4" width="3.44140625" style="1" customWidth="1"/>
    <col min="5" max="6" width="7.109375" style="1" bestFit="1" customWidth="1"/>
    <col min="7" max="7" width="12.6640625" style="1" customWidth="1"/>
    <col min="8" max="8" width="12.33203125" style="1" bestFit="1" customWidth="1"/>
    <col min="9" max="9" width="12.6640625" style="1" bestFit="1" customWidth="1"/>
    <col min="10" max="10" width="12" style="1" bestFit="1" customWidth="1"/>
    <col min="11" max="11" width="12.33203125" style="1" bestFit="1" customWidth="1"/>
    <col min="12" max="12" width="13.44140625" style="1" bestFit="1" customWidth="1"/>
    <col min="13" max="14" width="11.6640625" style="1" bestFit="1" customWidth="1"/>
    <col min="15" max="15" width="11" style="1" customWidth="1"/>
    <col min="16" max="16" width="13.109375" style="1" bestFit="1" customWidth="1"/>
    <col min="17" max="17" width="9.33203125" style="18" customWidth="1"/>
    <col min="18" max="18" width="8.6640625" style="19" bestFit="1" customWidth="1"/>
    <col min="19" max="19" width="10.33203125" style="1" bestFit="1" customWidth="1"/>
    <col min="20" max="20" width="12" style="1" bestFit="1" customWidth="1"/>
    <col min="21" max="21" width="9.88671875" style="1" bestFit="1" customWidth="1"/>
    <col min="22" max="23" width="12.109375" style="1" bestFit="1" customWidth="1"/>
    <col min="24" max="24" width="10.5546875" style="1" bestFit="1" customWidth="1"/>
    <col min="25" max="25" width="9.88671875" style="1" bestFit="1" customWidth="1"/>
    <col min="26" max="26" width="11" style="1" bestFit="1" customWidth="1"/>
    <col min="27" max="27" width="10.6640625" style="1" bestFit="1" customWidth="1"/>
    <col min="28" max="28" width="11.5546875" style="1" bestFit="1" customWidth="1"/>
    <col min="29" max="29" width="9.33203125" style="1" bestFit="1" customWidth="1"/>
    <col min="30" max="30" width="15" style="1" bestFit="1" customWidth="1"/>
    <col min="31" max="31" width="12.33203125" style="1" bestFit="1" customWidth="1"/>
    <col min="32" max="32" width="7" style="1" bestFit="1" customWidth="1"/>
    <col min="33" max="33" width="8.88671875" style="1"/>
    <col min="34" max="34" width="15.6640625" bestFit="1" customWidth="1"/>
    <col min="36" max="36" width="12.33203125" bestFit="1" customWidth="1"/>
    <col min="37" max="37" width="11.44140625" bestFit="1" customWidth="1"/>
    <col min="38" max="38" width="10.109375" bestFit="1" customWidth="1"/>
    <col min="39" max="39" width="11.44140625" bestFit="1" customWidth="1"/>
    <col min="40" max="41" width="12.33203125" bestFit="1" customWidth="1"/>
    <col min="42" max="42" width="9.33203125" bestFit="1" customWidth="1"/>
    <col min="44" max="45" width="9.33203125" bestFit="1" customWidth="1"/>
    <col min="46" max="46" width="10.5546875" bestFit="1" customWidth="1"/>
    <col min="47" max="47" width="10.109375" bestFit="1" customWidth="1"/>
    <col min="48" max="48" width="13.5546875" bestFit="1" customWidth="1"/>
    <col min="54" max="54" width="9.5546875" bestFit="1" customWidth="1"/>
    <col min="55" max="55" width="10.109375" bestFit="1" customWidth="1"/>
    <col min="56" max="56" width="9.33203125" bestFit="1" customWidth="1"/>
    <col min="58" max="58" width="9.33203125" bestFit="1" customWidth="1"/>
    <col min="59" max="59" width="10.88671875" bestFit="1" customWidth="1"/>
    <col min="60" max="60" width="13.88671875" bestFit="1" customWidth="1"/>
    <col min="61" max="61" width="9.33203125" bestFit="1" customWidth="1"/>
    <col min="62" max="62" width="10.5546875" bestFit="1" customWidth="1"/>
    <col min="63" max="63" width="11.109375" bestFit="1" customWidth="1"/>
    <col min="64" max="64" width="12" bestFit="1" customWidth="1"/>
    <col min="66" max="66" width="13.88671875" bestFit="1" customWidth="1"/>
    <col min="67" max="67" width="9.33203125" bestFit="1" customWidth="1"/>
    <col min="70" max="16384" width="8.88671875" style="1"/>
  </cols>
  <sheetData>
    <row r="2" spans="2:33" customFormat="1" x14ac:dyDescent="0.3">
      <c r="D2" s="1"/>
      <c r="E2" s="165" t="s">
        <v>45</v>
      </c>
      <c r="F2" s="165"/>
      <c r="G2" s="166" t="s">
        <v>46</v>
      </c>
      <c r="H2" s="166"/>
      <c r="I2" s="166"/>
      <c r="J2" s="166"/>
      <c r="K2" s="166"/>
      <c r="L2" s="166"/>
      <c r="M2" s="1"/>
      <c r="N2" s="167"/>
      <c r="O2" s="167"/>
      <c r="P2" s="9" t="s">
        <v>47</v>
      </c>
      <c r="Q2" s="168" t="s">
        <v>48</v>
      </c>
      <c r="R2" s="168"/>
      <c r="S2" s="168"/>
      <c r="T2" s="163" t="s">
        <v>49</v>
      </c>
      <c r="U2" s="163"/>
      <c r="V2" s="163"/>
      <c r="W2" s="163"/>
      <c r="X2" s="10"/>
      <c r="Y2" s="12" t="s">
        <v>50</v>
      </c>
      <c r="Z2" s="10"/>
      <c r="AA2" s="13" t="s">
        <v>51</v>
      </c>
      <c r="AB2" s="15" t="s">
        <v>52</v>
      </c>
      <c r="AC2" s="14" t="s">
        <v>53</v>
      </c>
      <c r="AD2" s="11"/>
      <c r="AE2" s="11"/>
      <c r="AF2" s="16" t="s">
        <v>54</v>
      </c>
      <c r="AG2" s="1"/>
    </row>
    <row r="3" spans="2:33" customFormat="1" x14ac:dyDescent="0.3">
      <c r="B3" s="3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8"/>
      <c r="R3" s="19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2:33" customFormat="1" ht="47.4" customHeight="1" thickBot="1" x14ac:dyDescent="0.35">
      <c r="B4" s="164"/>
      <c r="C4" s="164"/>
      <c r="D4" s="1"/>
      <c r="E4" s="29" t="s">
        <v>55</v>
      </c>
      <c r="F4" s="29" t="s">
        <v>56</v>
      </c>
      <c r="G4" s="44" t="s">
        <v>57</v>
      </c>
      <c r="H4" s="45" t="s">
        <v>58</v>
      </c>
      <c r="I4" s="45" t="s">
        <v>59</v>
      </c>
      <c r="J4" s="45" t="s">
        <v>60</v>
      </c>
      <c r="K4" s="45" t="s">
        <v>61</v>
      </c>
      <c r="L4" s="29" t="s">
        <v>62</v>
      </c>
      <c r="M4" s="46" t="s">
        <v>63</v>
      </c>
      <c r="N4" s="29" t="s">
        <v>64</v>
      </c>
      <c r="O4" s="44" t="s">
        <v>65</v>
      </c>
      <c r="P4" s="45" t="s">
        <v>66</v>
      </c>
      <c r="Q4" s="45" t="s">
        <v>67</v>
      </c>
      <c r="R4" s="45" t="s">
        <v>68</v>
      </c>
      <c r="S4" s="45" t="s">
        <v>69</v>
      </c>
      <c r="T4" s="45" t="s">
        <v>70</v>
      </c>
      <c r="U4" s="45" t="s">
        <v>71</v>
      </c>
      <c r="V4" s="45" t="s">
        <v>72</v>
      </c>
      <c r="W4" s="29" t="s">
        <v>73</v>
      </c>
      <c r="X4" s="45" t="s">
        <v>74</v>
      </c>
      <c r="Y4" s="45" t="s">
        <v>50</v>
      </c>
      <c r="Z4" s="45" t="s">
        <v>75</v>
      </c>
      <c r="AA4" s="45" t="s">
        <v>51</v>
      </c>
      <c r="AB4" s="45" t="s">
        <v>52</v>
      </c>
      <c r="AC4" s="45" t="s">
        <v>76</v>
      </c>
      <c r="AD4" s="45" t="s">
        <v>77</v>
      </c>
      <c r="AE4" s="45" t="s">
        <v>78</v>
      </c>
      <c r="AF4" s="46" t="s">
        <v>54</v>
      </c>
      <c r="AG4" s="1"/>
    </row>
    <row r="5" spans="2:33" customFormat="1" ht="15" thickTop="1" x14ac:dyDescent="0.3">
      <c r="B5" s="33" t="s">
        <v>79</v>
      </c>
      <c r="C5" s="33"/>
      <c r="D5" s="1"/>
      <c r="E5" s="4">
        <v>1</v>
      </c>
      <c r="F5" s="4">
        <v>1</v>
      </c>
      <c r="G5" s="5">
        <f>$C$7</f>
        <v>100000000</v>
      </c>
      <c r="H5" s="5">
        <f>-PMT($C$11/12,$C$8,$C$7)</f>
        <v>1552664.3504091445</v>
      </c>
      <c r="I5" s="5">
        <f>G5*$C$11/12</f>
        <v>1166666.6666666667</v>
      </c>
      <c r="J5" s="5">
        <f>H5-I5</f>
        <v>385997.68374247779</v>
      </c>
      <c r="K5" s="5">
        <f>G5+I5-H5</f>
        <v>99614002.316257522</v>
      </c>
      <c r="L5" s="5">
        <f>G5*(1+$C$11/12)^4</f>
        <v>104748970.37114199</v>
      </c>
      <c r="M5" s="5">
        <f>G5*($C$11-$C$10)/12</f>
        <v>187500.00000000015</v>
      </c>
      <c r="N5" s="5">
        <f>($C$13+$C$14)</f>
        <v>1262500</v>
      </c>
      <c r="O5" s="5">
        <f>M5+N5</f>
        <v>1450000.0000000002</v>
      </c>
      <c r="P5" s="5">
        <f>O5*$C$18</f>
        <v>580000.00000000012</v>
      </c>
      <c r="Q5" s="18">
        <v>3.5000000000000003E-2</v>
      </c>
      <c r="R5" s="18">
        <v>0.2</v>
      </c>
      <c r="S5" s="5">
        <f t="shared" ref="S5:S68" si="0">L5*(Q5/12)*R5</f>
        <v>61103.566049832829</v>
      </c>
      <c r="T5" s="5">
        <f t="shared" ref="T5:T68" si="1">L5*$C$22/12*$C$28</f>
        <v>372382.58966940973</v>
      </c>
      <c r="U5" s="5">
        <f>O5*$C$23</f>
        <v>49266.684358740247</v>
      </c>
      <c r="V5" s="5">
        <f>O5*$C$24</f>
        <v>85166.417006674179</v>
      </c>
      <c r="W5" s="5">
        <f t="shared" ref="W5:W40" si="2">SUM(T5:V5)</f>
        <v>506815.69103482412</v>
      </c>
      <c r="X5" s="5">
        <f t="shared" ref="X5:X68" si="3">O5-P5-S5</f>
        <v>808896.43395016727</v>
      </c>
      <c r="Y5" s="5">
        <f t="shared" ref="Y5:Y68" si="4">X5*$C$34</f>
        <v>218402.03716654517</v>
      </c>
      <c r="Z5" s="5">
        <f t="shared" ref="Z5:Z68" si="5">X5-Y5</f>
        <v>590494.3967836221</v>
      </c>
      <c r="AA5" s="5">
        <f t="shared" ref="AA5:AA68" si="6">W5*$C$36</f>
        <v>72795.353261554468</v>
      </c>
      <c r="AB5" s="5">
        <f t="shared" ref="AB5:AB68" si="7">Z5-AA5</f>
        <v>517699.0435220676</v>
      </c>
      <c r="AC5" s="17">
        <f t="shared" ref="AC5:AC68" si="8">(1+$C$37/12)^-E5</f>
        <v>0.99042508289053799</v>
      </c>
      <c r="AD5" s="5">
        <f t="shared" ref="AD5:AD68" si="9">Z5*AC5</f>
        <v>584840.46188081719</v>
      </c>
      <c r="AE5" s="5">
        <f t="shared" ref="AE5:AE68" si="10">W5*AC5</f>
        <v>501962.97280339099</v>
      </c>
      <c r="AF5" s="2">
        <f>AD5/AE5</f>
        <v>1.1651067779254063</v>
      </c>
      <c r="AG5" s="21"/>
    </row>
    <row r="6" spans="2:33" customFormat="1" x14ac:dyDescent="0.3">
      <c r="B6" s="1"/>
      <c r="C6" s="1"/>
      <c r="D6" s="1"/>
      <c r="E6" s="4">
        <v>2</v>
      </c>
      <c r="F6" s="4">
        <v>1</v>
      </c>
      <c r="G6" s="5">
        <f>K5</f>
        <v>99614002.316257522</v>
      </c>
      <c r="H6" s="5">
        <f t="shared" ref="H6:H69" si="11">-PMT($C$11/12,$C$8,$C$7)</f>
        <v>1552664.3504091445</v>
      </c>
      <c r="I6" s="5">
        <f t="shared" ref="I6:I69" si="12">G6*$C$11/12</f>
        <v>1162163.3603563379</v>
      </c>
      <c r="J6" s="5">
        <f t="shared" ref="J6:J69" si="13">H6-I6</f>
        <v>390500.99005280668</v>
      </c>
      <c r="K6" s="5">
        <f t="shared" ref="K6:K69" si="14">G6+I6-H6</f>
        <v>99223501.326204702</v>
      </c>
      <c r="L6" s="5">
        <f t="shared" ref="L6:L69" si="15">G6*(1+$C$11/12)^4</f>
        <v>104344641.77176529</v>
      </c>
      <c r="M6" s="5">
        <f t="shared" ref="M6:M69" si="16">G6*($C$11-$C$10)/12</f>
        <v>186776.25434298301</v>
      </c>
      <c r="N6" s="5">
        <f>$C$14</f>
        <v>12500</v>
      </c>
      <c r="O6" s="5">
        <f t="shared" ref="O6:O69" si="17">M6+N6</f>
        <v>199276.25434298301</v>
      </c>
      <c r="P6" s="5">
        <f t="shared" ref="P6:P69" si="18">O6*$C$18</f>
        <v>79710.501737193204</v>
      </c>
      <c r="Q6" s="18">
        <v>3.5000000000000003E-2</v>
      </c>
      <c r="R6" s="18">
        <v>0.2</v>
      </c>
      <c r="S6" s="5">
        <f t="shared" si="0"/>
        <v>60867.707700196421</v>
      </c>
      <c r="T6" s="5">
        <f t="shared" si="1"/>
        <v>370945.20149862557</v>
      </c>
      <c r="U6" s="5">
        <f t="shared" ref="U6:U69" si="19">O6*$C$23</f>
        <v>6770.8140157984708</v>
      </c>
      <c r="V6" s="5">
        <f t="shared" ref="V6:V69" si="20">O6*$C$24</f>
        <v>11704.582466829348</v>
      </c>
      <c r="W6" s="5">
        <f t="shared" si="2"/>
        <v>389420.59798125335</v>
      </c>
      <c r="X6" s="5">
        <f t="shared" si="3"/>
        <v>58698.044905593386</v>
      </c>
      <c r="Y6" s="5">
        <f t="shared" si="4"/>
        <v>15848.472124510216</v>
      </c>
      <c r="Z6" s="5">
        <f t="shared" si="5"/>
        <v>42849.572781083174</v>
      </c>
      <c r="AA6" s="5">
        <f t="shared" si="6"/>
        <v>55933.56815667983</v>
      </c>
      <c r="AB6" s="5">
        <f t="shared" si="7"/>
        <v>-13083.995375596656</v>
      </c>
      <c r="AC6" s="17">
        <f t="shared" si="8"/>
        <v>0.98094184481872915</v>
      </c>
      <c r="AD6" s="5">
        <f t="shared" si="9"/>
        <v>42032.938973570133</v>
      </c>
      <c r="AE6" s="5">
        <f t="shared" si="10"/>
        <v>381998.95979414333</v>
      </c>
      <c r="AF6" s="2">
        <f t="shared" ref="AF6:AF69" si="21">AD6/AE6</f>
        <v>0.11003417128732863</v>
      </c>
      <c r="AG6" s="21"/>
    </row>
    <row r="7" spans="2:33" customFormat="1" x14ac:dyDescent="0.3">
      <c r="B7" s="30" t="s">
        <v>80</v>
      </c>
      <c r="C7" s="60">
        <v>100000000</v>
      </c>
      <c r="D7" s="1"/>
      <c r="E7" s="4">
        <v>3</v>
      </c>
      <c r="F7" s="4">
        <v>1</v>
      </c>
      <c r="G7" s="5">
        <f t="shared" ref="G7:G70" si="22">K6</f>
        <v>99223501.326204702</v>
      </c>
      <c r="H7" s="5">
        <f t="shared" si="11"/>
        <v>1552664.3504091445</v>
      </c>
      <c r="I7" s="5">
        <f t="shared" si="12"/>
        <v>1157607.5154723884</v>
      </c>
      <c r="J7" s="5">
        <f t="shared" si="13"/>
        <v>395056.83493675618</v>
      </c>
      <c r="K7" s="5">
        <f t="shared" si="14"/>
        <v>98828444.491267934</v>
      </c>
      <c r="L7" s="5">
        <f t="shared" si="15"/>
        <v>103935596.00539584</v>
      </c>
      <c r="M7" s="5">
        <f t="shared" si="16"/>
        <v>186044.06498663398</v>
      </c>
      <c r="N7" s="5">
        <f t="shared" ref="N7:N69" si="23">$C$14</f>
        <v>12500</v>
      </c>
      <c r="O7" s="5">
        <f t="shared" si="17"/>
        <v>198544.06498663398</v>
      </c>
      <c r="P7" s="5">
        <f t="shared" si="18"/>
        <v>79417.625994653601</v>
      </c>
      <c r="Q7" s="18">
        <v>3.5000000000000003E-2</v>
      </c>
      <c r="R7" s="18">
        <v>0.2</v>
      </c>
      <c r="S7" s="5">
        <f t="shared" si="0"/>
        <v>60629.097669814248</v>
      </c>
      <c r="T7" s="5">
        <f t="shared" si="1"/>
        <v>369491.04379918223</v>
      </c>
      <c r="U7" s="5">
        <f t="shared" si="19"/>
        <v>6745.9364006880733</v>
      </c>
      <c r="V7" s="5">
        <f t="shared" si="20"/>
        <v>11661.576988173712</v>
      </c>
      <c r="W7" s="5">
        <f t="shared" si="2"/>
        <v>387898.55718804401</v>
      </c>
      <c r="X7" s="5">
        <f t="shared" si="3"/>
        <v>58497.341322166132</v>
      </c>
      <c r="Y7" s="5">
        <f t="shared" si="4"/>
        <v>15794.282156984857</v>
      </c>
      <c r="Z7" s="5">
        <f t="shared" si="5"/>
        <v>42703.059165181272</v>
      </c>
      <c r="AA7" s="5">
        <f t="shared" si="6"/>
        <v>55714.953186425177</v>
      </c>
      <c r="AB7" s="5">
        <f t="shared" si="7"/>
        <v>-13011.894021243905</v>
      </c>
      <c r="AC7" s="17">
        <f t="shared" si="8"/>
        <v>0.97154940796538714</v>
      </c>
      <c r="AD7" s="5">
        <f t="shared" si="9"/>
        <v>41488.13185024276</v>
      </c>
      <c r="AE7" s="5">
        <f t="shared" si="10"/>
        <v>376862.613586672</v>
      </c>
      <c r="AF7" s="2">
        <f t="shared" si="21"/>
        <v>0.11008821346164441</v>
      </c>
      <c r="AG7" s="21"/>
    </row>
    <row r="8" spans="2:33" customFormat="1" x14ac:dyDescent="0.3">
      <c r="B8" s="30" t="s">
        <v>81</v>
      </c>
      <c r="C8" s="1">
        <v>120</v>
      </c>
      <c r="D8" s="1"/>
      <c r="E8" s="4">
        <v>4</v>
      </c>
      <c r="F8" s="4">
        <v>1</v>
      </c>
      <c r="G8" s="5">
        <f t="shared" si="22"/>
        <v>98828444.491267934</v>
      </c>
      <c r="H8" s="5">
        <f t="shared" si="11"/>
        <v>1552664.3504091445</v>
      </c>
      <c r="I8" s="5">
        <f t="shared" si="12"/>
        <v>1152998.5190647927</v>
      </c>
      <c r="J8" s="5">
        <f t="shared" si="13"/>
        <v>399665.83134435187</v>
      </c>
      <c r="K8" s="5">
        <f t="shared" si="14"/>
        <v>98428778.659923583</v>
      </c>
      <c r="L8" s="5">
        <f t="shared" si="15"/>
        <v>103521778.03841875</v>
      </c>
      <c r="M8" s="5">
        <f t="shared" si="16"/>
        <v>185303.33342112755</v>
      </c>
      <c r="N8" s="5">
        <f t="shared" si="23"/>
        <v>12500</v>
      </c>
      <c r="O8" s="5">
        <f t="shared" si="17"/>
        <v>197803.33342112755</v>
      </c>
      <c r="P8" s="5">
        <f t="shared" si="18"/>
        <v>79121.333368451029</v>
      </c>
      <c r="Q8" s="18">
        <v>3.5000000000000003E-2</v>
      </c>
      <c r="R8" s="18">
        <v>0.2</v>
      </c>
      <c r="S8" s="5">
        <f t="shared" si="0"/>
        <v>60387.703855744272</v>
      </c>
      <c r="T8" s="5">
        <f t="shared" si="1"/>
        <v>368019.92092657863</v>
      </c>
      <c r="U8" s="5">
        <f t="shared" si="19"/>
        <v>6720.768546734721</v>
      </c>
      <c r="V8" s="5">
        <f t="shared" si="20"/>
        <v>11618.069778933763</v>
      </c>
      <c r="W8" s="5">
        <f t="shared" si="2"/>
        <v>386358.75925224711</v>
      </c>
      <c r="X8" s="5">
        <f t="shared" si="3"/>
        <v>58294.29619693225</v>
      </c>
      <c r="Y8" s="5">
        <f t="shared" si="4"/>
        <v>15739.459973171708</v>
      </c>
      <c r="Z8" s="5">
        <f t="shared" si="5"/>
        <v>42554.83622376054</v>
      </c>
      <c r="AA8" s="5">
        <f t="shared" si="6"/>
        <v>55493.787708184202</v>
      </c>
      <c r="AB8" s="5">
        <f t="shared" si="7"/>
        <v>-12938.951484423662</v>
      </c>
      <c r="AC8" s="17">
        <f t="shared" si="8"/>
        <v>0.9622469029163716</v>
      </c>
      <c r="AD8" s="5">
        <f t="shared" si="9"/>
        <v>40948.259360427001</v>
      </c>
      <c r="AE8" s="5">
        <f t="shared" si="10"/>
        <v>371772.51950508682</v>
      </c>
      <c r="AF8" s="2">
        <f t="shared" si="21"/>
        <v>0.11014331940117139</v>
      </c>
      <c r="AG8" s="21"/>
    </row>
    <row r="9" spans="2:33" customFormat="1" x14ac:dyDescent="0.3">
      <c r="B9" s="30" t="s">
        <v>82</v>
      </c>
      <c r="C9" s="6" t="s">
        <v>95</v>
      </c>
      <c r="D9" s="1"/>
      <c r="E9" s="4">
        <v>5</v>
      </c>
      <c r="F9" s="4">
        <v>1</v>
      </c>
      <c r="G9" s="5">
        <f t="shared" si="22"/>
        <v>98428778.659923583</v>
      </c>
      <c r="H9" s="5">
        <f t="shared" si="11"/>
        <v>1552664.3504091445</v>
      </c>
      <c r="I9" s="5">
        <f t="shared" si="12"/>
        <v>1148335.7510324419</v>
      </c>
      <c r="J9" s="5">
        <f t="shared" si="13"/>
        <v>404328.59937670268</v>
      </c>
      <c r="K9" s="5">
        <f t="shared" si="14"/>
        <v>98024450.060546875</v>
      </c>
      <c r="L9" s="5">
        <f t="shared" si="15"/>
        <v>103103132.19516028</v>
      </c>
      <c r="M9" s="5">
        <f t="shared" si="16"/>
        <v>184553.95998735688</v>
      </c>
      <c r="N9" s="5">
        <f t="shared" si="23"/>
        <v>12500</v>
      </c>
      <c r="O9" s="5">
        <f t="shared" si="17"/>
        <v>197053.95998735688</v>
      </c>
      <c r="P9" s="5">
        <f t="shared" si="18"/>
        <v>78821.583994942761</v>
      </c>
      <c r="Q9" s="18">
        <v>3.5000000000000003E-2</v>
      </c>
      <c r="R9" s="18">
        <v>0.2</v>
      </c>
      <c r="S9" s="5">
        <f t="shared" si="0"/>
        <v>60143.49378051018</v>
      </c>
      <c r="T9" s="5">
        <f t="shared" si="1"/>
        <v>366531.63495379483</v>
      </c>
      <c r="U9" s="5">
        <f t="shared" si="19"/>
        <v>6695.3070678185795</v>
      </c>
      <c r="V9" s="5">
        <f t="shared" si="20"/>
        <v>11574.054985586014</v>
      </c>
      <c r="W9" s="5">
        <f t="shared" si="2"/>
        <v>384800.99700719945</v>
      </c>
      <c r="X9" s="5">
        <f t="shared" si="3"/>
        <v>58088.88221190394</v>
      </c>
      <c r="Y9" s="5">
        <f t="shared" si="4"/>
        <v>15683.998197214065</v>
      </c>
      <c r="Z9" s="5">
        <f t="shared" si="5"/>
        <v>42404.884014689873</v>
      </c>
      <c r="AA9" s="5">
        <f t="shared" si="6"/>
        <v>55270.041966030447</v>
      </c>
      <c r="AB9" s="5">
        <f t="shared" si="7"/>
        <v>-12865.157951340574</v>
      </c>
      <c r="AC9" s="17">
        <f t="shared" si="8"/>
        <v>0.9530334685821108</v>
      </c>
      <c r="AD9" s="5">
        <f t="shared" si="9"/>
        <v>40413.273697341996</v>
      </c>
      <c r="AE9" s="5">
        <f t="shared" si="10"/>
        <v>366728.22889162571</v>
      </c>
      <c r="AF9" s="2">
        <f t="shared" si="21"/>
        <v>0.1101995170087787</v>
      </c>
      <c r="AG9" s="21"/>
    </row>
    <row r="10" spans="2:33" customFormat="1" x14ac:dyDescent="0.3">
      <c r="B10" s="30" t="s">
        <v>83</v>
      </c>
      <c r="C10" s="65">
        <v>0.11749999999999999</v>
      </c>
      <c r="D10" s="1"/>
      <c r="E10" s="4">
        <v>6</v>
      </c>
      <c r="F10" s="4">
        <v>1</v>
      </c>
      <c r="G10" s="5">
        <f t="shared" si="22"/>
        <v>98024450.060546875</v>
      </c>
      <c r="H10" s="5">
        <f t="shared" si="11"/>
        <v>1552664.3504091445</v>
      </c>
      <c r="I10" s="5">
        <f t="shared" si="12"/>
        <v>1143618.5840397137</v>
      </c>
      <c r="J10" s="5">
        <f t="shared" si="13"/>
        <v>409045.76636943081</v>
      </c>
      <c r="K10" s="5">
        <f t="shared" si="14"/>
        <v>97615404.294177443</v>
      </c>
      <c r="L10" s="5">
        <f t="shared" si="15"/>
        <v>102679602.15039712</v>
      </c>
      <c r="M10" s="5">
        <f t="shared" si="16"/>
        <v>183795.84386352554</v>
      </c>
      <c r="N10" s="5">
        <f t="shared" si="23"/>
        <v>12500</v>
      </c>
      <c r="O10" s="5">
        <f t="shared" si="17"/>
        <v>196295.84386352554</v>
      </c>
      <c r="P10" s="5">
        <f t="shared" si="18"/>
        <v>78518.337545410221</v>
      </c>
      <c r="Q10" s="18">
        <v>3.5000000000000003E-2</v>
      </c>
      <c r="R10" s="18">
        <v>0.2</v>
      </c>
      <c r="S10" s="5">
        <f t="shared" si="0"/>
        <v>59896.434587731659</v>
      </c>
      <c r="T10" s="5">
        <f t="shared" si="1"/>
        <v>365025.98564466176</v>
      </c>
      <c r="U10" s="5">
        <f t="shared" si="19"/>
        <v>6669.5485383150826</v>
      </c>
      <c r="V10" s="5">
        <f t="shared" si="20"/>
        <v>11529.526686315874</v>
      </c>
      <c r="W10" s="5">
        <f t="shared" si="2"/>
        <v>383225.06086929276</v>
      </c>
      <c r="X10" s="5">
        <f t="shared" si="3"/>
        <v>57881.071730383665</v>
      </c>
      <c r="Y10" s="5">
        <f t="shared" si="4"/>
        <v>15627.88936720359</v>
      </c>
      <c r="Z10" s="5">
        <f t="shared" si="5"/>
        <v>42253.182363180073</v>
      </c>
      <c r="AA10" s="5">
        <f t="shared" si="6"/>
        <v>55043.685856884869</v>
      </c>
      <c r="AB10" s="5">
        <f t="shared" si="7"/>
        <v>-12790.503493704797</v>
      </c>
      <c r="AC10" s="17">
        <f t="shared" si="8"/>
        <v>0.94390825211789409</v>
      </c>
      <c r="AD10" s="5">
        <f t="shared" si="9"/>
        <v>39883.127510847931</v>
      </c>
      <c r="AE10" s="5">
        <f t="shared" si="10"/>
        <v>361729.29737290769</v>
      </c>
      <c r="AF10" s="2">
        <f t="shared" si="21"/>
        <v>0.1102568351540857</v>
      </c>
      <c r="AG10" s="21"/>
    </row>
    <row r="11" spans="2:33" customFormat="1" x14ac:dyDescent="0.3">
      <c r="B11" s="30" t="s">
        <v>84</v>
      </c>
      <c r="C11" s="50">
        <v>0.14000000000000001</v>
      </c>
      <c r="D11" s="1"/>
      <c r="E11" s="4">
        <v>7</v>
      </c>
      <c r="F11" s="4">
        <v>1</v>
      </c>
      <c r="G11" s="5">
        <f t="shared" si="22"/>
        <v>97615404.294177443</v>
      </c>
      <c r="H11" s="5">
        <f t="shared" si="11"/>
        <v>1552664.3504091445</v>
      </c>
      <c r="I11" s="5">
        <f t="shared" si="12"/>
        <v>1138846.3834320703</v>
      </c>
      <c r="J11" s="5">
        <f t="shared" si="13"/>
        <v>413817.96697707428</v>
      </c>
      <c r="K11" s="5">
        <f t="shared" si="14"/>
        <v>97201586.327200368</v>
      </c>
      <c r="L11" s="5">
        <f t="shared" si="15"/>
        <v>102251130.9217784</v>
      </c>
      <c r="M11" s="5">
        <f t="shared" si="16"/>
        <v>183028.88305158287</v>
      </c>
      <c r="N11" s="5">
        <f t="shared" si="23"/>
        <v>12500</v>
      </c>
      <c r="O11" s="5">
        <f t="shared" si="17"/>
        <v>195528.88305158287</v>
      </c>
      <c r="P11" s="5">
        <f t="shared" si="18"/>
        <v>78211.553220633155</v>
      </c>
      <c r="Q11" s="18">
        <v>3.5000000000000003E-2</v>
      </c>
      <c r="R11" s="18">
        <v>0.2</v>
      </c>
      <c r="S11" s="5">
        <f t="shared" si="0"/>
        <v>59646.493037704066</v>
      </c>
      <c r="T11" s="5">
        <f t="shared" si="1"/>
        <v>363502.77042692219</v>
      </c>
      <c r="U11" s="5">
        <f t="shared" si="19"/>
        <v>6643.4894926340467</v>
      </c>
      <c r="V11" s="5">
        <f t="shared" si="20"/>
        <v>11484.478890220918</v>
      </c>
      <c r="W11" s="5">
        <f t="shared" si="2"/>
        <v>381630.73880977713</v>
      </c>
      <c r="X11" s="5">
        <f t="shared" si="3"/>
        <v>57670.836793245653</v>
      </c>
      <c r="Y11" s="5">
        <f t="shared" si="4"/>
        <v>15571.125934176327</v>
      </c>
      <c r="Z11" s="5">
        <f t="shared" si="5"/>
        <v>42099.710859069324</v>
      </c>
      <c r="AA11" s="5">
        <f t="shared" si="6"/>
        <v>54814.688926465933</v>
      </c>
      <c r="AB11" s="5">
        <f t="shared" si="7"/>
        <v>-12714.978067396609</v>
      </c>
      <c r="AC11" s="17">
        <f t="shared" si="8"/>
        <v>0.93487040884492822</v>
      </c>
      <c r="AD11" s="5">
        <f t="shared" si="9"/>
        <v>39357.7739030714</v>
      </c>
      <c r="AE11" s="5">
        <f t="shared" si="10"/>
        <v>356775.28481888835</v>
      </c>
      <c r="AF11" s="2">
        <f t="shared" si="21"/>
        <v>0.11031530371575707</v>
      </c>
      <c r="AG11" s="21"/>
    </row>
    <row r="12" spans="2:33" customFormat="1" x14ac:dyDescent="0.3">
      <c r="B12" s="1"/>
      <c r="C12" s="1"/>
      <c r="D12" s="1"/>
      <c r="E12" s="4">
        <v>8</v>
      </c>
      <c r="F12" s="4">
        <v>1</v>
      </c>
      <c r="G12" s="5">
        <f t="shared" si="22"/>
        <v>97201586.327200368</v>
      </c>
      <c r="H12" s="5">
        <f t="shared" si="11"/>
        <v>1552664.3504091445</v>
      </c>
      <c r="I12" s="5">
        <f t="shared" si="12"/>
        <v>1134018.5071506712</v>
      </c>
      <c r="J12" s="5">
        <f t="shared" si="13"/>
        <v>418645.84325847332</v>
      </c>
      <c r="K12" s="5">
        <f t="shared" si="14"/>
        <v>96782940.483941883</v>
      </c>
      <c r="L12" s="5">
        <f t="shared" si="15"/>
        <v>101817660.86215912</v>
      </c>
      <c r="M12" s="5">
        <f t="shared" si="16"/>
        <v>182252.97436350083</v>
      </c>
      <c r="N12" s="5">
        <f t="shared" si="23"/>
        <v>12500</v>
      </c>
      <c r="O12" s="5">
        <f t="shared" si="17"/>
        <v>194752.97436350083</v>
      </c>
      <c r="P12" s="5">
        <f t="shared" si="18"/>
        <v>77901.189745400334</v>
      </c>
      <c r="Q12" s="18">
        <v>3.5000000000000003E-2</v>
      </c>
      <c r="R12" s="18">
        <v>0.2</v>
      </c>
      <c r="S12" s="5">
        <f t="shared" si="0"/>
        <v>59393.635502926161</v>
      </c>
      <c r="T12" s="5">
        <f t="shared" si="1"/>
        <v>361961.78436497564</v>
      </c>
      <c r="U12" s="5">
        <f t="shared" si="19"/>
        <v>6617.1264247533963</v>
      </c>
      <c r="V12" s="5">
        <f t="shared" si="20"/>
        <v>11438.905536504852</v>
      </c>
      <c r="W12" s="5">
        <f t="shared" si="2"/>
        <v>380017.81632623391</v>
      </c>
      <c r="X12" s="5">
        <f t="shared" si="3"/>
        <v>57458.149115174339</v>
      </c>
      <c r="Y12" s="5">
        <f t="shared" si="4"/>
        <v>15513.700261097072</v>
      </c>
      <c r="Z12" s="5">
        <f t="shared" si="5"/>
        <v>41944.448854077265</v>
      </c>
      <c r="AA12" s="5">
        <f t="shared" si="6"/>
        <v>54583.020365192111</v>
      </c>
      <c r="AB12" s="5">
        <f t="shared" si="7"/>
        <v>-12638.571511114846</v>
      </c>
      <c r="AC12" s="17">
        <f t="shared" si="8"/>
        <v>0.92591910217214912</v>
      </c>
      <c r="AD12" s="5">
        <f t="shared" si="9"/>
        <v>38837.16642407285</v>
      </c>
      <c r="AE12" s="5">
        <f t="shared" si="10"/>
        <v>351865.7553022072</v>
      </c>
      <c r="AF12" s="2">
        <f t="shared" si="21"/>
        <v>0.11037495362604055</v>
      </c>
      <c r="AG12" s="21"/>
    </row>
    <row r="13" spans="2:33" customFormat="1" x14ac:dyDescent="0.3">
      <c r="B13" s="30" t="s">
        <v>85</v>
      </c>
      <c r="C13" s="7">
        <v>1250000</v>
      </c>
      <c r="D13" s="1"/>
      <c r="E13" s="4">
        <v>9</v>
      </c>
      <c r="F13" s="4">
        <v>1</v>
      </c>
      <c r="G13" s="5">
        <f t="shared" si="22"/>
        <v>96782940.483941883</v>
      </c>
      <c r="H13" s="5">
        <f t="shared" si="11"/>
        <v>1552664.3504091445</v>
      </c>
      <c r="I13" s="5">
        <f t="shared" si="12"/>
        <v>1129134.3056459888</v>
      </c>
      <c r="J13" s="5">
        <f t="shared" si="13"/>
        <v>423530.04476315575</v>
      </c>
      <c r="K13" s="5">
        <f t="shared" si="14"/>
        <v>96359410.43917872</v>
      </c>
      <c r="L13" s="5">
        <f t="shared" si="15"/>
        <v>101379133.65184428</v>
      </c>
      <c r="M13" s="5">
        <f t="shared" si="16"/>
        <v>181468.01340739118</v>
      </c>
      <c r="N13" s="5">
        <f t="shared" si="23"/>
        <v>12500</v>
      </c>
      <c r="O13" s="5">
        <f t="shared" si="17"/>
        <v>193968.01340739118</v>
      </c>
      <c r="P13" s="5">
        <f t="shared" si="18"/>
        <v>77587.205362956476</v>
      </c>
      <c r="Q13" s="18">
        <v>3.5000000000000003E-2</v>
      </c>
      <c r="R13" s="18">
        <v>0.2</v>
      </c>
      <c r="S13" s="5">
        <f t="shared" si="0"/>
        <v>59137.827963575837</v>
      </c>
      <c r="T13" s="5">
        <f t="shared" si="1"/>
        <v>360402.82013230637</v>
      </c>
      <c r="U13" s="5">
        <f t="shared" si="19"/>
        <v>6590.4557877474726</v>
      </c>
      <c r="V13" s="5">
        <f t="shared" si="20"/>
        <v>11392.800493662098</v>
      </c>
      <c r="W13" s="5">
        <f t="shared" si="2"/>
        <v>378386.0764137159</v>
      </c>
      <c r="X13" s="5">
        <f t="shared" si="3"/>
        <v>57242.980080858862</v>
      </c>
      <c r="Y13" s="5">
        <f t="shared" si="4"/>
        <v>15455.604621831893</v>
      </c>
      <c r="Z13" s="5">
        <f t="shared" si="5"/>
        <v>41787.375459026967</v>
      </c>
      <c r="AA13" s="5">
        <f t="shared" si="6"/>
        <v>54348.649004036757</v>
      </c>
      <c r="AB13" s="5">
        <f t="shared" si="7"/>
        <v>-12561.27354500979</v>
      </c>
      <c r="AC13" s="17">
        <f t="shared" si="8"/>
        <v>0.91705350351878334</v>
      </c>
      <c r="AD13" s="5">
        <f t="shared" si="9"/>
        <v>38321.259067555511</v>
      </c>
      <c r="AE13" s="5">
        <f t="shared" si="10"/>
        <v>347000.27705792425</v>
      </c>
      <c r="AF13" s="2">
        <f t="shared" si="21"/>
        <v>0.11043581691768678</v>
      </c>
      <c r="AG13" s="21"/>
    </row>
    <row r="14" spans="2:33" customFormat="1" x14ac:dyDescent="0.3">
      <c r="B14" s="30" t="s">
        <v>86</v>
      </c>
      <c r="C14" s="7">
        <v>12500</v>
      </c>
      <c r="D14" s="1"/>
      <c r="E14" s="4">
        <v>10</v>
      </c>
      <c r="F14" s="4">
        <v>1</v>
      </c>
      <c r="G14" s="5">
        <f t="shared" si="22"/>
        <v>96359410.43917872</v>
      </c>
      <c r="H14" s="5">
        <f t="shared" si="11"/>
        <v>1552664.3504091445</v>
      </c>
      <c r="I14" s="5">
        <f t="shared" si="12"/>
        <v>1124193.1217904186</v>
      </c>
      <c r="J14" s="5">
        <f t="shared" si="13"/>
        <v>428471.2286187259</v>
      </c>
      <c r="K14" s="5">
        <f t="shared" si="14"/>
        <v>95930939.210559994</v>
      </c>
      <c r="L14" s="5">
        <f t="shared" si="15"/>
        <v>100935490.29074243</v>
      </c>
      <c r="M14" s="5">
        <f t="shared" si="16"/>
        <v>180673.89457346025</v>
      </c>
      <c r="N14" s="5">
        <f t="shared" si="23"/>
        <v>12500</v>
      </c>
      <c r="O14" s="5">
        <f t="shared" si="17"/>
        <v>193173.89457346025</v>
      </c>
      <c r="P14" s="5">
        <f t="shared" si="18"/>
        <v>77269.557829384095</v>
      </c>
      <c r="Q14" s="18">
        <v>3.5000000000000003E-2</v>
      </c>
      <c r="R14" s="18">
        <v>0.2</v>
      </c>
      <c r="S14" s="5">
        <f t="shared" si="0"/>
        <v>58879.036002933084</v>
      </c>
      <c r="T14" s="5">
        <f t="shared" si="1"/>
        <v>358825.66798358934</v>
      </c>
      <c r="U14" s="5">
        <f t="shared" si="19"/>
        <v>6563.4739933098135</v>
      </c>
      <c r="V14" s="5">
        <f t="shared" si="20"/>
        <v>11346.157558652845</v>
      </c>
      <c r="W14" s="5">
        <f t="shared" si="2"/>
        <v>376735.29953555204</v>
      </c>
      <c r="X14" s="5">
        <f t="shared" si="3"/>
        <v>57025.300741143066</v>
      </c>
      <c r="Y14" s="5">
        <f t="shared" si="4"/>
        <v>15396.831200108629</v>
      </c>
      <c r="Z14" s="5">
        <f t="shared" si="5"/>
        <v>41628.469541034436</v>
      </c>
      <c r="AA14" s="5">
        <f t="shared" si="6"/>
        <v>54111.543310334608</v>
      </c>
      <c r="AB14" s="5">
        <f t="shared" si="7"/>
        <v>-12483.073769300172</v>
      </c>
      <c r="AC14" s="17">
        <f t="shared" si="8"/>
        <v>0.90827279223764934</v>
      </c>
      <c r="AD14" s="5">
        <f t="shared" si="9"/>
        <v>37810.006266615281</v>
      </c>
      <c r="AE14" s="5">
        <f t="shared" si="10"/>
        <v>342178.42244364304</v>
      </c>
      <c r="AF14" s="2">
        <f t="shared" si="21"/>
        <v>0.11049792677340024</v>
      </c>
      <c r="AG14" s="21"/>
    </row>
    <row r="15" spans="2:33" customFormat="1" x14ac:dyDescent="0.3">
      <c r="B15" s="1"/>
      <c r="C15" s="1"/>
      <c r="D15" s="1"/>
      <c r="E15" s="4">
        <v>11</v>
      </c>
      <c r="F15" s="4">
        <v>1</v>
      </c>
      <c r="G15" s="5">
        <f t="shared" si="22"/>
        <v>95930939.210559994</v>
      </c>
      <c r="H15" s="5">
        <f t="shared" si="11"/>
        <v>1552664.3504091445</v>
      </c>
      <c r="I15" s="5">
        <f t="shared" si="12"/>
        <v>1119194.2907898666</v>
      </c>
      <c r="J15" s="5">
        <f t="shared" si="13"/>
        <v>433470.05961927795</v>
      </c>
      <c r="K15" s="5">
        <f t="shared" si="14"/>
        <v>95497469.150940716</v>
      </c>
      <c r="L15" s="5">
        <f t="shared" si="15"/>
        <v>100486671.09042773</v>
      </c>
      <c r="M15" s="5">
        <f t="shared" si="16"/>
        <v>179870.51101980012</v>
      </c>
      <c r="N15" s="5">
        <f t="shared" si="23"/>
        <v>12500</v>
      </c>
      <c r="O15" s="5">
        <f t="shared" si="17"/>
        <v>192370.51101980012</v>
      </c>
      <c r="P15" s="5">
        <f t="shared" si="18"/>
        <v>76948.204407920057</v>
      </c>
      <c r="Q15" s="18">
        <v>3.5000000000000003E-2</v>
      </c>
      <c r="R15" s="18">
        <v>0.2</v>
      </c>
      <c r="S15" s="5">
        <f t="shared" si="0"/>
        <v>58617.224802749515</v>
      </c>
      <c r="T15" s="5">
        <f t="shared" si="1"/>
        <v>357230.11572647054</v>
      </c>
      <c r="U15" s="5">
        <f t="shared" si="19"/>
        <v>6536.1774112703815</v>
      </c>
      <c r="V15" s="5">
        <f t="shared" si="20"/>
        <v>11298.970456068486</v>
      </c>
      <c r="W15" s="5">
        <f t="shared" si="2"/>
        <v>375065.26359380939</v>
      </c>
      <c r="X15" s="5">
        <f t="shared" si="3"/>
        <v>56805.081809130548</v>
      </c>
      <c r="Y15" s="5">
        <f t="shared" si="4"/>
        <v>15337.372088465248</v>
      </c>
      <c r="Z15" s="5">
        <f t="shared" si="5"/>
        <v>41467.709720665298</v>
      </c>
      <c r="AA15" s="5">
        <f t="shared" si="6"/>
        <v>53871.671383539244</v>
      </c>
      <c r="AB15" s="5">
        <f t="shared" si="7"/>
        <v>-12403.961662873946</v>
      </c>
      <c r="AC15" s="17">
        <f t="shared" si="8"/>
        <v>0.89957615553919423</v>
      </c>
      <c r="AD15" s="5">
        <f t="shared" si="9"/>
        <v>37303.36288953136</v>
      </c>
      <c r="AE15" s="5">
        <f t="shared" si="10"/>
        <v>337399.76790001354</v>
      </c>
      <c r="AF15" s="2">
        <f t="shared" si="21"/>
        <v>0.11056131757798361</v>
      </c>
      <c r="AG15" s="21"/>
    </row>
    <row r="16" spans="2:33" customFormat="1" x14ac:dyDescent="0.3">
      <c r="B16" s="33" t="s">
        <v>87</v>
      </c>
      <c r="C16" s="33"/>
      <c r="D16" s="1"/>
      <c r="E16" s="4">
        <v>12</v>
      </c>
      <c r="F16" s="4">
        <v>1</v>
      </c>
      <c r="G16" s="5">
        <f t="shared" si="22"/>
        <v>95497469.150940716</v>
      </c>
      <c r="H16" s="5">
        <f t="shared" si="11"/>
        <v>1552664.3504091445</v>
      </c>
      <c r="I16" s="5">
        <f t="shared" si="12"/>
        <v>1114137.1400943084</v>
      </c>
      <c r="J16" s="5">
        <f t="shared" si="13"/>
        <v>438527.21031483612</v>
      </c>
      <c r="K16" s="5">
        <f t="shared" si="14"/>
        <v>95058941.940625876</v>
      </c>
      <c r="L16" s="5">
        <f t="shared" si="15"/>
        <v>100032615.66610935</v>
      </c>
      <c r="M16" s="5">
        <f t="shared" si="16"/>
        <v>179057.75465801402</v>
      </c>
      <c r="N16" s="5">
        <f t="shared" si="23"/>
        <v>12500</v>
      </c>
      <c r="O16" s="5">
        <f t="shared" si="17"/>
        <v>191557.75465801402</v>
      </c>
      <c r="P16" s="5">
        <f t="shared" si="18"/>
        <v>76623.101863205608</v>
      </c>
      <c r="Q16" s="18">
        <v>3.5000000000000003E-2</v>
      </c>
      <c r="R16" s="18">
        <v>0.2</v>
      </c>
      <c r="S16" s="5">
        <f t="shared" si="0"/>
        <v>58352.359138563792</v>
      </c>
      <c r="T16" s="5">
        <f t="shared" si="1"/>
        <v>355615.9486930187</v>
      </c>
      <c r="U16" s="5">
        <f t="shared" si="19"/>
        <v>6508.5623691071578</v>
      </c>
      <c r="V16" s="5">
        <f t="shared" si="20"/>
        <v>11251.232837287311</v>
      </c>
      <c r="W16" s="5">
        <f t="shared" si="2"/>
        <v>373375.74389941315</v>
      </c>
      <c r="X16" s="5">
        <f t="shared" si="3"/>
        <v>56582.293656244619</v>
      </c>
      <c r="Y16" s="5">
        <f t="shared" si="4"/>
        <v>15277.219287186048</v>
      </c>
      <c r="Z16" s="5">
        <f t="shared" si="5"/>
        <v>41305.074369058573</v>
      </c>
      <c r="AA16" s="5">
        <f t="shared" si="6"/>
        <v>53629.000950931273</v>
      </c>
      <c r="AB16" s="5">
        <f t="shared" si="7"/>
        <v>-12323.9265818727</v>
      </c>
      <c r="AC16" s="17">
        <f t="shared" si="8"/>
        <v>0.89096278841625787</v>
      </c>
      <c r="AD16" s="5">
        <f t="shared" si="9"/>
        <v>36801.284235597326</v>
      </c>
      <c r="AE16" s="5">
        <f t="shared" si="10"/>
        <v>332663.89391161571</v>
      </c>
      <c r="AF16" s="2">
        <f t="shared" si="21"/>
        <v>0.11062602497334721</v>
      </c>
      <c r="AG16" s="21"/>
    </row>
    <row r="17" spans="2:33" customFormat="1" x14ac:dyDescent="0.3">
      <c r="B17" s="1"/>
      <c r="C17" s="1"/>
      <c r="D17" s="1"/>
      <c r="E17" s="4">
        <v>13</v>
      </c>
      <c r="F17" s="4">
        <v>2</v>
      </c>
      <c r="G17" s="5">
        <f t="shared" si="22"/>
        <v>95058941.940625876</v>
      </c>
      <c r="H17" s="5">
        <f t="shared" si="11"/>
        <v>1552664.3504091445</v>
      </c>
      <c r="I17" s="5">
        <f t="shared" si="12"/>
        <v>1109020.9893073021</v>
      </c>
      <c r="J17" s="5">
        <f t="shared" si="13"/>
        <v>443643.36110184249</v>
      </c>
      <c r="K17" s="5">
        <f t="shared" si="14"/>
        <v>94615298.579524025</v>
      </c>
      <c r="L17" s="5">
        <f t="shared" si="15"/>
        <v>99573262.928507268</v>
      </c>
      <c r="M17" s="5">
        <f t="shared" si="16"/>
        <v>178235.51613867367</v>
      </c>
      <c r="N17" s="5">
        <f t="shared" si="23"/>
        <v>12500</v>
      </c>
      <c r="O17" s="5">
        <f t="shared" si="17"/>
        <v>190735.51613867367</v>
      </c>
      <c r="P17" s="5">
        <f t="shared" si="18"/>
        <v>76294.206455469466</v>
      </c>
      <c r="Q17" s="18">
        <v>3.5000000000000003E-2</v>
      </c>
      <c r="R17" s="18">
        <v>0.2</v>
      </c>
      <c r="S17" s="5">
        <f t="shared" si="0"/>
        <v>58084.403374962581</v>
      </c>
      <c r="T17" s="5">
        <f t="shared" si="1"/>
        <v>353982.94971084333</v>
      </c>
      <c r="U17" s="5">
        <f t="shared" si="19"/>
        <v>6480.6251514520281</v>
      </c>
      <c r="V17" s="5">
        <f t="shared" si="20"/>
        <v>11202.938279620354</v>
      </c>
      <c r="W17" s="5">
        <f t="shared" si="2"/>
        <v>371666.51314191573</v>
      </c>
      <c r="X17" s="5">
        <f t="shared" si="3"/>
        <v>56356.906308241625</v>
      </c>
      <c r="Y17" s="5">
        <f t="shared" si="4"/>
        <v>15216.364703225239</v>
      </c>
      <c r="Z17" s="5">
        <f t="shared" si="5"/>
        <v>41140.541605016384</v>
      </c>
      <c r="AA17" s="5">
        <f t="shared" si="6"/>
        <v>53383.499363276227</v>
      </c>
      <c r="AB17" s="5">
        <f t="shared" si="7"/>
        <v>-12242.957758259843</v>
      </c>
      <c r="AC17" s="17">
        <f t="shared" si="8"/>
        <v>0.88243189356955709</v>
      </c>
      <c r="AD17" s="5">
        <f t="shared" si="9"/>
        <v>36303.726030991755</v>
      </c>
      <c r="AE17" s="5">
        <f t="shared" si="10"/>
        <v>327970.38496821537</v>
      </c>
      <c r="AF17" s="2">
        <f t="shared" si="21"/>
        <v>0.11069208591656854</v>
      </c>
      <c r="AG17" s="21"/>
    </row>
    <row r="18" spans="2:33" customFormat="1" x14ac:dyDescent="0.3">
      <c r="B18" s="30" t="s">
        <v>88</v>
      </c>
      <c r="C18" s="2">
        <v>0.4</v>
      </c>
      <c r="D18" s="1"/>
      <c r="E18" s="4">
        <v>14</v>
      </c>
      <c r="F18" s="4">
        <v>2</v>
      </c>
      <c r="G18" s="5">
        <f t="shared" si="22"/>
        <v>94615298.579524025</v>
      </c>
      <c r="H18" s="5">
        <f t="shared" si="11"/>
        <v>1552664.3504091445</v>
      </c>
      <c r="I18" s="5">
        <f t="shared" si="12"/>
        <v>1103845.150094447</v>
      </c>
      <c r="J18" s="5">
        <f t="shared" si="13"/>
        <v>448819.20031469758</v>
      </c>
      <c r="K18" s="5">
        <f t="shared" si="14"/>
        <v>94166479.379209325</v>
      </c>
      <c r="L18" s="5">
        <f t="shared" si="15"/>
        <v>99108551.075633153</v>
      </c>
      <c r="M18" s="5">
        <f t="shared" si="16"/>
        <v>177403.68483660769</v>
      </c>
      <c r="N18" s="5">
        <f t="shared" si="23"/>
        <v>12500</v>
      </c>
      <c r="O18" s="5">
        <f t="shared" si="17"/>
        <v>189903.68483660769</v>
      </c>
      <c r="P18" s="5">
        <f t="shared" si="18"/>
        <v>75961.473934643072</v>
      </c>
      <c r="Q18" s="18">
        <v>3.5000000000000003E-2</v>
      </c>
      <c r="R18" s="18">
        <v>0.2</v>
      </c>
      <c r="S18" s="5">
        <f t="shared" si="0"/>
        <v>57813.321460786014</v>
      </c>
      <c r="T18" s="5">
        <f t="shared" si="1"/>
        <v>352330.89907387586</v>
      </c>
      <c r="U18" s="5">
        <f t="shared" si="19"/>
        <v>6452.3619995909212</v>
      </c>
      <c r="V18" s="5">
        <f t="shared" si="20"/>
        <v>11154.080285447279</v>
      </c>
      <c r="W18" s="5">
        <f t="shared" si="2"/>
        <v>369937.3413589141</v>
      </c>
      <c r="X18" s="5">
        <f t="shared" si="3"/>
        <v>56128.889441178602</v>
      </c>
      <c r="Y18" s="5">
        <f t="shared" si="4"/>
        <v>15154.800149118224</v>
      </c>
      <c r="Z18" s="5">
        <f t="shared" si="5"/>
        <v>40974.08929206038</v>
      </c>
      <c r="AA18" s="5">
        <f t="shared" si="6"/>
        <v>53135.133590431855</v>
      </c>
      <c r="AB18" s="5">
        <f t="shared" si="7"/>
        <v>-12161.044298371475</v>
      </c>
      <c r="AC18" s="17">
        <f t="shared" si="8"/>
        <v>0.87398268133388302</v>
      </c>
      <c r="AD18" s="5">
        <f t="shared" si="9"/>
        <v>35810.644424688879</v>
      </c>
      <c r="AE18" s="5">
        <f t="shared" si="10"/>
        <v>323318.8295263917</v>
      </c>
      <c r="AF18" s="2">
        <f t="shared" si="21"/>
        <v>0.11075953874120327</v>
      </c>
      <c r="AG18" s="21"/>
    </row>
    <row r="19" spans="2:33" customFormat="1" x14ac:dyDescent="0.3">
      <c r="B19" s="1"/>
      <c r="C19" s="1"/>
      <c r="D19" s="1"/>
      <c r="E19" s="4">
        <v>15</v>
      </c>
      <c r="F19" s="4">
        <v>2</v>
      </c>
      <c r="G19" s="5">
        <f t="shared" si="22"/>
        <v>94166479.379209325</v>
      </c>
      <c r="H19" s="5">
        <f t="shared" si="11"/>
        <v>1552664.3504091445</v>
      </c>
      <c r="I19" s="5">
        <f t="shared" si="12"/>
        <v>1098608.9260907755</v>
      </c>
      <c r="J19" s="5">
        <f t="shared" si="13"/>
        <v>454055.42431836901</v>
      </c>
      <c r="K19" s="5">
        <f t="shared" si="14"/>
        <v>93712423.954890952</v>
      </c>
      <c r="L19" s="5">
        <f t="shared" si="15"/>
        <v>98638417.584475502</v>
      </c>
      <c r="M19" s="5">
        <f t="shared" si="16"/>
        <v>176562.14883601762</v>
      </c>
      <c r="N19" s="5">
        <f t="shared" si="23"/>
        <v>12500</v>
      </c>
      <c r="O19" s="5">
        <f t="shared" si="17"/>
        <v>189062.14883601762</v>
      </c>
      <c r="P19" s="5">
        <f t="shared" si="18"/>
        <v>75624.859534407049</v>
      </c>
      <c r="Q19" s="18">
        <v>3.5000000000000003E-2</v>
      </c>
      <c r="R19" s="18">
        <v>0.2</v>
      </c>
      <c r="S19" s="5">
        <f t="shared" si="0"/>
        <v>57539.076924277382</v>
      </c>
      <c r="T19" s="5">
        <f t="shared" si="1"/>
        <v>350659.57451281039</v>
      </c>
      <c r="U19" s="5">
        <f t="shared" si="19"/>
        <v>6423.7691109581019</v>
      </c>
      <c r="V19" s="5">
        <f t="shared" si="20"/>
        <v>11104.652281342187</v>
      </c>
      <c r="W19" s="5">
        <f t="shared" si="2"/>
        <v>368187.99590511067</v>
      </c>
      <c r="X19" s="5">
        <f t="shared" si="3"/>
        <v>55898.212377333184</v>
      </c>
      <c r="Y19" s="5">
        <f t="shared" si="4"/>
        <v>15092.51734187996</v>
      </c>
      <c r="Z19" s="5">
        <f t="shared" si="5"/>
        <v>40805.695035453224</v>
      </c>
      <c r="AA19" s="5">
        <f t="shared" si="6"/>
        <v>52883.870216904288</v>
      </c>
      <c r="AB19" s="5">
        <f t="shared" si="7"/>
        <v>-12078.175181451064</v>
      </c>
      <c r="AC19" s="17">
        <f t="shared" si="8"/>
        <v>0.86561436960500604</v>
      </c>
      <c r="AD19" s="5">
        <f t="shared" si="9"/>
        <v>35321.995984407964</v>
      </c>
      <c r="AE19" s="5">
        <f t="shared" si="10"/>
        <v>318708.81997153291</v>
      </c>
      <c r="AF19" s="2">
        <f t="shared" si="21"/>
        <v>0.1108284232220587</v>
      </c>
      <c r="AG19" s="21"/>
    </row>
    <row r="20" spans="2:33" customFormat="1" x14ac:dyDescent="0.3">
      <c r="B20" s="33" t="s">
        <v>89</v>
      </c>
      <c r="C20" s="33"/>
      <c r="D20" s="1"/>
      <c r="E20" s="4">
        <v>16</v>
      </c>
      <c r="F20" s="4">
        <v>2</v>
      </c>
      <c r="G20" s="5">
        <f t="shared" si="22"/>
        <v>93712423.954890952</v>
      </c>
      <c r="H20" s="5">
        <f t="shared" si="11"/>
        <v>1552664.3504091445</v>
      </c>
      <c r="I20" s="5">
        <f t="shared" si="12"/>
        <v>1093311.6128070613</v>
      </c>
      <c r="J20" s="5">
        <f t="shared" si="13"/>
        <v>459352.73760208325</v>
      </c>
      <c r="K20" s="5">
        <f t="shared" si="14"/>
        <v>93253071.217288867</v>
      </c>
      <c r="L20" s="5">
        <f t="shared" si="15"/>
        <v>98162799.202587694</v>
      </c>
      <c r="M20" s="5">
        <f t="shared" si="16"/>
        <v>175710.7949154207</v>
      </c>
      <c r="N20" s="5">
        <f t="shared" si="23"/>
        <v>12500</v>
      </c>
      <c r="O20" s="5">
        <f t="shared" si="17"/>
        <v>188210.7949154207</v>
      </c>
      <c r="P20" s="5">
        <f t="shared" si="18"/>
        <v>75284.317966168281</v>
      </c>
      <c r="Q20" s="18">
        <v>3.5000000000000003E-2</v>
      </c>
      <c r="R20" s="18">
        <v>0.2</v>
      </c>
      <c r="S20" s="5">
        <f t="shared" si="0"/>
        <v>57261.632868176166</v>
      </c>
      <c r="T20" s="5">
        <f t="shared" si="1"/>
        <v>348968.75116519921</v>
      </c>
      <c r="U20" s="5">
        <f t="shared" si="19"/>
        <v>6394.8426386245683</v>
      </c>
      <c r="V20" s="5">
        <f t="shared" si="20"/>
        <v>11054.647617189206</v>
      </c>
      <c r="W20" s="5">
        <f t="shared" si="2"/>
        <v>366418.24142101296</v>
      </c>
      <c r="X20" s="5">
        <f t="shared" si="3"/>
        <v>55664.844081076255</v>
      </c>
      <c r="Y20" s="5">
        <f t="shared" si="4"/>
        <v>15029.507901890589</v>
      </c>
      <c r="Z20" s="5">
        <f t="shared" si="5"/>
        <v>40635.336179185666</v>
      </c>
      <c r="AA20" s="5">
        <f t="shared" si="6"/>
        <v>52629.675437352249</v>
      </c>
      <c r="AB20" s="5">
        <f t="shared" si="7"/>
        <v>-11994.339258166583</v>
      </c>
      <c r="AC20" s="17">
        <f t="shared" si="8"/>
        <v>0.85732618376727865</v>
      </c>
      <c r="AD20" s="5">
        <f t="shared" si="9"/>
        <v>34837.73769260168</v>
      </c>
      <c r="AE20" s="5">
        <f t="shared" si="10"/>
        <v>314139.95258019445</v>
      </c>
      <c r="AF20" s="2">
        <f t="shared" si="21"/>
        <v>0.110898780643663</v>
      </c>
      <c r="AG20" s="21"/>
    </row>
    <row r="21" spans="2:33" customFormat="1" x14ac:dyDescent="0.3">
      <c r="B21" s="1"/>
      <c r="C21" s="1"/>
      <c r="D21" s="1"/>
      <c r="E21" s="4">
        <v>17</v>
      </c>
      <c r="F21" s="4">
        <v>2</v>
      </c>
      <c r="G21" s="5">
        <f t="shared" si="22"/>
        <v>93253071.217288867</v>
      </c>
      <c r="H21" s="5">
        <f t="shared" si="11"/>
        <v>1552664.3504091445</v>
      </c>
      <c r="I21" s="5">
        <f t="shared" si="12"/>
        <v>1087952.4975350369</v>
      </c>
      <c r="J21" s="5">
        <f t="shared" si="13"/>
        <v>464711.85287410766</v>
      </c>
      <c r="K21" s="5">
        <f t="shared" si="14"/>
        <v>92788359.364414752</v>
      </c>
      <c r="L21" s="5">
        <f t="shared" si="15"/>
        <v>97681631.939577863</v>
      </c>
      <c r="M21" s="5">
        <f t="shared" si="16"/>
        <v>174849.50853241677</v>
      </c>
      <c r="N21" s="5">
        <f t="shared" si="23"/>
        <v>12500</v>
      </c>
      <c r="O21" s="5">
        <f t="shared" si="17"/>
        <v>187349.50853241677</v>
      </c>
      <c r="P21" s="5">
        <f t="shared" si="18"/>
        <v>74939.803412966707</v>
      </c>
      <c r="Q21" s="18">
        <v>3.5000000000000003E-2</v>
      </c>
      <c r="R21" s="18">
        <v>0.2</v>
      </c>
      <c r="S21" s="5">
        <f t="shared" si="0"/>
        <v>56980.951964753767</v>
      </c>
      <c r="T21" s="5">
        <f t="shared" si="1"/>
        <v>347258.20154519926</v>
      </c>
      <c r="U21" s="5">
        <f t="shared" si="19"/>
        <v>6365.578690780475</v>
      </c>
      <c r="V21" s="5">
        <f t="shared" si="20"/>
        <v>11004.059565287769</v>
      </c>
      <c r="W21" s="5">
        <f t="shared" si="2"/>
        <v>364627.83980126755</v>
      </c>
      <c r="X21" s="5">
        <f t="shared" si="3"/>
        <v>55428.7531546963</v>
      </c>
      <c r="Y21" s="5">
        <f t="shared" si="4"/>
        <v>14965.763351768002</v>
      </c>
      <c r="Z21" s="5">
        <f t="shared" si="5"/>
        <v>40462.989802928299</v>
      </c>
      <c r="AA21" s="5">
        <f t="shared" si="6"/>
        <v>52372.515052038783</v>
      </c>
      <c r="AB21" s="5">
        <f t="shared" si="7"/>
        <v>-11909.525249110484</v>
      </c>
      <c r="AC21" s="17">
        <f t="shared" si="8"/>
        <v>0.84911735662193566</v>
      </c>
      <c r="AD21" s="5">
        <f t="shared" si="9"/>
        <v>34357.826942482818</v>
      </c>
      <c r="AE21" s="5">
        <f t="shared" si="10"/>
        <v>309611.82748281892</v>
      </c>
      <c r="AF21" s="2">
        <f t="shared" si="21"/>
        <v>0.11097065387267679</v>
      </c>
      <c r="AG21" s="21"/>
    </row>
    <row r="22" spans="2:33" customFormat="1" x14ac:dyDescent="0.3">
      <c r="B22" s="31" t="s">
        <v>14</v>
      </c>
      <c r="C22" s="3">
        <v>4.4999999999999998E-2</v>
      </c>
      <c r="D22" s="1"/>
      <c r="E22" s="4">
        <v>18</v>
      </c>
      <c r="F22" s="4">
        <v>2</v>
      </c>
      <c r="G22" s="5">
        <f t="shared" si="22"/>
        <v>92788359.364414752</v>
      </c>
      <c r="H22" s="5">
        <f t="shared" si="11"/>
        <v>1552664.3504091445</v>
      </c>
      <c r="I22" s="5">
        <f t="shared" si="12"/>
        <v>1082530.8592515055</v>
      </c>
      <c r="J22" s="5">
        <f t="shared" si="13"/>
        <v>470133.49115763907</v>
      </c>
      <c r="K22" s="5">
        <f t="shared" si="14"/>
        <v>92318225.873257101</v>
      </c>
      <c r="L22" s="5">
        <f t="shared" si="15"/>
        <v>97194851.05849956</v>
      </c>
      <c r="M22" s="5">
        <f t="shared" si="16"/>
        <v>173978.17380827782</v>
      </c>
      <c r="N22" s="5">
        <f t="shared" si="23"/>
        <v>12500</v>
      </c>
      <c r="O22" s="5">
        <f t="shared" si="17"/>
        <v>186478.17380827782</v>
      </c>
      <c r="P22" s="5">
        <f t="shared" si="18"/>
        <v>74591.26952331113</v>
      </c>
      <c r="Q22" s="18">
        <v>3.5000000000000003E-2</v>
      </c>
      <c r="R22" s="18">
        <v>0.2</v>
      </c>
      <c r="S22" s="5">
        <f t="shared" si="0"/>
        <v>56696.996450791419</v>
      </c>
      <c r="T22" s="5">
        <f t="shared" si="1"/>
        <v>345527.6955129659</v>
      </c>
      <c r="U22" s="5">
        <f t="shared" si="19"/>
        <v>6335.9733302115337</v>
      </c>
      <c r="V22" s="5">
        <f t="shared" si="20"/>
        <v>10952.881319447484</v>
      </c>
      <c r="W22" s="5">
        <f t="shared" si="2"/>
        <v>362816.55016262492</v>
      </c>
      <c r="X22" s="5">
        <f t="shared" si="3"/>
        <v>55189.907834175268</v>
      </c>
      <c r="Y22" s="5">
        <f t="shared" si="4"/>
        <v>14901.275115227323</v>
      </c>
      <c r="Z22" s="5">
        <f t="shared" si="5"/>
        <v>40288.632718947949</v>
      </c>
      <c r="AA22" s="5">
        <f t="shared" si="6"/>
        <v>52112.354462229967</v>
      </c>
      <c r="AB22" s="5">
        <f t="shared" si="7"/>
        <v>-11823.721743282018</v>
      </c>
      <c r="AC22" s="17">
        <f t="shared" si="8"/>
        <v>0.84098712831607514</v>
      </c>
      <c r="AD22" s="5">
        <f t="shared" si="9"/>
        <v>33882.221534089105</v>
      </c>
      <c r="AE22" s="5">
        <f t="shared" si="10"/>
        <v>305124.04862681113</v>
      </c>
      <c r="AF22" s="2">
        <f t="shared" si="21"/>
        <v>0.11104408743451594</v>
      </c>
      <c r="AG22" s="21"/>
    </row>
    <row r="23" spans="2:33" customFormat="1" x14ac:dyDescent="0.3">
      <c r="B23" s="31" t="s">
        <v>17</v>
      </c>
      <c r="C23" s="2">
        <v>3.3977023695682923E-2</v>
      </c>
      <c r="D23" s="1"/>
      <c r="E23" s="4">
        <v>19</v>
      </c>
      <c r="F23" s="4">
        <v>2</v>
      </c>
      <c r="G23" s="5">
        <f t="shared" si="22"/>
        <v>92318225.873257101</v>
      </c>
      <c r="H23" s="5">
        <f t="shared" si="11"/>
        <v>1552664.3504091445</v>
      </c>
      <c r="I23" s="5">
        <f t="shared" si="12"/>
        <v>1077045.9685213331</v>
      </c>
      <c r="J23" s="5">
        <f t="shared" si="13"/>
        <v>475618.38188781147</v>
      </c>
      <c r="K23" s="5">
        <f t="shared" si="14"/>
        <v>91842607.491369277</v>
      </c>
      <c r="L23" s="5">
        <f t="shared" si="15"/>
        <v>96702391.067142025</v>
      </c>
      <c r="M23" s="5">
        <f t="shared" si="16"/>
        <v>173096.6735123572</v>
      </c>
      <c r="N23" s="5">
        <f t="shared" si="23"/>
        <v>12500</v>
      </c>
      <c r="O23" s="5">
        <f t="shared" si="17"/>
        <v>185596.6735123572</v>
      </c>
      <c r="P23" s="5">
        <f t="shared" si="18"/>
        <v>74238.669404942877</v>
      </c>
      <c r="Q23" s="18">
        <v>3.5000000000000003E-2</v>
      </c>
      <c r="R23" s="18">
        <v>0.2</v>
      </c>
      <c r="S23" s="5">
        <f t="shared" si="0"/>
        <v>56409.728122499517</v>
      </c>
      <c r="T23" s="5">
        <f t="shared" si="1"/>
        <v>343777.00024368986</v>
      </c>
      <c r="U23" s="5">
        <f t="shared" si="19"/>
        <v>6306.0225737692881</v>
      </c>
      <c r="V23" s="5">
        <f t="shared" si="20"/>
        <v>10901.105994072394</v>
      </c>
      <c r="W23" s="5">
        <f t="shared" si="2"/>
        <v>360984.12881153153</v>
      </c>
      <c r="X23" s="5">
        <f t="shared" si="3"/>
        <v>54948.275984914806</v>
      </c>
      <c r="Y23" s="5">
        <f t="shared" si="4"/>
        <v>14836.034515926998</v>
      </c>
      <c r="Z23" s="5">
        <f t="shared" si="5"/>
        <v>40112.241468987806</v>
      </c>
      <c r="AA23" s="5">
        <f t="shared" si="6"/>
        <v>51849.158665540053</v>
      </c>
      <c r="AB23" s="5">
        <f t="shared" si="7"/>
        <v>-11736.917196552247</v>
      </c>
      <c r="AC23" s="17">
        <f t="shared" si="8"/>
        <v>0.83293474627232422</v>
      </c>
      <c r="AD23" s="5">
        <f t="shared" si="9"/>
        <v>33410.879670385562</v>
      </c>
      <c r="AE23" s="5">
        <f t="shared" si="10"/>
        <v>300676.22373996902</v>
      </c>
      <c r="AF23" s="2">
        <f t="shared" si="21"/>
        <v>0.11111912759447178</v>
      </c>
      <c r="AG23" s="21"/>
    </row>
    <row r="24" spans="2:33" customFormat="1" x14ac:dyDescent="0.3">
      <c r="B24" s="31" t="s">
        <v>20</v>
      </c>
      <c r="C24" s="2">
        <v>5.873546000460287E-2</v>
      </c>
      <c r="D24" s="1"/>
      <c r="E24" s="4">
        <v>20</v>
      </c>
      <c r="F24" s="4">
        <v>2</v>
      </c>
      <c r="G24" s="5">
        <f t="shared" si="22"/>
        <v>91842607.491369277</v>
      </c>
      <c r="H24" s="5">
        <f t="shared" si="11"/>
        <v>1552664.3504091445</v>
      </c>
      <c r="I24" s="5">
        <f t="shared" si="12"/>
        <v>1071497.0873993083</v>
      </c>
      <c r="J24" s="5">
        <f t="shared" si="13"/>
        <v>481167.2630098362</v>
      </c>
      <c r="K24" s="5">
        <f t="shared" si="14"/>
        <v>91361440.228359431</v>
      </c>
      <c r="L24" s="5">
        <f t="shared" si="15"/>
        <v>96204185.709218636</v>
      </c>
      <c r="M24" s="5">
        <f t="shared" si="16"/>
        <v>172204.88904631755</v>
      </c>
      <c r="N24" s="5">
        <f t="shared" si="23"/>
        <v>12500</v>
      </c>
      <c r="O24" s="5">
        <f t="shared" si="17"/>
        <v>184704.88904631755</v>
      </c>
      <c r="P24" s="5">
        <f t="shared" si="18"/>
        <v>73881.955618527019</v>
      </c>
      <c r="Q24" s="18">
        <v>3.5000000000000003E-2</v>
      </c>
      <c r="R24" s="18">
        <v>0.2</v>
      </c>
      <c r="S24" s="5">
        <f t="shared" si="0"/>
        <v>56119.108330377545</v>
      </c>
      <c r="T24" s="5">
        <f t="shared" si="1"/>
        <v>342005.88019627222</v>
      </c>
      <c r="U24" s="5">
        <f t="shared" si="19"/>
        <v>6275.7223918352165</v>
      </c>
      <c r="V24" s="5">
        <f t="shared" si="20"/>
        <v>10848.726623234596</v>
      </c>
      <c r="W24" s="5">
        <f t="shared" si="2"/>
        <v>359130.32921134203</v>
      </c>
      <c r="X24" s="5">
        <f t="shared" si="3"/>
        <v>54703.825097412984</v>
      </c>
      <c r="Y24" s="5">
        <f t="shared" si="4"/>
        <v>14770.032776301507</v>
      </c>
      <c r="Z24" s="5">
        <f t="shared" si="5"/>
        <v>39933.792321111476</v>
      </c>
      <c r="AA24" s="5">
        <f t="shared" si="6"/>
        <v>51582.892251222089</v>
      </c>
      <c r="AB24" s="5">
        <f t="shared" si="7"/>
        <v>-11649.099930110613</v>
      </c>
      <c r="AC24" s="17">
        <f t="shared" si="8"/>
        <v>0.82495946511917606</v>
      </c>
      <c r="AD24" s="5">
        <f t="shared" si="9"/>
        <v>32943.759953404384</v>
      </c>
      <c r="AE24" s="5">
        <f t="shared" si="10"/>
        <v>296267.96429426235</v>
      </c>
      <c r="AF24" s="2">
        <f t="shared" si="21"/>
        <v>0.11119582244364308</v>
      </c>
      <c r="AG24" s="21"/>
    </row>
    <row r="25" spans="2:33" customFormat="1" x14ac:dyDescent="0.3">
      <c r="B25" s="1"/>
      <c r="C25" s="1"/>
      <c r="D25" s="1"/>
      <c r="E25" s="4">
        <v>21</v>
      </c>
      <c r="F25" s="4">
        <v>2</v>
      </c>
      <c r="G25" s="5">
        <f t="shared" si="22"/>
        <v>91361440.228359431</v>
      </c>
      <c r="H25" s="5">
        <f t="shared" si="11"/>
        <v>1552664.3504091445</v>
      </c>
      <c r="I25" s="5">
        <f t="shared" si="12"/>
        <v>1065883.4693308601</v>
      </c>
      <c r="J25" s="5">
        <f t="shared" si="13"/>
        <v>486780.88107828447</v>
      </c>
      <c r="K25" s="5">
        <f t="shared" si="14"/>
        <v>90874659.347281143</v>
      </c>
      <c r="L25" s="5">
        <f t="shared" si="15"/>
        <v>95700167.955452815</v>
      </c>
      <c r="M25" s="5">
        <f t="shared" si="16"/>
        <v>171302.70042817408</v>
      </c>
      <c r="N25" s="5">
        <f t="shared" si="23"/>
        <v>12500</v>
      </c>
      <c r="O25" s="5">
        <f t="shared" si="17"/>
        <v>183802.70042817408</v>
      </c>
      <c r="P25" s="5">
        <f t="shared" si="18"/>
        <v>73521.080171269641</v>
      </c>
      <c r="Q25" s="18">
        <v>3.5000000000000003E-2</v>
      </c>
      <c r="R25" s="18">
        <v>0.2</v>
      </c>
      <c r="S25" s="5">
        <f t="shared" si="0"/>
        <v>55825.097974014148</v>
      </c>
      <c r="T25" s="5">
        <f t="shared" si="1"/>
        <v>340214.09708163474</v>
      </c>
      <c r="U25" s="5">
        <f t="shared" si="19"/>
        <v>6245.0687077785806</v>
      </c>
      <c r="V25" s="5">
        <f t="shared" si="20"/>
        <v>10795.736159737022</v>
      </c>
      <c r="W25" s="5">
        <f t="shared" si="2"/>
        <v>357254.90194915037</v>
      </c>
      <c r="X25" s="5">
        <f t="shared" si="3"/>
        <v>54456.522282890292</v>
      </c>
      <c r="Y25" s="5">
        <f t="shared" si="4"/>
        <v>14703.26101638038</v>
      </c>
      <c r="Z25" s="5">
        <f t="shared" si="5"/>
        <v>39753.261266509915</v>
      </c>
      <c r="AA25" s="5">
        <f t="shared" si="6"/>
        <v>51313.51939540376</v>
      </c>
      <c r="AB25" s="5">
        <f t="shared" si="7"/>
        <v>-11560.258128893845</v>
      </c>
      <c r="AC25" s="17">
        <f t="shared" si="8"/>
        <v>0.81706054662199368</v>
      </c>
      <c r="AD25" s="5">
        <f t="shared" si="9"/>
        <v>32480.821380421519</v>
      </c>
      <c r="AE25" s="5">
        <f t="shared" si="10"/>
        <v>291898.88546995958</v>
      </c>
      <c r="AF25" s="2">
        <f t="shared" si="21"/>
        <v>0.11127422199001251</v>
      </c>
      <c r="AG25" s="21"/>
    </row>
    <row r="26" spans="2:33" customFormat="1" x14ac:dyDescent="0.3">
      <c r="B26" s="33" t="s">
        <v>12</v>
      </c>
      <c r="C26" s="33"/>
      <c r="D26" s="1"/>
      <c r="E26" s="4">
        <v>22</v>
      </c>
      <c r="F26" s="4">
        <v>2</v>
      </c>
      <c r="G26" s="5">
        <f t="shared" si="22"/>
        <v>90874659.347281143</v>
      </c>
      <c r="H26" s="5">
        <f t="shared" si="11"/>
        <v>1552664.3504091445</v>
      </c>
      <c r="I26" s="5">
        <f t="shared" si="12"/>
        <v>1060204.3590516134</v>
      </c>
      <c r="J26" s="5">
        <f t="shared" si="13"/>
        <v>492459.99135753117</v>
      </c>
      <c r="K26" s="5">
        <f t="shared" si="14"/>
        <v>90382199.355923608</v>
      </c>
      <c r="L26" s="5">
        <f t="shared" si="15"/>
        <v>95190269.994559735</v>
      </c>
      <c r="M26" s="5">
        <f t="shared" si="16"/>
        <v>170389.98627615228</v>
      </c>
      <c r="N26" s="5">
        <f t="shared" si="23"/>
        <v>12500</v>
      </c>
      <c r="O26" s="5">
        <f t="shared" si="17"/>
        <v>182889.98627615228</v>
      </c>
      <c r="P26" s="5">
        <f t="shared" si="18"/>
        <v>73155.994510460921</v>
      </c>
      <c r="Q26" s="18">
        <v>3.5000000000000003E-2</v>
      </c>
      <c r="R26" s="18">
        <v>0.2</v>
      </c>
      <c r="S26" s="5">
        <f t="shared" si="0"/>
        <v>55527.657496826519</v>
      </c>
      <c r="T26" s="5">
        <f t="shared" si="1"/>
        <v>338401.40983065986</v>
      </c>
      <c r="U26" s="5">
        <f t="shared" si="19"/>
        <v>6214.0573974079507</v>
      </c>
      <c r="V26" s="5">
        <f t="shared" si="20"/>
        <v>10742.127474165311</v>
      </c>
      <c r="W26" s="5">
        <f t="shared" si="2"/>
        <v>355357.59470223309</v>
      </c>
      <c r="X26" s="5">
        <f t="shared" si="3"/>
        <v>54206.334268864841</v>
      </c>
      <c r="Y26" s="5">
        <f t="shared" si="4"/>
        <v>14635.710252593508</v>
      </c>
      <c r="Z26" s="5">
        <f t="shared" si="5"/>
        <v>39570.624016271337</v>
      </c>
      <c r="AA26" s="5">
        <f t="shared" si="6"/>
        <v>51041.00385626754</v>
      </c>
      <c r="AB26" s="5">
        <f t="shared" si="7"/>
        <v>-11470.379839996203</v>
      </c>
      <c r="AC26" s="17">
        <f t="shared" si="8"/>
        <v>0.80923725961467652</v>
      </c>
      <c r="AD26" s="5">
        <f t="shared" si="9"/>
        <v>32022.023340170123</v>
      </c>
      <c r="AE26" s="5">
        <f t="shared" si="10"/>
        <v>287568.60612009797</v>
      </c>
      <c r="AF26" s="2">
        <f t="shared" si="21"/>
        <v>0.11135437825503347</v>
      </c>
      <c r="AG26" s="21"/>
    </row>
    <row r="27" spans="2:33" customFormat="1" x14ac:dyDescent="0.3">
      <c r="B27" s="1"/>
      <c r="C27" s="1"/>
      <c r="D27" s="8">
        <v>1.3920062094741E-2</v>
      </c>
      <c r="E27" s="4">
        <v>23</v>
      </c>
      <c r="F27" s="4">
        <v>2</v>
      </c>
      <c r="G27" s="5">
        <f t="shared" si="22"/>
        <v>90382199.355923608</v>
      </c>
      <c r="H27" s="5">
        <f t="shared" si="11"/>
        <v>1552664.3504091445</v>
      </c>
      <c r="I27" s="5">
        <f t="shared" si="12"/>
        <v>1054458.9924857754</v>
      </c>
      <c r="J27" s="5">
        <f t="shared" si="13"/>
        <v>498205.35792336916</v>
      </c>
      <c r="K27" s="5">
        <f t="shared" si="14"/>
        <v>89883993.998000234</v>
      </c>
      <c r="L27" s="5">
        <f t="shared" si="15"/>
        <v>94674423.224122912</v>
      </c>
      <c r="M27" s="5">
        <f t="shared" si="16"/>
        <v>169466.6237923569</v>
      </c>
      <c r="N27" s="5">
        <f t="shared" si="23"/>
        <v>12500</v>
      </c>
      <c r="O27" s="5">
        <f t="shared" si="17"/>
        <v>181966.6237923569</v>
      </c>
      <c r="P27" s="5">
        <f t="shared" si="18"/>
        <v>72786.649516942765</v>
      </c>
      <c r="Q27" s="18">
        <v>3.5000000000000003E-2</v>
      </c>
      <c r="R27" s="18">
        <v>0.2</v>
      </c>
      <c r="S27" s="5">
        <f t="shared" si="0"/>
        <v>55226.74688073837</v>
      </c>
      <c r="T27" s="5">
        <f t="shared" si="1"/>
        <v>336567.57456175692</v>
      </c>
      <c r="U27" s="5">
        <f t="shared" si="19"/>
        <v>6182.6842884163307</v>
      </c>
      <c r="V27" s="5">
        <f t="shared" si="20"/>
        <v>10687.893353928595</v>
      </c>
      <c r="W27" s="5">
        <f t="shared" si="2"/>
        <v>353438.15220410185</v>
      </c>
      <c r="X27" s="5">
        <f t="shared" si="3"/>
        <v>53953.227394675763</v>
      </c>
      <c r="Y27" s="5">
        <f t="shared" si="4"/>
        <v>14567.371396562457</v>
      </c>
      <c r="Z27" s="5">
        <f t="shared" si="5"/>
        <v>39385.855998113308</v>
      </c>
      <c r="AA27" s="5">
        <f t="shared" si="6"/>
        <v>50765.308969174737</v>
      </c>
      <c r="AB27" s="5">
        <f t="shared" si="7"/>
        <v>-11379.45297106143</v>
      </c>
      <c r="AC27" s="17">
        <f t="shared" si="8"/>
        <v>0.80148887993197793</v>
      </c>
      <c r="AD27" s="5">
        <f t="shared" si="9"/>
        <v>31567.32560909001</v>
      </c>
      <c r="AE27" s="5">
        <f t="shared" si="10"/>
        <v>283276.74873529351</v>
      </c>
      <c r="AF27" s="2">
        <f t="shared" si="21"/>
        <v>0.11143634537611816</v>
      </c>
      <c r="AG27" s="21"/>
    </row>
    <row r="28" spans="2:33" customFormat="1" x14ac:dyDescent="0.3">
      <c r="B28" s="31" t="s">
        <v>15</v>
      </c>
      <c r="C28" s="3">
        <v>0.94799999999999995</v>
      </c>
      <c r="D28" s="8"/>
      <c r="E28" s="4">
        <v>24</v>
      </c>
      <c r="F28" s="4">
        <v>2</v>
      </c>
      <c r="G28" s="5">
        <f t="shared" si="22"/>
        <v>89883993.998000234</v>
      </c>
      <c r="H28" s="5">
        <f t="shared" si="11"/>
        <v>1552664.3504091445</v>
      </c>
      <c r="I28" s="5">
        <f t="shared" si="12"/>
        <v>1048646.5966433361</v>
      </c>
      <c r="J28" s="5">
        <f t="shared" si="13"/>
        <v>504017.75376580842</v>
      </c>
      <c r="K28" s="5">
        <f t="shared" si="14"/>
        <v>89379976.244234413</v>
      </c>
      <c r="L28" s="5">
        <f t="shared" si="15"/>
        <v>94152558.241364315</v>
      </c>
      <c r="M28" s="5">
        <f t="shared" si="16"/>
        <v>168532.4887462506</v>
      </c>
      <c r="N28" s="5">
        <f t="shared" si="23"/>
        <v>12500</v>
      </c>
      <c r="O28" s="5">
        <f t="shared" si="17"/>
        <v>181032.4887462506</v>
      </c>
      <c r="P28" s="5">
        <f t="shared" si="18"/>
        <v>72412.995498500241</v>
      </c>
      <c r="Q28" s="18">
        <v>3.5000000000000003E-2</v>
      </c>
      <c r="R28" s="18">
        <v>0.2</v>
      </c>
      <c r="S28" s="5">
        <f t="shared" si="0"/>
        <v>54922.325640795862</v>
      </c>
      <c r="T28" s="5">
        <f t="shared" si="1"/>
        <v>334712.34454805014</v>
      </c>
      <c r="U28" s="5">
        <f t="shared" si="19"/>
        <v>6150.9451598198084</v>
      </c>
      <c r="V28" s="5">
        <f t="shared" si="20"/>
        <v>10633.026502289122</v>
      </c>
      <c r="W28" s="5">
        <f t="shared" si="2"/>
        <v>351496.31621015904</v>
      </c>
      <c r="X28" s="5">
        <f t="shared" si="3"/>
        <v>53697.167606954499</v>
      </c>
      <c r="Y28" s="5">
        <f t="shared" si="4"/>
        <v>14498.235253877716</v>
      </c>
      <c r="Z28" s="5">
        <f t="shared" si="5"/>
        <v>39198.932353076787</v>
      </c>
      <c r="AA28" s="5">
        <f t="shared" si="6"/>
        <v>50486.397641732525</v>
      </c>
      <c r="AB28" s="5">
        <f t="shared" si="7"/>
        <v>-11287.465288655738</v>
      </c>
      <c r="AC28" s="17">
        <f t="shared" si="8"/>
        <v>0.79381469034247365</v>
      </c>
      <c r="AD28" s="5">
        <f t="shared" si="9"/>
        <v>31116.688347613221</v>
      </c>
      <c r="AE28" s="5">
        <f t="shared" si="10"/>
        <v>279022.93940888759</v>
      </c>
      <c r="AF28" s="2">
        <f t="shared" si="21"/>
        <v>0.11152017971545344</v>
      </c>
      <c r="AG28" s="21"/>
    </row>
    <row r="29" spans="2:33" customFormat="1" x14ac:dyDescent="0.3">
      <c r="B29" s="31" t="s">
        <v>18</v>
      </c>
      <c r="C29" s="2">
        <v>0.56399999999999995</v>
      </c>
      <c r="D29" s="1"/>
      <c r="E29" s="4">
        <v>25</v>
      </c>
      <c r="F29" s="4">
        <v>3</v>
      </c>
      <c r="G29" s="5">
        <f t="shared" si="22"/>
        <v>89379976.244234413</v>
      </c>
      <c r="H29" s="5">
        <f t="shared" si="11"/>
        <v>1552664.3504091445</v>
      </c>
      <c r="I29" s="5">
        <f t="shared" si="12"/>
        <v>1042766.3895160683</v>
      </c>
      <c r="J29" s="5">
        <f t="shared" si="13"/>
        <v>509897.96089307626</v>
      </c>
      <c r="K29" s="5">
        <f t="shared" si="14"/>
        <v>88870078.283341333</v>
      </c>
      <c r="L29" s="5">
        <f t="shared" si="15"/>
        <v>93624604.833806857</v>
      </c>
      <c r="M29" s="5">
        <f t="shared" si="16"/>
        <v>167587.45545793968</v>
      </c>
      <c r="N29" s="5">
        <f t="shared" si="23"/>
        <v>12500</v>
      </c>
      <c r="O29" s="5">
        <f t="shared" si="17"/>
        <v>180087.45545793968</v>
      </c>
      <c r="P29" s="5">
        <f t="shared" si="18"/>
        <v>72034.982183175875</v>
      </c>
      <c r="Q29" s="18">
        <v>3.5000000000000003E-2</v>
      </c>
      <c r="R29" s="18">
        <v>0.2</v>
      </c>
      <c r="S29" s="5">
        <f t="shared" si="0"/>
        <v>54614.352819720669</v>
      </c>
      <c r="T29" s="5">
        <f t="shared" si="1"/>
        <v>332835.47018418333</v>
      </c>
      <c r="U29" s="5">
        <f t="shared" si="19"/>
        <v>6118.8357413896592</v>
      </c>
      <c r="V29" s="5">
        <f t="shared" si="20"/>
        <v>10577.519537380516</v>
      </c>
      <c r="W29" s="5">
        <f t="shared" si="2"/>
        <v>349531.82546295348</v>
      </c>
      <c r="X29" s="5">
        <f t="shared" si="3"/>
        <v>53438.120455043136</v>
      </c>
      <c r="Y29" s="5">
        <f t="shared" si="4"/>
        <v>14428.292522861648</v>
      </c>
      <c r="Z29" s="5">
        <f t="shared" si="5"/>
        <v>39009.827932181492</v>
      </c>
      <c r="AA29" s="5">
        <f t="shared" si="6"/>
        <v>50204.232348803467</v>
      </c>
      <c r="AB29" s="5">
        <f t="shared" si="7"/>
        <v>-11194.404416621976</v>
      </c>
      <c r="AC29" s="17">
        <f t="shared" si="8"/>
        <v>0.78621398048217117</v>
      </c>
      <c r="AD29" s="5">
        <f t="shared" si="9"/>
        <v>30670.072096484993</v>
      </c>
      <c r="AE29" s="5">
        <f t="shared" si="10"/>
        <v>274806.80780242814</v>
      </c>
      <c r="AF29" s="2">
        <f t="shared" si="21"/>
        <v>0.11160593997560346</v>
      </c>
      <c r="AG29" s="21"/>
    </row>
    <row r="30" spans="2:33" customFormat="1" x14ac:dyDescent="0.3">
      <c r="B30" s="31" t="s">
        <v>21</v>
      </c>
      <c r="C30" s="2">
        <v>0.65200000000000002</v>
      </c>
      <c r="D30" s="1"/>
      <c r="E30" s="4">
        <v>26</v>
      </c>
      <c r="F30" s="4">
        <v>3</v>
      </c>
      <c r="G30" s="5">
        <f t="shared" si="22"/>
        <v>88870078.283341333</v>
      </c>
      <c r="H30" s="5">
        <f t="shared" si="11"/>
        <v>1552664.3504091445</v>
      </c>
      <c r="I30" s="5">
        <f t="shared" si="12"/>
        <v>1036817.5799723156</v>
      </c>
      <c r="J30" s="5">
        <f t="shared" si="13"/>
        <v>515846.77043682896</v>
      </c>
      <c r="K30" s="5">
        <f t="shared" si="14"/>
        <v>88354231.512904495</v>
      </c>
      <c r="L30" s="5">
        <f t="shared" si="15"/>
        <v>93090491.969827905</v>
      </c>
      <c r="M30" s="5">
        <f t="shared" si="16"/>
        <v>166631.39678126515</v>
      </c>
      <c r="N30" s="5">
        <f t="shared" si="23"/>
        <v>12500</v>
      </c>
      <c r="O30" s="5">
        <f t="shared" si="17"/>
        <v>179131.39678126515</v>
      </c>
      <c r="P30" s="5">
        <f t="shared" si="18"/>
        <v>71652.55871250607</v>
      </c>
      <c r="Q30" s="18">
        <v>3.5000000000000003E-2</v>
      </c>
      <c r="R30" s="18">
        <v>0.2</v>
      </c>
      <c r="S30" s="5">
        <f t="shared" si="0"/>
        <v>54302.786982399615</v>
      </c>
      <c r="T30" s="5">
        <f t="shared" si="1"/>
        <v>330936.6989527382</v>
      </c>
      <c r="U30" s="5">
        <f t="shared" si="19"/>
        <v>6086.3517130778255</v>
      </c>
      <c r="V30" s="5">
        <f t="shared" si="20"/>
        <v>10521.364991214647</v>
      </c>
      <c r="W30" s="5">
        <f t="shared" si="2"/>
        <v>347544.41565703065</v>
      </c>
      <c r="X30" s="5">
        <f t="shared" si="3"/>
        <v>53176.051086359468</v>
      </c>
      <c r="Y30" s="5">
        <f t="shared" si="4"/>
        <v>14357.533793317058</v>
      </c>
      <c r="Z30" s="5">
        <f t="shared" si="5"/>
        <v>38818.517293042409</v>
      </c>
      <c r="AA30" s="5">
        <f t="shared" si="6"/>
        <v>49918.775127456916</v>
      </c>
      <c r="AB30" s="5">
        <f t="shared" si="7"/>
        <v>-11100.257834414508</v>
      </c>
      <c r="AC30" s="17">
        <f t="shared" si="8"/>
        <v>0.77868604678875442</v>
      </c>
      <c r="AD30" s="5">
        <f t="shared" si="9"/>
        <v>30227.437773120095</v>
      </c>
      <c r="AE30" s="5">
        <f t="shared" si="10"/>
        <v>270627.98711148091</v>
      </c>
      <c r="AF30" s="2">
        <f t="shared" si="21"/>
        <v>0.11169368732239944</v>
      </c>
      <c r="AG30" s="21"/>
    </row>
    <row r="31" spans="2:33" customFormat="1" x14ac:dyDescent="0.3">
      <c r="B31" s="49"/>
      <c r="C31" s="20"/>
      <c r="D31" s="1"/>
      <c r="E31" s="4">
        <v>27</v>
      </c>
      <c r="F31" s="4">
        <v>3</v>
      </c>
      <c r="G31" s="5">
        <f t="shared" si="22"/>
        <v>88354231.512904495</v>
      </c>
      <c r="H31" s="5">
        <f t="shared" si="11"/>
        <v>1552664.3504091445</v>
      </c>
      <c r="I31" s="5">
        <f t="shared" si="12"/>
        <v>1030799.3676505525</v>
      </c>
      <c r="J31" s="5">
        <f t="shared" si="13"/>
        <v>521864.982758592</v>
      </c>
      <c r="K31" s="5">
        <f t="shared" si="14"/>
        <v>87832366.530145898</v>
      </c>
      <c r="L31" s="5">
        <f t="shared" si="15"/>
        <v>92550147.789102525</v>
      </c>
      <c r="M31" s="5">
        <f t="shared" si="16"/>
        <v>165664.18408669607</v>
      </c>
      <c r="N31" s="5">
        <f t="shared" si="23"/>
        <v>12500</v>
      </c>
      <c r="O31" s="5">
        <f t="shared" si="17"/>
        <v>178164.18408669607</v>
      </c>
      <c r="P31" s="5">
        <f t="shared" si="18"/>
        <v>71265.673634678431</v>
      </c>
      <c r="Q31" s="18">
        <v>3.5000000000000003E-2</v>
      </c>
      <c r="R31" s="18">
        <v>0.2</v>
      </c>
      <c r="S31" s="5">
        <f t="shared" si="0"/>
        <v>53987.586210309812</v>
      </c>
      <c r="T31" s="5">
        <f t="shared" si="1"/>
        <v>329015.77539025946</v>
      </c>
      <c r="U31" s="5">
        <f t="shared" si="19"/>
        <v>6053.4887044356865</v>
      </c>
      <c r="V31" s="5">
        <f t="shared" si="20"/>
        <v>10464.55530867684</v>
      </c>
      <c r="W31" s="5">
        <f t="shared" si="2"/>
        <v>345533.81940337201</v>
      </c>
      <c r="X31" s="5">
        <f t="shared" si="3"/>
        <v>52910.924241707828</v>
      </c>
      <c r="Y31" s="5">
        <f t="shared" si="4"/>
        <v>14285.949545261114</v>
      </c>
      <c r="Z31" s="5">
        <f t="shared" si="5"/>
        <v>38624.974696446712</v>
      </c>
      <c r="AA31" s="5">
        <f t="shared" si="6"/>
        <v>49629.987571861326</v>
      </c>
      <c r="AB31" s="5">
        <f t="shared" si="7"/>
        <v>-11005.012875414614</v>
      </c>
      <c r="AC31" s="17">
        <f t="shared" si="8"/>
        <v>0.7712301924364573</v>
      </c>
      <c r="AD31" s="5">
        <f t="shared" si="9"/>
        <v>29788.746667993892</v>
      </c>
      <c r="AE31" s="5">
        <f t="shared" si="10"/>
        <v>266486.11403176666</v>
      </c>
      <c r="AF31" s="2">
        <f t="shared" si="21"/>
        <v>0.11178348551565769</v>
      </c>
      <c r="AG31" s="21"/>
    </row>
    <row r="32" spans="2:33" customFormat="1" x14ac:dyDescent="0.3">
      <c r="B32" s="33" t="s">
        <v>90</v>
      </c>
      <c r="C32" s="33"/>
      <c r="D32" s="1"/>
      <c r="E32" s="4">
        <v>28</v>
      </c>
      <c r="F32" s="4">
        <v>3</v>
      </c>
      <c r="G32" s="5">
        <f t="shared" si="22"/>
        <v>87832366.530145898</v>
      </c>
      <c r="H32" s="5">
        <f t="shared" si="11"/>
        <v>1552664.3504091445</v>
      </c>
      <c r="I32" s="5">
        <f t="shared" si="12"/>
        <v>1024710.9428517022</v>
      </c>
      <c r="J32" s="5">
        <f t="shared" si="13"/>
        <v>527953.40755744232</v>
      </c>
      <c r="K32" s="5">
        <f t="shared" si="14"/>
        <v>87304413.122588456</v>
      </c>
      <c r="L32" s="5">
        <f t="shared" si="15"/>
        <v>92003499.592935368</v>
      </c>
      <c r="M32" s="5">
        <f t="shared" si="16"/>
        <v>164685.68724402369</v>
      </c>
      <c r="N32" s="5">
        <f t="shared" si="23"/>
        <v>12500</v>
      </c>
      <c r="O32" s="5">
        <f t="shared" si="17"/>
        <v>177185.68724402369</v>
      </c>
      <c r="P32" s="5">
        <f t="shared" si="18"/>
        <v>70874.274897609474</v>
      </c>
      <c r="Q32" s="18">
        <v>3.5000000000000003E-2</v>
      </c>
      <c r="R32" s="18">
        <v>0.2</v>
      </c>
      <c r="S32" s="5">
        <f t="shared" si="0"/>
        <v>53668.708095878974</v>
      </c>
      <c r="T32" s="5">
        <f t="shared" si="1"/>
        <v>327072.4410528852</v>
      </c>
      <c r="U32" s="5">
        <f t="shared" si="19"/>
        <v>6020.2422940260567</v>
      </c>
      <c r="V32" s="5">
        <f t="shared" si="20"/>
        <v>10407.082846509427</v>
      </c>
      <c r="W32" s="5">
        <f t="shared" si="2"/>
        <v>343499.76619342068</v>
      </c>
      <c r="X32" s="5">
        <f t="shared" si="3"/>
        <v>52642.704250535244</v>
      </c>
      <c r="Y32" s="5">
        <f t="shared" si="4"/>
        <v>14213.530147644517</v>
      </c>
      <c r="Z32" s="5">
        <f t="shared" si="5"/>
        <v>38429.174102890727</v>
      </c>
      <c r="AA32" s="5">
        <f t="shared" si="6"/>
        <v>49337.830828117119</v>
      </c>
      <c r="AB32" s="5">
        <f t="shared" si="7"/>
        <v>-10908.656725226392</v>
      </c>
      <c r="AC32" s="17">
        <f t="shared" si="8"/>
        <v>0.76384572727156386</v>
      </c>
      <c r="AD32" s="5">
        <f t="shared" si="9"/>
        <v>29353.960441068117</v>
      </c>
      <c r="AE32" s="5">
        <f t="shared" si="10"/>
        <v>262380.82872562559</v>
      </c>
      <c r="AF32" s="2">
        <f t="shared" si="21"/>
        <v>0.11187540104831312</v>
      </c>
      <c r="AG32" s="21"/>
    </row>
    <row r="33" spans="2:33" customFormat="1" x14ac:dyDescent="0.3">
      <c r="B33" s="1"/>
      <c r="C33" s="1"/>
      <c r="D33" s="1"/>
      <c r="E33" s="4">
        <v>29</v>
      </c>
      <c r="F33" s="4">
        <v>3</v>
      </c>
      <c r="G33" s="5">
        <f t="shared" si="22"/>
        <v>87304413.122588456</v>
      </c>
      <c r="H33" s="5">
        <f t="shared" si="11"/>
        <v>1552664.3504091445</v>
      </c>
      <c r="I33" s="5">
        <f t="shared" si="12"/>
        <v>1018551.4864301988</v>
      </c>
      <c r="J33" s="5">
        <f t="shared" si="13"/>
        <v>534112.86397894577</v>
      </c>
      <c r="K33" s="5">
        <f t="shared" si="14"/>
        <v>86770300.258609504</v>
      </c>
      <c r="L33" s="5">
        <f t="shared" si="15"/>
        <v>91450473.834479585</v>
      </c>
      <c r="M33" s="5">
        <f t="shared" si="16"/>
        <v>163695.7746048535</v>
      </c>
      <c r="N33" s="5">
        <f t="shared" si="23"/>
        <v>12500</v>
      </c>
      <c r="O33" s="5">
        <f t="shared" si="17"/>
        <v>176195.7746048535</v>
      </c>
      <c r="P33" s="5">
        <f t="shared" si="18"/>
        <v>70478.309841941402</v>
      </c>
      <c r="Q33" s="18">
        <v>3.5000000000000003E-2</v>
      </c>
      <c r="R33" s="18">
        <v>0.2</v>
      </c>
      <c r="S33" s="5">
        <f t="shared" si="0"/>
        <v>53346.109736779763</v>
      </c>
      <c r="T33" s="5">
        <f t="shared" si="1"/>
        <v>325106.43448157492</v>
      </c>
      <c r="U33" s="5">
        <f t="shared" si="19"/>
        <v>5986.6080088283152</v>
      </c>
      <c r="V33" s="5">
        <f t="shared" si="20"/>
        <v>10348.939872283396</v>
      </c>
      <c r="W33" s="5">
        <f t="shared" si="2"/>
        <v>341441.9823626866</v>
      </c>
      <c r="X33" s="5">
        <f t="shared" si="3"/>
        <v>52371.35502613234</v>
      </c>
      <c r="Y33" s="5">
        <f t="shared" si="4"/>
        <v>14140.265857055732</v>
      </c>
      <c r="Z33" s="5">
        <f t="shared" si="5"/>
        <v>38231.089169076608</v>
      </c>
      <c r="AA33" s="5">
        <f t="shared" si="6"/>
        <v>49042.265589029223</v>
      </c>
      <c r="AB33" s="5">
        <f t="shared" si="7"/>
        <v>-10811.176419952615</v>
      </c>
      <c r="AC33" s="17">
        <f t="shared" si="8"/>
        <v>0.75653196774852183</v>
      </c>
      <c r="AD33" s="5">
        <f t="shared" si="9"/>
        <v>28923.041118250727</v>
      </c>
      <c r="AE33" s="5">
        <f t="shared" si="10"/>
        <v>258311.77478879938</v>
      </c>
      <c r="AF33" s="2">
        <f t="shared" si="21"/>
        <v>0.11196950329460884</v>
      </c>
      <c r="AG33" s="21"/>
    </row>
    <row r="34" spans="2:33" customFormat="1" x14ac:dyDescent="0.3">
      <c r="B34" s="30" t="s">
        <v>16</v>
      </c>
      <c r="C34" s="41">
        <v>0.27</v>
      </c>
      <c r="D34" s="1"/>
      <c r="E34" s="4">
        <v>30</v>
      </c>
      <c r="F34" s="4">
        <v>3</v>
      </c>
      <c r="G34" s="5">
        <f t="shared" si="22"/>
        <v>86770300.258609504</v>
      </c>
      <c r="H34" s="5">
        <f t="shared" si="11"/>
        <v>1552664.3504091445</v>
      </c>
      <c r="I34" s="5">
        <f t="shared" si="12"/>
        <v>1012320.1696837776</v>
      </c>
      <c r="J34" s="5">
        <f t="shared" si="13"/>
        <v>540344.18072536692</v>
      </c>
      <c r="K34" s="5">
        <f t="shared" si="14"/>
        <v>86229956.077884138</v>
      </c>
      <c r="L34" s="5">
        <f t="shared" si="15"/>
        <v>90890996.108841807</v>
      </c>
      <c r="M34" s="5">
        <f t="shared" si="16"/>
        <v>162694.31298489295</v>
      </c>
      <c r="N34" s="5">
        <f t="shared" si="23"/>
        <v>12500</v>
      </c>
      <c r="O34" s="5">
        <f t="shared" si="17"/>
        <v>175194.31298489295</v>
      </c>
      <c r="P34" s="5">
        <f t="shared" si="18"/>
        <v>70077.725193957187</v>
      </c>
      <c r="Q34" s="18">
        <v>3.5000000000000003E-2</v>
      </c>
      <c r="R34" s="18">
        <v>0.2</v>
      </c>
      <c r="S34" s="5">
        <f t="shared" si="0"/>
        <v>53019.747730157724</v>
      </c>
      <c r="T34" s="5">
        <f t="shared" si="1"/>
        <v>323117.49116693257</v>
      </c>
      <c r="U34" s="5">
        <f t="shared" si="19"/>
        <v>5952.5813236365984</v>
      </c>
      <c r="V34" s="5">
        <f t="shared" si="20"/>
        <v>10290.118563358057</v>
      </c>
      <c r="W34" s="5">
        <f t="shared" si="2"/>
        <v>339360.19105392718</v>
      </c>
      <c r="X34" s="5">
        <f t="shared" si="3"/>
        <v>52096.840060778042</v>
      </c>
      <c r="Y34" s="5">
        <f t="shared" si="4"/>
        <v>14066.146816410072</v>
      </c>
      <c r="Z34" s="5">
        <f t="shared" si="5"/>
        <v>38030.693244367969</v>
      </c>
      <c r="AA34" s="5">
        <f t="shared" si="6"/>
        <v>48743.252088818626</v>
      </c>
      <c r="AB34" s="5">
        <f t="shared" si="7"/>
        <v>-10712.558844450657</v>
      </c>
      <c r="AC34" s="17">
        <f t="shared" si="8"/>
        <v>0.74928823686667168</v>
      </c>
      <c r="AD34" s="5">
        <f t="shared" si="9"/>
        <v>28495.951087889716</v>
      </c>
      <c r="AE34" s="5">
        <f t="shared" si="10"/>
        <v>254278.59921753395</v>
      </c>
      <c r="AF34" s="2">
        <f t="shared" si="21"/>
        <v>0.11206586466803518</v>
      </c>
      <c r="AG34" s="21"/>
    </row>
    <row r="35" spans="2:33" customFormat="1" x14ac:dyDescent="0.3">
      <c r="B35" s="30" t="s">
        <v>19</v>
      </c>
      <c r="C35" s="42">
        <v>0.14799999999999999</v>
      </c>
      <c r="D35" s="1"/>
      <c r="E35" s="4">
        <v>31</v>
      </c>
      <c r="F35" s="4">
        <v>3</v>
      </c>
      <c r="G35" s="5">
        <f t="shared" si="22"/>
        <v>86229956.077884138</v>
      </c>
      <c r="H35" s="5">
        <f t="shared" si="11"/>
        <v>1552664.3504091445</v>
      </c>
      <c r="I35" s="5">
        <f t="shared" si="12"/>
        <v>1006016.1542419818</v>
      </c>
      <c r="J35" s="5">
        <f t="shared" si="13"/>
        <v>546648.19616716274</v>
      </c>
      <c r="K35" s="5">
        <f t="shared" si="14"/>
        <v>85683307.881716967</v>
      </c>
      <c r="L35" s="5">
        <f t="shared" si="15"/>
        <v>90324991.143071607</v>
      </c>
      <c r="M35" s="5">
        <f t="shared" si="16"/>
        <v>161681.1676460329</v>
      </c>
      <c r="N35" s="5">
        <f t="shared" si="23"/>
        <v>12500</v>
      </c>
      <c r="O35" s="5">
        <f t="shared" si="17"/>
        <v>174181.1676460329</v>
      </c>
      <c r="P35" s="5">
        <f t="shared" si="18"/>
        <v>69672.467058413167</v>
      </c>
      <c r="Q35" s="18">
        <v>3.5000000000000003E-2</v>
      </c>
      <c r="R35" s="18">
        <v>0.2</v>
      </c>
      <c r="S35" s="5">
        <f t="shared" si="0"/>
        <v>52689.578166791776</v>
      </c>
      <c r="T35" s="5">
        <f t="shared" si="1"/>
        <v>321105.34351361956</v>
      </c>
      <c r="U35" s="5">
        <f t="shared" si="19"/>
        <v>5918.1576604509801</v>
      </c>
      <c r="V35" s="5">
        <f t="shared" si="20"/>
        <v>10230.611005828592</v>
      </c>
      <c r="W35" s="5">
        <f t="shared" si="2"/>
        <v>337254.11217989912</v>
      </c>
      <c r="X35" s="5">
        <f t="shared" si="3"/>
        <v>51819.12242082796</v>
      </c>
      <c r="Y35" s="5">
        <f t="shared" si="4"/>
        <v>13991.16305362355</v>
      </c>
      <c r="Z35" s="5">
        <f t="shared" si="5"/>
        <v>37827.959367204414</v>
      </c>
      <c r="AA35" s="5">
        <f t="shared" si="6"/>
        <v>48440.750097772274</v>
      </c>
      <c r="AB35" s="5">
        <f t="shared" si="7"/>
        <v>-10612.79073056786</v>
      </c>
      <c r="AC35" s="17">
        <f t="shared" si="8"/>
        <v>0.74211386410757851</v>
      </c>
      <c r="AD35" s="5">
        <f t="shared" si="9"/>
        <v>28072.653097300539</v>
      </c>
      <c r="AE35" s="5">
        <f t="shared" si="10"/>
        <v>250280.95237599569</v>
      </c>
      <c r="AF35" s="2">
        <f t="shared" si="21"/>
        <v>0.11216456078977655</v>
      </c>
      <c r="AG35" s="21"/>
    </row>
    <row r="36" spans="2:33" customFormat="1" x14ac:dyDescent="0.3">
      <c r="B36" s="30" t="s">
        <v>22</v>
      </c>
      <c r="C36" s="42">
        <f>12*((1+C35/2)^(2/12)-1)</f>
        <v>0.14363279304340359</v>
      </c>
      <c r="D36" s="1"/>
      <c r="E36" s="4">
        <v>32</v>
      </c>
      <c r="F36" s="4">
        <v>3</v>
      </c>
      <c r="G36" s="5">
        <f t="shared" si="22"/>
        <v>85683307.881716967</v>
      </c>
      <c r="H36" s="5">
        <f t="shared" si="11"/>
        <v>1552664.3504091445</v>
      </c>
      <c r="I36" s="5">
        <f t="shared" si="12"/>
        <v>999638.59195336467</v>
      </c>
      <c r="J36" s="5">
        <f t="shared" si="13"/>
        <v>553025.75845577987</v>
      </c>
      <c r="K36" s="5">
        <f t="shared" si="14"/>
        <v>85130282.123261184</v>
      </c>
      <c r="L36" s="5">
        <f t="shared" si="15"/>
        <v>89752382.786034077</v>
      </c>
      <c r="M36" s="5">
        <f t="shared" si="16"/>
        <v>160656.20227821945</v>
      </c>
      <c r="N36" s="5">
        <f t="shared" si="23"/>
        <v>12500</v>
      </c>
      <c r="O36" s="5">
        <f t="shared" si="17"/>
        <v>173156.20227821945</v>
      </c>
      <c r="P36" s="5">
        <f t="shared" si="18"/>
        <v>69262.480911287785</v>
      </c>
      <c r="Q36" s="18">
        <v>3.5000000000000003E-2</v>
      </c>
      <c r="R36" s="18">
        <v>0.2</v>
      </c>
      <c r="S36" s="5">
        <f t="shared" si="0"/>
        <v>52355.556625186553</v>
      </c>
      <c r="T36" s="5">
        <f t="shared" si="1"/>
        <v>319069.72080435115</v>
      </c>
      <c r="U36" s="5">
        <f t="shared" si="19"/>
        <v>5883.3323878615274</v>
      </c>
      <c r="V36" s="5">
        <f t="shared" si="20"/>
        <v>10170.409193461282</v>
      </c>
      <c r="W36" s="5">
        <f t="shared" si="2"/>
        <v>335123.46238567395</v>
      </c>
      <c r="X36" s="5">
        <f t="shared" si="3"/>
        <v>51538.164741745117</v>
      </c>
      <c r="Y36" s="5">
        <f t="shared" si="4"/>
        <v>13915.304480271183</v>
      </c>
      <c r="Z36" s="5">
        <f t="shared" si="5"/>
        <v>37622.860261473936</v>
      </c>
      <c r="AA36" s="5">
        <f t="shared" si="6"/>
        <v>48134.718916830352</v>
      </c>
      <c r="AB36" s="5">
        <f t="shared" si="7"/>
        <v>-10511.858655356416</v>
      </c>
      <c r="AC36" s="17">
        <f t="shared" si="8"/>
        <v>0.73500818537296575</v>
      </c>
      <c r="AD36" s="5">
        <f t="shared" si="9"/>
        <v>27653.110249326623</v>
      </c>
      <c r="AE36" s="5">
        <f t="shared" si="10"/>
        <v>246318.48796399956</v>
      </c>
      <c r="AF36" s="2">
        <f t="shared" si="21"/>
        <v>0.1122656706684893</v>
      </c>
      <c r="AG36" s="21"/>
    </row>
    <row r="37" spans="2:33" customFormat="1" x14ac:dyDescent="0.3">
      <c r="B37" s="30" t="s">
        <v>23</v>
      </c>
      <c r="C37" s="40">
        <v>0.11600978943123419</v>
      </c>
      <c r="D37" s="1"/>
      <c r="E37" s="4">
        <v>33</v>
      </c>
      <c r="F37" s="4">
        <v>3</v>
      </c>
      <c r="G37" s="5">
        <f t="shared" si="22"/>
        <v>85130282.123261184</v>
      </c>
      <c r="H37" s="5">
        <f t="shared" si="11"/>
        <v>1552664.3504091445</v>
      </c>
      <c r="I37" s="5">
        <f t="shared" si="12"/>
        <v>993186.62477138068</v>
      </c>
      <c r="J37" s="5">
        <f t="shared" si="13"/>
        <v>559477.72563776386</v>
      </c>
      <c r="K37" s="5">
        <f t="shared" si="14"/>
        <v>84570804.39762342</v>
      </c>
      <c r="L37" s="5">
        <f t="shared" si="15"/>
        <v>89173093.998164445</v>
      </c>
      <c r="M37" s="5">
        <f t="shared" si="16"/>
        <v>159619.27898111485</v>
      </c>
      <c r="N37" s="5">
        <f t="shared" si="23"/>
        <v>12500</v>
      </c>
      <c r="O37" s="5">
        <f t="shared" si="17"/>
        <v>172119.27898111485</v>
      </c>
      <c r="P37" s="5">
        <f t="shared" si="18"/>
        <v>68847.71159244595</v>
      </c>
      <c r="Q37" s="18">
        <v>3.5000000000000003E-2</v>
      </c>
      <c r="R37" s="18">
        <v>0.2</v>
      </c>
      <c r="S37" s="5">
        <f t="shared" si="0"/>
        <v>52017.638165595934</v>
      </c>
      <c r="T37" s="5">
        <f t="shared" si="1"/>
        <v>317010.34916347463</v>
      </c>
      <c r="U37" s="5">
        <f t="shared" si="19"/>
        <v>5848.1008204251993</v>
      </c>
      <c r="V37" s="5">
        <f t="shared" si="20"/>
        <v>10109.505026616354</v>
      </c>
      <c r="W37" s="5">
        <f t="shared" si="2"/>
        <v>332967.95501051616</v>
      </c>
      <c r="X37" s="5">
        <f t="shared" si="3"/>
        <v>51253.92922307297</v>
      </c>
      <c r="Y37" s="5">
        <f t="shared" si="4"/>
        <v>13838.560890229703</v>
      </c>
      <c r="Z37" s="5">
        <f t="shared" si="5"/>
        <v>37415.368332843267</v>
      </c>
      <c r="AA37" s="5">
        <f t="shared" si="6"/>
        <v>47825.117372110784</v>
      </c>
      <c r="AB37" s="5">
        <f t="shared" si="7"/>
        <v>-10409.749039267517</v>
      </c>
      <c r="AC37" s="17">
        <f t="shared" si="8"/>
        <v>0.72797054292324348</v>
      </c>
      <c r="AD37" s="5">
        <f t="shared" si="9"/>
        <v>27237.285998933043</v>
      </c>
      <c r="AE37" s="5">
        <f t="shared" si="10"/>
        <v>242390.86298504757</v>
      </c>
      <c r="AF37" s="2">
        <f t="shared" si="21"/>
        <v>0.11236927689231106</v>
      </c>
      <c r="AG37" s="21"/>
    </row>
    <row r="38" spans="2:33" customFormat="1" x14ac:dyDescent="0.3">
      <c r="B38" s="28"/>
      <c r="C38" s="20"/>
      <c r="D38" s="1"/>
      <c r="E38" s="4">
        <v>34</v>
      </c>
      <c r="F38" s="4">
        <v>3</v>
      </c>
      <c r="G38" s="5">
        <f t="shared" si="22"/>
        <v>84570804.39762342</v>
      </c>
      <c r="H38" s="5">
        <f t="shared" si="11"/>
        <v>1552664.3504091445</v>
      </c>
      <c r="I38" s="5">
        <f t="shared" si="12"/>
        <v>986659.38463893998</v>
      </c>
      <c r="J38" s="5">
        <f t="shared" si="13"/>
        <v>566004.96577020455</v>
      </c>
      <c r="K38" s="5">
        <f t="shared" si="14"/>
        <v>84004799.431853205</v>
      </c>
      <c r="L38" s="5">
        <f t="shared" si="15"/>
        <v>88587046.841103002</v>
      </c>
      <c r="M38" s="5">
        <f t="shared" si="16"/>
        <v>158570.25824554407</v>
      </c>
      <c r="N38" s="5">
        <f t="shared" si="23"/>
        <v>12500</v>
      </c>
      <c r="O38" s="5">
        <f t="shared" si="17"/>
        <v>171070.25824554407</v>
      </c>
      <c r="P38" s="5">
        <f t="shared" si="18"/>
        <v>68428.103298217626</v>
      </c>
      <c r="Q38" s="18">
        <v>3.5000000000000003E-2</v>
      </c>
      <c r="R38" s="18">
        <v>0.2</v>
      </c>
      <c r="S38" s="5">
        <f t="shared" si="0"/>
        <v>51675.777323976756</v>
      </c>
      <c r="T38" s="5">
        <f t="shared" si="1"/>
        <v>314926.95152012119</v>
      </c>
      <c r="U38" s="5">
        <f t="shared" si="19"/>
        <v>5812.4582180354482</v>
      </c>
      <c r="V38" s="5">
        <f t="shared" si="20"/>
        <v>10047.890311158239</v>
      </c>
      <c r="W38" s="5">
        <f t="shared" si="2"/>
        <v>330787.30004931492</v>
      </c>
      <c r="X38" s="5">
        <f t="shared" si="3"/>
        <v>50966.37762334969</v>
      </c>
      <c r="Y38" s="5">
        <f t="shared" si="4"/>
        <v>13760.921958304418</v>
      </c>
      <c r="Z38" s="5">
        <f t="shared" si="5"/>
        <v>37205.455665045272</v>
      </c>
      <c r="AA38" s="5">
        <f t="shared" si="6"/>
        <v>47511.903809369498</v>
      </c>
      <c r="AB38" s="5">
        <f t="shared" si="7"/>
        <v>-10306.448144324226</v>
      </c>
      <c r="AC38" s="17">
        <f t="shared" si="8"/>
        <v>0.72100028531662341</v>
      </c>
      <c r="AD38" s="5">
        <f t="shared" si="9"/>
        <v>26825.144149832624</v>
      </c>
      <c r="AE38" s="5">
        <f t="shared" si="10"/>
        <v>238497.73771467156</v>
      </c>
      <c r="AF38" s="2">
        <f t="shared" si="21"/>
        <v>0.11247546583408298</v>
      </c>
      <c r="AG38" s="21"/>
    </row>
    <row r="39" spans="2:33" customFormat="1" x14ac:dyDescent="0.3">
      <c r="B39" s="33" t="s">
        <v>91</v>
      </c>
      <c r="C39" s="33"/>
      <c r="D39" s="1"/>
      <c r="E39" s="4">
        <v>35</v>
      </c>
      <c r="F39" s="4">
        <v>3</v>
      </c>
      <c r="G39" s="5">
        <f t="shared" si="22"/>
        <v>84004799.431853205</v>
      </c>
      <c r="H39" s="5">
        <f t="shared" si="11"/>
        <v>1552664.3504091445</v>
      </c>
      <c r="I39" s="5">
        <f t="shared" si="12"/>
        <v>980055.99337162077</v>
      </c>
      <c r="J39" s="5">
        <f t="shared" si="13"/>
        <v>572608.35703752376</v>
      </c>
      <c r="K39" s="5">
        <f t="shared" si="14"/>
        <v>83432191.074815676</v>
      </c>
      <c r="L39" s="5">
        <f t="shared" si="15"/>
        <v>87994162.467209175</v>
      </c>
      <c r="M39" s="5">
        <f t="shared" si="16"/>
        <v>157508.99893472489</v>
      </c>
      <c r="N39" s="5">
        <f t="shared" si="23"/>
        <v>12500</v>
      </c>
      <c r="O39" s="5">
        <f t="shared" si="17"/>
        <v>170008.99893472489</v>
      </c>
      <c r="P39" s="5">
        <f t="shared" si="18"/>
        <v>68003.599573889966</v>
      </c>
      <c r="Q39" s="18">
        <v>3.5000000000000003E-2</v>
      </c>
      <c r="R39" s="18">
        <v>0.2</v>
      </c>
      <c r="S39" s="5">
        <f t="shared" si="0"/>
        <v>51329.928105872023</v>
      </c>
      <c r="T39" s="5">
        <f t="shared" si="1"/>
        <v>312819.24757092859</v>
      </c>
      <c r="U39" s="5">
        <f t="shared" si="19"/>
        <v>5776.3997852844805</v>
      </c>
      <c r="V39" s="5">
        <f t="shared" si="20"/>
        <v>9985.5567573531061</v>
      </c>
      <c r="W39" s="5">
        <f t="shared" si="2"/>
        <v>328581.2041135662</v>
      </c>
      <c r="X39" s="5">
        <f t="shared" si="3"/>
        <v>50675.471254962904</v>
      </c>
      <c r="Y39" s="5">
        <f t="shared" si="4"/>
        <v>13682.377238839985</v>
      </c>
      <c r="Z39" s="5">
        <f t="shared" si="5"/>
        <v>36993.094016122923</v>
      </c>
      <c r="AA39" s="5">
        <f t="shared" si="6"/>
        <v>47195.036088396206</v>
      </c>
      <c r="AB39" s="5">
        <f t="shared" si="7"/>
        <v>-10201.942072273283</v>
      </c>
      <c r="AC39" s="17">
        <f t="shared" si="8"/>
        <v>0.71409676734881833</v>
      </c>
      <c r="AD39" s="5">
        <f t="shared" si="9"/>
        <v>26416.648851144295</v>
      </c>
      <c r="AE39" s="5">
        <f t="shared" si="10"/>
        <v>234638.77566907989</v>
      </c>
      <c r="AF39" s="2">
        <f t="shared" si="21"/>
        <v>0.11258432787085761</v>
      </c>
      <c r="AG39" s="21"/>
    </row>
    <row r="40" spans="2:33" customFormat="1" x14ac:dyDescent="0.3">
      <c r="B40" s="1"/>
      <c r="C40" s="1"/>
      <c r="D40" s="1"/>
      <c r="E40" s="4">
        <v>36</v>
      </c>
      <c r="F40" s="4">
        <v>3</v>
      </c>
      <c r="G40" s="5">
        <f t="shared" si="22"/>
        <v>83432191.074815676</v>
      </c>
      <c r="H40" s="5">
        <f t="shared" si="11"/>
        <v>1552664.3504091445</v>
      </c>
      <c r="I40" s="5">
        <f t="shared" si="12"/>
        <v>973375.56253951637</v>
      </c>
      <c r="J40" s="5">
        <f t="shared" si="13"/>
        <v>579288.78786962817</v>
      </c>
      <c r="K40" s="5">
        <f t="shared" si="14"/>
        <v>82852902.286946043</v>
      </c>
      <c r="L40" s="5">
        <f t="shared" si="15"/>
        <v>87394361.108953252</v>
      </c>
      <c r="M40" s="5">
        <f t="shared" si="16"/>
        <v>156435.35826527953</v>
      </c>
      <c r="N40" s="5">
        <f t="shared" si="23"/>
        <v>12500</v>
      </c>
      <c r="O40" s="5">
        <f t="shared" si="17"/>
        <v>168935.35826527953</v>
      </c>
      <c r="P40" s="5">
        <f t="shared" si="18"/>
        <v>67574.143306111815</v>
      </c>
      <c r="Q40" s="18">
        <v>3.5000000000000003E-2</v>
      </c>
      <c r="R40" s="18">
        <v>0.2</v>
      </c>
      <c r="S40" s="5">
        <f t="shared" si="0"/>
        <v>50980.043980222734</v>
      </c>
      <c r="T40" s="5">
        <f t="shared" si="1"/>
        <v>310686.95374232874</v>
      </c>
      <c r="U40" s="5">
        <f t="shared" si="19"/>
        <v>5739.9206708180864</v>
      </c>
      <c r="V40" s="5">
        <f t="shared" si="20"/>
        <v>9922.4959787535827</v>
      </c>
      <c r="W40" s="5">
        <f t="shared" si="2"/>
        <v>326349.37039190042</v>
      </c>
      <c r="X40" s="5">
        <f t="shared" si="3"/>
        <v>50381.170978944981</v>
      </c>
      <c r="Y40" s="5">
        <f t="shared" si="4"/>
        <v>13602.916164315146</v>
      </c>
      <c r="Z40" s="5">
        <f t="shared" si="5"/>
        <v>36778.254814629836</v>
      </c>
      <c r="AA40" s="5">
        <f t="shared" si="6"/>
        <v>46874.471577344899</v>
      </c>
      <c r="AB40" s="5">
        <f t="shared" si="7"/>
        <v>-10096.216762715063</v>
      </c>
      <c r="AC40" s="17">
        <f t="shared" si="8"/>
        <v>0.70725934999331863</v>
      </c>
      <c r="AD40" s="5">
        <f t="shared" si="9"/>
        <v>26011.764594083739</v>
      </c>
      <c r="AE40" s="5">
        <f t="shared" si="10"/>
        <v>230813.64357410427</v>
      </c>
      <c r="AF40" s="2">
        <f t="shared" si="21"/>
        <v>0.11269595761886791</v>
      </c>
      <c r="AG40" s="21"/>
    </row>
    <row r="41" spans="2:33" customFormat="1" x14ac:dyDescent="0.3">
      <c r="B41" s="1"/>
      <c r="C41" s="1"/>
      <c r="D41" s="1"/>
      <c r="E41" s="4">
        <v>37</v>
      </c>
      <c r="F41" s="4">
        <v>4</v>
      </c>
      <c r="G41" s="5">
        <f t="shared" si="22"/>
        <v>82852902.286946043</v>
      </c>
      <c r="H41" s="5">
        <f t="shared" si="11"/>
        <v>1552664.3504091445</v>
      </c>
      <c r="I41" s="5">
        <f t="shared" si="12"/>
        <v>966617.19334770401</v>
      </c>
      <c r="J41" s="5">
        <f t="shared" si="13"/>
        <v>586047.15706144052</v>
      </c>
      <c r="K41" s="5">
        <f t="shared" si="14"/>
        <v>82266855.129884601</v>
      </c>
      <c r="L41" s="5">
        <f t="shared" si="15"/>
        <v>86787562.068184331</v>
      </c>
      <c r="M41" s="5">
        <f t="shared" si="16"/>
        <v>155349.19178802398</v>
      </c>
      <c r="N41" s="5">
        <f t="shared" si="23"/>
        <v>12500</v>
      </c>
      <c r="O41" s="5">
        <f t="shared" si="17"/>
        <v>167849.19178802398</v>
      </c>
      <c r="P41" s="5">
        <f t="shared" si="18"/>
        <v>67139.6767152096</v>
      </c>
      <c r="Q41" s="18">
        <v>3.5000000000000003E-2</v>
      </c>
      <c r="R41" s="18">
        <v>0.2</v>
      </c>
      <c r="S41" s="5">
        <f t="shared" si="0"/>
        <v>50626.077873107533</v>
      </c>
      <c r="T41" s="5">
        <f t="shared" si="1"/>
        <v>308529.78315239528</v>
      </c>
      <c r="U41" s="5">
        <f t="shared" si="19"/>
        <v>5703.0159666829186</v>
      </c>
      <c r="V41" s="5">
        <f t="shared" si="20"/>
        <v>9858.6994910703979</v>
      </c>
      <c r="W41" s="5">
        <f t="shared" ref="W41:W104" si="24">SUM(T41:V41)</f>
        <v>324091.49861014861</v>
      </c>
      <c r="X41" s="5">
        <f t="shared" si="3"/>
        <v>50083.437199706845</v>
      </c>
      <c r="Y41" s="5">
        <f t="shared" si="4"/>
        <v>13522.528043920849</v>
      </c>
      <c r="Z41" s="5">
        <f t="shared" si="5"/>
        <v>36560.909155785994</v>
      </c>
      <c r="AA41" s="5">
        <f t="shared" si="6"/>
        <v>46550.167146997999</v>
      </c>
      <c r="AB41" s="5">
        <f t="shared" si="7"/>
        <v>-9989.2579912120054</v>
      </c>
      <c r="AC41" s="17">
        <f t="shared" si="8"/>
        <v>0.70048740034224055</v>
      </c>
      <c r="AD41" s="5">
        <f t="shared" si="9"/>
        <v>25610.456208685351</v>
      </c>
      <c r="AE41" s="5">
        <f t="shared" si="10"/>
        <v>227022.01133444387</v>
      </c>
      <c r="AF41" s="2">
        <f t="shared" si="21"/>
        <v>0.11281045418524015</v>
      </c>
      <c r="AG41" s="21"/>
    </row>
    <row r="42" spans="2:33" customFormat="1" x14ac:dyDescent="0.3">
      <c r="B42" s="30" t="s">
        <v>92</v>
      </c>
      <c r="C42" s="3">
        <v>0.17</v>
      </c>
      <c r="D42" s="1"/>
      <c r="E42" s="4">
        <v>38</v>
      </c>
      <c r="F42" s="4">
        <v>4</v>
      </c>
      <c r="G42" s="5">
        <f t="shared" si="22"/>
        <v>82266855.129884601</v>
      </c>
      <c r="H42" s="5">
        <f t="shared" si="11"/>
        <v>1552664.3504091445</v>
      </c>
      <c r="I42" s="5">
        <f t="shared" si="12"/>
        <v>959779.97651532048</v>
      </c>
      <c r="J42" s="5">
        <f t="shared" si="13"/>
        <v>592884.37389382406</v>
      </c>
      <c r="K42" s="5">
        <f t="shared" si="14"/>
        <v>81673970.755990773</v>
      </c>
      <c r="L42" s="5">
        <f t="shared" si="15"/>
        <v>86173683.705273122</v>
      </c>
      <c r="M42" s="5">
        <f t="shared" si="16"/>
        <v>154250.35336853375</v>
      </c>
      <c r="N42" s="5">
        <f t="shared" si="23"/>
        <v>12500</v>
      </c>
      <c r="O42" s="5">
        <f t="shared" si="17"/>
        <v>166750.35336853375</v>
      </c>
      <c r="P42" s="5">
        <f t="shared" si="18"/>
        <v>66700.141347413504</v>
      </c>
      <c r="Q42" s="18">
        <v>3.5000000000000003E-2</v>
      </c>
      <c r="R42" s="18">
        <v>0.2</v>
      </c>
      <c r="S42" s="5">
        <f t="shared" si="0"/>
        <v>50267.982161409323</v>
      </c>
      <c r="T42" s="5">
        <f t="shared" si="1"/>
        <v>306347.44557224592</v>
      </c>
      <c r="U42" s="5">
        <f t="shared" si="19"/>
        <v>5665.6807076661717</v>
      </c>
      <c r="V42" s="5">
        <f t="shared" si="20"/>
        <v>9794.1587110309101</v>
      </c>
      <c r="W42" s="5">
        <f t="shared" si="24"/>
        <v>321807.28499094298</v>
      </c>
      <c r="X42" s="5">
        <f t="shared" si="3"/>
        <v>49782.229859710918</v>
      </c>
      <c r="Y42" s="5">
        <f t="shared" si="4"/>
        <v>13441.202062121949</v>
      </c>
      <c r="Z42" s="5">
        <f t="shared" si="5"/>
        <v>36341.027797588969</v>
      </c>
      <c r="AA42" s="5">
        <f t="shared" si="6"/>
        <v>46222.07916496371</v>
      </c>
      <c r="AB42" s="5">
        <f t="shared" si="7"/>
        <v>-9881.0513673747409</v>
      </c>
      <c r="AC42" s="17">
        <f t="shared" si="8"/>
        <v>0.69378029154774112</v>
      </c>
      <c r="AD42" s="5">
        <f t="shared" si="9"/>
        <v>25212.688860555838</v>
      </c>
      <c r="AE42" s="5">
        <f t="shared" si="10"/>
        <v>223263.55200320343</v>
      </c>
      <c r="AF42" s="2">
        <f t="shared" si="21"/>
        <v>0.11292792143786229</v>
      </c>
      <c r="AG42" s="21"/>
    </row>
    <row r="43" spans="2:33" customFormat="1" x14ac:dyDescent="0.3">
      <c r="B43" s="30" t="s">
        <v>93</v>
      </c>
      <c r="C43" s="59">
        <f>SUM(AD5:AD64)/SUM(AE5:AE64)</f>
        <v>0.14600341485994367</v>
      </c>
      <c r="D43" s="1"/>
      <c r="E43" s="4">
        <v>39</v>
      </c>
      <c r="F43" s="4">
        <v>4</v>
      </c>
      <c r="G43" s="5">
        <f t="shared" si="22"/>
        <v>81673970.755990773</v>
      </c>
      <c r="H43" s="5">
        <f t="shared" si="11"/>
        <v>1552664.3504091445</v>
      </c>
      <c r="I43" s="5">
        <f t="shared" si="12"/>
        <v>952862.99215322582</v>
      </c>
      <c r="J43" s="5">
        <f t="shared" si="13"/>
        <v>599801.35825591872</v>
      </c>
      <c r="K43" s="5">
        <f t="shared" si="14"/>
        <v>81074169.397734851</v>
      </c>
      <c r="L43" s="5">
        <f t="shared" si="15"/>
        <v>85552643.428127944</v>
      </c>
      <c r="M43" s="5">
        <f t="shared" si="16"/>
        <v>153138.69516748283</v>
      </c>
      <c r="N43" s="5">
        <f t="shared" si="23"/>
        <v>12500</v>
      </c>
      <c r="O43" s="5">
        <f t="shared" si="17"/>
        <v>165638.69516748283</v>
      </c>
      <c r="P43" s="5">
        <f t="shared" si="18"/>
        <v>66255.478066993135</v>
      </c>
      <c r="Q43" s="18">
        <v>3.5000000000000003E-2</v>
      </c>
      <c r="R43" s="18">
        <v>0.2</v>
      </c>
      <c r="S43" s="5">
        <f t="shared" si="0"/>
        <v>49905.708666407969</v>
      </c>
      <c r="T43" s="5">
        <f t="shared" si="1"/>
        <v>304139.64738699485</v>
      </c>
      <c r="U43" s="5">
        <f t="shared" si="19"/>
        <v>5627.9098706275645</v>
      </c>
      <c r="V43" s="5">
        <f t="shared" si="20"/>
        <v>9728.864955224295</v>
      </c>
      <c r="W43" s="5">
        <f t="shared" si="24"/>
        <v>319496.42221284669</v>
      </c>
      <c r="X43" s="5">
        <f t="shared" si="3"/>
        <v>49477.508434081727</v>
      </c>
      <c r="Y43" s="5">
        <f t="shared" si="4"/>
        <v>13358.927277202067</v>
      </c>
      <c r="Z43" s="5">
        <f t="shared" si="5"/>
        <v>36118.581156879663</v>
      </c>
      <c r="AA43" s="5">
        <f t="shared" si="6"/>
        <v>45890.163489805702</v>
      </c>
      <c r="AB43" s="5">
        <f t="shared" si="7"/>
        <v>-9771.5823329260384</v>
      </c>
      <c r="AC43" s="17">
        <f t="shared" si="8"/>
        <v>0.68713740276399327</v>
      </c>
      <c r="AD43" s="5">
        <f t="shared" si="9"/>
        <v>24818.428047658799</v>
      </c>
      <c r="AE43" s="5">
        <f t="shared" si="10"/>
        <v>219537.94175172367</v>
      </c>
      <c r="AF43" s="2">
        <f t="shared" si="21"/>
        <v>0.11304846829495221</v>
      </c>
      <c r="AG43" s="21"/>
    </row>
    <row r="44" spans="2:33" customFormat="1" x14ac:dyDescent="0.3">
      <c r="B44" s="30" t="s">
        <v>94</v>
      </c>
      <c r="C44" s="43">
        <f>SUM(AD5:AD64)-$C$36*SUM(AE5:AE64)</f>
        <v>36912.368666056078</v>
      </c>
      <c r="D44" s="1"/>
      <c r="E44" s="4">
        <v>40</v>
      </c>
      <c r="F44" s="4">
        <v>4</v>
      </c>
      <c r="G44" s="5">
        <f t="shared" si="22"/>
        <v>81074169.397734851</v>
      </c>
      <c r="H44" s="5">
        <f t="shared" si="11"/>
        <v>1552664.3504091445</v>
      </c>
      <c r="I44" s="5">
        <f t="shared" si="12"/>
        <v>945865.30964024004</v>
      </c>
      <c r="J44" s="5">
        <f t="shared" si="13"/>
        <v>606799.0407689045</v>
      </c>
      <c r="K44" s="5">
        <f t="shared" si="14"/>
        <v>80467370.356965944</v>
      </c>
      <c r="L44" s="5">
        <f t="shared" si="15"/>
        <v>84924357.68108274</v>
      </c>
      <c r="M44" s="5">
        <f t="shared" si="16"/>
        <v>152014.06762075299</v>
      </c>
      <c r="N44" s="5">
        <f t="shared" si="23"/>
        <v>12500</v>
      </c>
      <c r="O44" s="5">
        <f t="shared" si="17"/>
        <v>164514.06762075299</v>
      </c>
      <c r="P44" s="5">
        <f t="shared" si="18"/>
        <v>65805.627048301205</v>
      </c>
      <c r="Q44" s="18">
        <v>3.5000000000000003E-2</v>
      </c>
      <c r="R44" s="18">
        <v>0.2</v>
      </c>
      <c r="S44" s="5">
        <f t="shared" si="0"/>
        <v>49539.20864729827</v>
      </c>
      <c r="T44" s="5">
        <f t="shared" si="1"/>
        <v>301906.09155624907</v>
      </c>
      <c r="U44" s="5">
        <f t="shared" si="19"/>
        <v>5589.6983738235067</v>
      </c>
      <c r="V44" s="5">
        <f t="shared" si="20"/>
        <v>9662.8094389332691</v>
      </c>
      <c r="W44" s="5">
        <f t="shared" si="24"/>
        <v>317158.59936900582</v>
      </c>
      <c r="X44" s="5">
        <f t="shared" si="3"/>
        <v>49169.231925153515</v>
      </c>
      <c r="Y44" s="5">
        <f t="shared" si="4"/>
        <v>13275.692619791451</v>
      </c>
      <c r="Z44" s="5">
        <f t="shared" si="5"/>
        <v>35893.539305362065</v>
      </c>
      <c r="AA44" s="5">
        <f t="shared" si="6"/>
        <v>45554.375465104167</v>
      </c>
      <c r="AB44" s="5">
        <f t="shared" si="7"/>
        <v>-9660.8361597421026</v>
      </c>
      <c r="AC44" s="17">
        <f t="shared" si="8"/>
        <v>0.68055811908971697</v>
      </c>
      <c r="AD44" s="5">
        <f t="shared" si="9"/>
        <v>24427.639597130034</v>
      </c>
      <c r="AE44" s="5">
        <f t="shared" si="10"/>
        <v>215844.8598396997</v>
      </c>
      <c r="AF44" s="2">
        <f t="shared" si="21"/>
        <v>0.1131722090360251</v>
      </c>
      <c r="AG44" s="21"/>
    </row>
    <row r="45" spans="2:33" customFormat="1" x14ac:dyDescent="0.3">
      <c r="B45" s="1"/>
      <c r="C45" s="1"/>
      <c r="D45" s="1"/>
      <c r="E45" s="4">
        <v>41</v>
      </c>
      <c r="F45" s="4">
        <v>4</v>
      </c>
      <c r="G45" s="5">
        <f t="shared" si="22"/>
        <v>80467370.356965944</v>
      </c>
      <c r="H45" s="5">
        <f t="shared" si="11"/>
        <v>1552664.3504091445</v>
      </c>
      <c r="I45" s="5">
        <f t="shared" si="12"/>
        <v>938785.98749793612</v>
      </c>
      <c r="J45" s="5">
        <f t="shared" si="13"/>
        <v>613878.36291120842</v>
      </c>
      <c r="K45" s="5">
        <f t="shared" si="14"/>
        <v>79853491.994054735</v>
      </c>
      <c r="L45" s="5">
        <f t="shared" si="15"/>
        <v>84288741.933655351</v>
      </c>
      <c r="M45" s="5">
        <f t="shared" si="16"/>
        <v>150876.31941931127</v>
      </c>
      <c r="N45" s="5">
        <f t="shared" si="23"/>
        <v>12500</v>
      </c>
      <c r="O45" s="5">
        <f t="shared" si="17"/>
        <v>163376.31941931127</v>
      </c>
      <c r="P45" s="5">
        <f t="shared" si="18"/>
        <v>65350.52776772451</v>
      </c>
      <c r="Q45" s="18">
        <v>3.5000000000000003E-2</v>
      </c>
      <c r="R45" s="18">
        <v>0.2</v>
      </c>
      <c r="S45" s="5">
        <f t="shared" si="0"/>
        <v>49168.432794632296</v>
      </c>
      <c r="T45" s="5">
        <f t="shared" si="1"/>
        <v>299646.47757414478</v>
      </c>
      <c r="U45" s="5">
        <f t="shared" si="19"/>
        <v>5551.0410762234014</v>
      </c>
      <c r="V45" s="5">
        <f t="shared" si="20"/>
        <v>9595.9832749521811</v>
      </c>
      <c r="W45" s="5">
        <f t="shared" si="24"/>
        <v>314793.50192532036</v>
      </c>
      <c r="X45" s="5">
        <f t="shared" si="3"/>
        <v>48857.358856954474</v>
      </c>
      <c r="Y45" s="5">
        <f t="shared" si="4"/>
        <v>13191.486891377708</v>
      </c>
      <c r="Z45" s="5">
        <f t="shared" si="5"/>
        <v>35665.871965576764</v>
      </c>
      <c r="AA45" s="5">
        <f t="shared" si="6"/>
        <v>45214.669913447811</v>
      </c>
      <c r="AB45" s="5">
        <f t="shared" si="7"/>
        <v>-9548.7979478710477</v>
      </c>
      <c r="AC45" s="17">
        <f t="shared" si="8"/>
        <v>0.67404183151126151</v>
      </c>
      <c r="AD45" s="5">
        <f t="shared" si="9"/>
        <v>24040.28966212352</v>
      </c>
      <c r="AE45" s="5">
        <f t="shared" si="10"/>
        <v>212183.98858558678</v>
      </c>
      <c r="AF45" s="2">
        <f t="shared" si="21"/>
        <v>0.11329926363612776</v>
      </c>
      <c r="AG45" s="21"/>
    </row>
    <row r="46" spans="2:33" customFormat="1" x14ac:dyDescent="0.3">
      <c r="B46" s="1"/>
      <c r="C46" s="1"/>
      <c r="D46" s="1"/>
      <c r="E46" s="4">
        <v>42</v>
      </c>
      <c r="F46" s="4">
        <v>4</v>
      </c>
      <c r="G46" s="5">
        <f t="shared" si="22"/>
        <v>79853491.994054735</v>
      </c>
      <c r="H46" s="5">
        <f t="shared" si="11"/>
        <v>1552664.3504091445</v>
      </c>
      <c r="I46" s="5">
        <f t="shared" si="12"/>
        <v>931624.07326397207</v>
      </c>
      <c r="J46" s="5">
        <f t="shared" si="13"/>
        <v>621040.27714517247</v>
      </c>
      <c r="K46" s="5">
        <f t="shared" si="14"/>
        <v>79232451.716909558</v>
      </c>
      <c r="L46" s="5">
        <f t="shared" si="15"/>
        <v>83645710.669174641</v>
      </c>
      <c r="M46" s="5">
        <f t="shared" si="16"/>
        <v>149725.29748885275</v>
      </c>
      <c r="N46" s="5">
        <f t="shared" si="23"/>
        <v>12500</v>
      </c>
      <c r="O46" s="5">
        <f t="shared" si="17"/>
        <v>162225.29748885275</v>
      </c>
      <c r="P46" s="5">
        <f t="shared" si="18"/>
        <v>64890.118995541103</v>
      </c>
      <c r="Q46" s="18">
        <v>3.5000000000000003E-2</v>
      </c>
      <c r="R46" s="18">
        <v>0.2</v>
      </c>
      <c r="S46" s="5">
        <f t="shared" si="0"/>
        <v>48793.331223685207</v>
      </c>
      <c r="T46" s="5">
        <f t="shared" si="1"/>
        <v>297360.50142891583</v>
      </c>
      <c r="U46" s="5">
        <f t="shared" si="19"/>
        <v>5511.932776817961</v>
      </c>
      <c r="V46" s="5">
        <f t="shared" si="20"/>
        <v>9528.3774723913139</v>
      </c>
      <c r="W46" s="5">
        <f t="shared" si="24"/>
        <v>312400.81167812506</v>
      </c>
      <c r="X46" s="5">
        <f t="shared" si="3"/>
        <v>48541.847269626451</v>
      </c>
      <c r="Y46" s="5">
        <f t="shared" si="4"/>
        <v>13106.298762799142</v>
      </c>
      <c r="Z46" s="5">
        <f t="shared" si="5"/>
        <v>35435.548506827312</v>
      </c>
      <c r="AA46" s="5">
        <f t="shared" si="6"/>
        <v>44871.001130355435</v>
      </c>
      <c r="AB46" s="5">
        <f t="shared" si="7"/>
        <v>-9435.4526235281228</v>
      </c>
      <c r="AC46" s="17">
        <f t="shared" si="8"/>
        <v>0.66758793684623141</v>
      </c>
      <c r="AD46" s="5">
        <f t="shared" si="9"/>
        <v>23656.3447186874</v>
      </c>
      <c r="AE46" s="5">
        <f t="shared" si="10"/>
        <v>208555.01333728759</v>
      </c>
      <c r="AF46" s="2">
        <f t="shared" si="21"/>
        <v>0.11342975812539663</v>
      </c>
      <c r="AG46" s="21"/>
    </row>
    <row r="47" spans="2:33" customFormat="1" x14ac:dyDescent="0.3">
      <c r="B47" s="1"/>
      <c r="C47" s="7"/>
      <c r="D47" s="1"/>
      <c r="E47" s="4">
        <v>43</v>
      </c>
      <c r="F47" s="4">
        <v>4</v>
      </c>
      <c r="G47" s="5">
        <f t="shared" si="22"/>
        <v>79232451.716909558</v>
      </c>
      <c r="H47" s="5">
        <f t="shared" si="11"/>
        <v>1552664.3504091445</v>
      </c>
      <c r="I47" s="5">
        <f t="shared" si="12"/>
        <v>924378.60336394503</v>
      </c>
      <c r="J47" s="5">
        <f t="shared" si="13"/>
        <v>628285.7470451995</v>
      </c>
      <c r="K47" s="5">
        <f t="shared" si="14"/>
        <v>78604165.969864354</v>
      </c>
      <c r="L47" s="5">
        <f t="shared" si="15"/>
        <v>82995177.373274982</v>
      </c>
      <c r="M47" s="5">
        <f t="shared" si="16"/>
        <v>148560.84696920557</v>
      </c>
      <c r="N47" s="5">
        <f t="shared" si="23"/>
        <v>12500</v>
      </c>
      <c r="O47" s="5">
        <f t="shared" si="17"/>
        <v>161060.84696920557</v>
      </c>
      <c r="P47" s="5">
        <f t="shared" si="18"/>
        <v>64424.338787682231</v>
      </c>
      <c r="Q47" s="18">
        <v>3.5000000000000003E-2</v>
      </c>
      <c r="R47" s="18">
        <v>0.2</v>
      </c>
      <c r="S47" s="5">
        <f t="shared" si="0"/>
        <v>48413.853467743742</v>
      </c>
      <c r="T47" s="5">
        <f t="shared" si="1"/>
        <v>295047.8555619925</v>
      </c>
      <c r="U47" s="5">
        <f t="shared" si="19"/>
        <v>5472.3682139194589</v>
      </c>
      <c r="V47" s="5">
        <f t="shared" si="20"/>
        <v>9459.9829354672365</v>
      </c>
      <c r="W47" s="5">
        <f t="shared" si="24"/>
        <v>309980.20671137917</v>
      </c>
      <c r="X47" s="5">
        <f t="shared" si="3"/>
        <v>48222.654713779586</v>
      </c>
      <c r="Y47" s="5">
        <f t="shared" si="4"/>
        <v>13020.116772720488</v>
      </c>
      <c r="Z47" s="5">
        <f t="shared" si="5"/>
        <v>35202.537941059098</v>
      </c>
      <c r="AA47" s="5">
        <f t="shared" si="6"/>
        <v>44523.322878126994</v>
      </c>
      <c r="AB47" s="5">
        <f t="shared" si="7"/>
        <v>-9320.784937067896</v>
      </c>
      <c r="AC47" s="17">
        <f t="shared" si="8"/>
        <v>0.66119583768765189</v>
      </c>
      <c r="AD47" s="5">
        <f t="shared" si="9"/>
        <v>23275.771562669917</v>
      </c>
      <c r="AE47" s="5">
        <f t="shared" si="10"/>
        <v>204957.62244312183</v>
      </c>
      <c r="AF47" s="2">
        <f t="shared" si="21"/>
        <v>0.11356382497620561</v>
      </c>
      <c r="AG47" s="21"/>
    </row>
    <row r="48" spans="2:33" customFormat="1" x14ac:dyDescent="0.3">
      <c r="B48" s="1"/>
      <c r="C48" s="60"/>
      <c r="D48" s="1"/>
      <c r="E48" s="4">
        <v>44</v>
      </c>
      <c r="F48" s="4">
        <v>4</v>
      </c>
      <c r="G48" s="5">
        <f t="shared" si="22"/>
        <v>78604165.969864354</v>
      </c>
      <c r="H48" s="5">
        <f t="shared" si="11"/>
        <v>1552664.3504091445</v>
      </c>
      <c r="I48" s="5">
        <f t="shared" si="12"/>
        <v>917048.60298175085</v>
      </c>
      <c r="J48" s="5">
        <f t="shared" si="13"/>
        <v>635615.74742739368</v>
      </c>
      <c r="K48" s="5">
        <f t="shared" si="14"/>
        <v>77968550.22243695</v>
      </c>
      <c r="L48" s="5">
        <f t="shared" si="15"/>
        <v>82337054.522256494</v>
      </c>
      <c r="M48" s="5">
        <f t="shared" si="16"/>
        <v>147382.81119349579</v>
      </c>
      <c r="N48" s="5">
        <f t="shared" si="23"/>
        <v>12500</v>
      </c>
      <c r="O48" s="5">
        <f t="shared" si="17"/>
        <v>159882.81119349579</v>
      </c>
      <c r="P48" s="5">
        <f t="shared" si="18"/>
        <v>63953.12447739832</v>
      </c>
      <c r="Q48" s="18">
        <v>3.5000000000000003E-2</v>
      </c>
      <c r="R48" s="18">
        <v>0.2</v>
      </c>
      <c r="S48" s="5">
        <f t="shared" si="0"/>
        <v>48029.948471316289</v>
      </c>
      <c r="T48" s="5">
        <f t="shared" si="1"/>
        <v>292708.22882662184</v>
      </c>
      <c r="U48" s="5">
        <f t="shared" si="19"/>
        <v>5432.3420644538055</v>
      </c>
      <c r="V48" s="5">
        <f t="shared" si="20"/>
        <v>9390.7904622790429</v>
      </c>
      <c r="W48" s="5">
        <f t="shared" si="24"/>
        <v>307531.3613533547</v>
      </c>
      <c r="X48" s="5">
        <f t="shared" si="3"/>
        <v>47899.738244781176</v>
      </c>
      <c r="Y48" s="5">
        <f t="shared" si="4"/>
        <v>12932.929326090918</v>
      </c>
      <c r="Z48" s="5">
        <f t="shared" si="5"/>
        <v>34966.808918690258</v>
      </c>
      <c r="AA48" s="5">
        <f t="shared" si="6"/>
        <v>44171.588379622561</v>
      </c>
      <c r="AB48" s="5">
        <f t="shared" si="7"/>
        <v>-9204.7794609323028</v>
      </c>
      <c r="AC48" s="17">
        <f t="shared" si="8"/>
        <v>0.65486494234867132</v>
      </c>
      <c r="AD48" s="5">
        <f t="shared" si="9"/>
        <v>22898.5373066551</v>
      </c>
      <c r="AE48" s="5">
        <f t="shared" si="10"/>
        <v>201391.50722307304</v>
      </c>
      <c r="AF48" s="2">
        <f t="shared" si="21"/>
        <v>0.11370160352040733</v>
      </c>
      <c r="AG48" s="21"/>
    </row>
    <row r="49" spans="5:69" x14ac:dyDescent="0.3">
      <c r="E49" s="4">
        <v>45</v>
      </c>
      <c r="F49" s="4">
        <v>4</v>
      </c>
      <c r="G49" s="5">
        <f t="shared" si="22"/>
        <v>77968550.22243695</v>
      </c>
      <c r="H49" s="5">
        <f t="shared" si="11"/>
        <v>1552664.3504091445</v>
      </c>
      <c r="I49" s="5">
        <f t="shared" si="12"/>
        <v>909633.08592843113</v>
      </c>
      <c r="J49" s="5">
        <f t="shared" si="13"/>
        <v>643031.26448071341</v>
      </c>
      <c r="K49" s="5">
        <f t="shared" si="14"/>
        <v>77325518.957956225</v>
      </c>
      <c r="L49" s="5">
        <f t="shared" si="15"/>
        <v>81671253.571309447</v>
      </c>
      <c r="M49" s="5">
        <f t="shared" si="16"/>
        <v>146191.03166706942</v>
      </c>
      <c r="N49" s="5">
        <f t="shared" si="23"/>
        <v>12500</v>
      </c>
      <c r="O49" s="5">
        <f t="shared" si="17"/>
        <v>158691.03166706942</v>
      </c>
      <c r="P49" s="5">
        <f t="shared" si="18"/>
        <v>63476.412666827768</v>
      </c>
      <c r="Q49" s="18">
        <v>3.5000000000000003E-2</v>
      </c>
      <c r="R49" s="18">
        <v>0.2</v>
      </c>
      <c r="S49" s="5">
        <f t="shared" si="0"/>
        <v>47641.564583263855</v>
      </c>
      <c r="T49" s="5">
        <f t="shared" si="1"/>
        <v>290341.30644600507</v>
      </c>
      <c r="U49" s="5">
        <f t="shared" si="19"/>
        <v>5391.8489432443866</v>
      </c>
      <c r="V49" s="5">
        <f t="shared" si="20"/>
        <v>9320.7907435703237</v>
      </c>
      <c r="W49" s="5">
        <f t="shared" si="24"/>
        <v>305053.94613281975</v>
      </c>
      <c r="X49" s="5">
        <f t="shared" si="3"/>
        <v>47573.0544169778</v>
      </c>
      <c r="Y49" s="5">
        <f t="shared" si="4"/>
        <v>12844.724692584006</v>
      </c>
      <c r="Z49" s="5">
        <f t="shared" si="5"/>
        <v>34728.329724393792</v>
      </c>
      <c r="AA49" s="5">
        <f t="shared" si="6"/>
        <v>43815.750311968884</v>
      </c>
      <c r="AB49" s="5">
        <f t="shared" si="7"/>
        <v>-9087.4205875750922</v>
      </c>
      <c r="AC49" s="17">
        <f t="shared" si="8"/>
        <v>0.64859466480779016</v>
      </c>
      <c r="AD49" s="5">
        <f t="shared" si="9"/>
        <v>22524.609376927609</v>
      </c>
      <c r="AE49" s="5">
        <f t="shared" si="10"/>
        <v>197856.3619403099</v>
      </c>
      <c r="AF49" s="2">
        <f t="shared" si="21"/>
        <v>0.1138432403994314</v>
      </c>
      <c r="AG49" s="21"/>
    </row>
    <row r="50" spans="5:69" x14ac:dyDescent="0.3">
      <c r="E50" s="4">
        <v>46</v>
      </c>
      <c r="F50" s="4">
        <v>4</v>
      </c>
      <c r="G50" s="5">
        <f t="shared" si="22"/>
        <v>77325518.957956225</v>
      </c>
      <c r="H50" s="5">
        <f t="shared" si="11"/>
        <v>1552664.3504091445</v>
      </c>
      <c r="I50" s="5">
        <f t="shared" si="12"/>
        <v>902131.05450948933</v>
      </c>
      <c r="J50" s="5">
        <f t="shared" si="13"/>
        <v>650533.2958996552</v>
      </c>
      <c r="K50" s="5">
        <f t="shared" si="14"/>
        <v>76674985.662056565</v>
      </c>
      <c r="L50" s="5">
        <f t="shared" si="15"/>
        <v>80997684.942601353</v>
      </c>
      <c r="M50" s="5">
        <f t="shared" si="16"/>
        <v>144985.34804616804</v>
      </c>
      <c r="N50" s="5">
        <f t="shared" si="23"/>
        <v>12500</v>
      </c>
      <c r="O50" s="5">
        <f t="shared" si="17"/>
        <v>157485.34804616804</v>
      </c>
      <c r="P50" s="5">
        <f t="shared" si="18"/>
        <v>62994.139218467222</v>
      </c>
      <c r="Q50" s="18">
        <v>3.5000000000000003E-2</v>
      </c>
      <c r="R50" s="18">
        <v>0.2</v>
      </c>
      <c r="S50" s="5">
        <f t="shared" si="0"/>
        <v>47248.649549850794</v>
      </c>
      <c r="T50" s="5">
        <f t="shared" si="1"/>
        <v>287946.76997094782</v>
      </c>
      <c r="U50" s="5">
        <f t="shared" si="19"/>
        <v>5350.8834022875244</v>
      </c>
      <c r="V50" s="5">
        <f t="shared" si="20"/>
        <v>9249.9743614766667</v>
      </c>
      <c r="W50" s="5">
        <f t="shared" si="24"/>
        <v>302547.62773471203</v>
      </c>
      <c r="X50" s="5">
        <f t="shared" si="3"/>
        <v>47242.559277850021</v>
      </c>
      <c r="Y50" s="5">
        <f t="shared" si="4"/>
        <v>12755.491005019507</v>
      </c>
      <c r="Z50" s="5">
        <f t="shared" si="5"/>
        <v>34487.068272830511</v>
      </c>
      <c r="AA50" s="5">
        <f t="shared" si="6"/>
        <v>43455.760800192606</v>
      </c>
      <c r="AB50" s="5">
        <f t="shared" si="7"/>
        <v>-8968.6925273620946</v>
      </c>
      <c r="AC50" s="17">
        <f t="shared" si="8"/>
        <v>0.64238442465461632</v>
      </c>
      <c r="AD50" s="5">
        <f t="shared" si="9"/>
        <v>22153.955510466702</v>
      </c>
      <c r="AE50" s="5">
        <f t="shared" si="10"/>
        <v>194351.88377298202</v>
      </c>
      <c r="AF50" s="2">
        <f t="shared" si="21"/>
        <v>0.11398889005029779</v>
      </c>
      <c r="AG50" s="21"/>
    </row>
    <row r="51" spans="5:69" x14ac:dyDescent="0.3">
      <c r="E51" s="4">
        <v>47</v>
      </c>
      <c r="F51" s="4">
        <v>4</v>
      </c>
      <c r="G51" s="5">
        <f t="shared" si="22"/>
        <v>76674985.662056565</v>
      </c>
      <c r="H51" s="5">
        <f t="shared" si="11"/>
        <v>1552664.3504091445</v>
      </c>
      <c r="I51" s="5">
        <f t="shared" si="12"/>
        <v>894541.49939065997</v>
      </c>
      <c r="J51" s="5">
        <f t="shared" si="13"/>
        <v>658122.85101848457</v>
      </c>
      <c r="K51" s="5">
        <f t="shared" si="14"/>
        <v>76016862.811038077</v>
      </c>
      <c r="L51" s="5">
        <f t="shared" si="15"/>
        <v>80316258.013225004</v>
      </c>
      <c r="M51" s="5">
        <f t="shared" si="16"/>
        <v>143765.59811635618</v>
      </c>
      <c r="N51" s="5">
        <f t="shared" si="23"/>
        <v>12500</v>
      </c>
      <c r="O51" s="5">
        <f t="shared" si="17"/>
        <v>156265.59811635618</v>
      </c>
      <c r="P51" s="5">
        <f t="shared" si="18"/>
        <v>62506.239246542478</v>
      </c>
      <c r="Q51" s="18">
        <v>3.5000000000000003E-2</v>
      </c>
      <c r="R51" s="18">
        <v>0.2</v>
      </c>
      <c r="S51" s="5">
        <f t="shared" si="0"/>
        <v>46851.150507714592</v>
      </c>
      <c r="T51" s="5">
        <f t="shared" si="1"/>
        <v>285524.29723701486</v>
      </c>
      <c r="U51" s="5">
        <f t="shared" si="19"/>
        <v>5309.4399300194991</v>
      </c>
      <c r="V51" s="5">
        <f t="shared" si="20"/>
        <v>9178.3317882585834</v>
      </c>
      <c r="W51" s="5">
        <f t="shared" si="24"/>
        <v>300012.06895529293</v>
      </c>
      <c r="X51" s="5">
        <f t="shared" si="3"/>
        <v>46908.208362099111</v>
      </c>
      <c r="Y51" s="5">
        <f t="shared" si="4"/>
        <v>12665.21625776676</v>
      </c>
      <c r="Z51" s="5">
        <f t="shared" si="5"/>
        <v>34242.992104332348</v>
      </c>
      <c r="AA51" s="5">
        <f t="shared" si="6"/>
        <v>43091.571410778917</v>
      </c>
      <c r="AB51" s="5">
        <f t="shared" si="7"/>
        <v>-8848.5793064465688</v>
      </c>
      <c r="AC51" s="17">
        <f t="shared" si="8"/>
        <v>0.63623364703613916</v>
      </c>
      <c r="AD51" s="5">
        <f t="shared" si="9"/>
        <v>21786.543751969086</v>
      </c>
      <c r="AE51" s="5">
        <f t="shared" si="10"/>
        <v>190877.77278628369</v>
      </c>
      <c r="AF51" s="2">
        <f t="shared" si="21"/>
        <v>0.11413871523093677</v>
      </c>
      <c r="AG51" s="21"/>
    </row>
    <row r="52" spans="5:69" x14ac:dyDescent="0.3">
      <c r="E52" s="4">
        <v>48</v>
      </c>
      <c r="F52" s="4">
        <v>4</v>
      </c>
      <c r="G52" s="5">
        <f t="shared" si="22"/>
        <v>76016862.811038077</v>
      </c>
      <c r="H52" s="5">
        <f t="shared" si="11"/>
        <v>1552664.3504091445</v>
      </c>
      <c r="I52" s="5">
        <f t="shared" si="12"/>
        <v>886863.39946211095</v>
      </c>
      <c r="J52" s="5">
        <f t="shared" si="13"/>
        <v>665800.95094703359</v>
      </c>
      <c r="K52" s="5">
        <f t="shared" si="14"/>
        <v>75351061.860091031</v>
      </c>
      <c r="L52" s="5">
        <f t="shared" si="15"/>
        <v>79626881.103005931</v>
      </c>
      <c r="M52" s="5">
        <f t="shared" si="16"/>
        <v>142531.61777069652</v>
      </c>
      <c r="N52" s="5">
        <f t="shared" si="23"/>
        <v>12500</v>
      </c>
      <c r="O52" s="5">
        <f t="shared" si="17"/>
        <v>155031.61777069652</v>
      </c>
      <c r="P52" s="5">
        <f t="shared" si="18"/>
        <v>62012.647108278616</v>
      </c>
      <c r="Q52" s="18">
        <v>3.5000000000000003E-2</v>
      </c>
      <c r="R52" s="18">
        <v>0.2</v>
      </c>
      <c r="S52" s="5">
        <f t="shared" si="0"/>
        <v>46449.013976753464</v>
      </c>
      <c r="T52" s="5">
        <f t="shared" si="1"/>
        <v>283073.56232118607</v>
      </c>
      <c r="U52" s="5">
        <f t="shared" si="19"/>
        <v>5267.5129505750137</v>
      </c>
      <c r="V52" s="5">
        <f t="shared" si="20"/>
        <v>9105.8533850196254</v>
      </c>
      <c r="W52" s="5">
        <f t="shared" si="24"/>
        <v>297446.92865678074</v>
      </c>
      <c r="X52" s="5">
        <f t="shared" si="3"/>
        <v>46569.956685664445</v>
      </c>
      <c r="Y52" s="5">
        <f t="shared" si="4"/>
        <v>12573.888305129401</v>
      </c>
      <c r="Z52" s="5">
        <f t="shared" si="5"/>
        <v>33996.068380535042</v>
      </c>
      <c r="AA52" s="5">
        <f t="shared" si="6"/>
        <v>42723.133145155422</v>
      </c>
      <c r="AB52" s="5">
        <f t="shared" si="7"/>
        <v>-8727.0647646203797</v>
      </c>
      <c r="AC52" s="17">
        <f t="shared" si="8"/>
        <v>0.63014176260351717</v>
      </c>
      <c r="AD52" s="5">
        <f t="shared" si="9"/>
        <v>21422.342450900051</v>
      </c>
      <c r="AE52" s="5">
        <f t="shared" si="10"/>
        <v>187433.73190478643</v>
      </c>
      <c r="AF52" s="2">
        <f t="shared" si="21"/>
        <v>0.11429288758857069</v>
      </c>
      <c r="AG52" s="21"/>
    </row>
    <row r="53" spans="5:69" x14ac:dyDescent="0.3">
      <c r="E53" s="4">
        <v>49</v>
      </c>
      <c r="F53" s="4">
        <v>5</v>
      </c>
      <c r="G53" s="5">
        <f t="shared" si="22"/>
        <v>75351061.860091031</v>
      </c>
      <c r="H53" s="5">
        <f t="shared" si="11"/>
        <v>1552664.3504091445</v>
      </c>
      <c r="I53" s="5">
        <f t="shared" si="12"/>
        <v>879095.72170106217</v>
      </c>
      <c r="J53" s="5">
        <f t="shared" si="13"/>
        <v>673568.62870808237</v>
      </c>
      <c r="K53" s="5">
        <f t="shared" si="14"/>
        <v>74677493.231382936</v>
      </c>
      <c r="L53" s="5">
        <f t="shared" si="15"/>
        <v>78929461.462167621</v>
      </c>
      <c r="M53" s="5">
        <f t="shared" si="16"/>
        <v>141283.24098767081</v>
      </c>
      <c r="N53" s="5">
        <f t="shared" si="23"/>
        <v>12500</v>
      </c>
      <c r="O53" s="5">
        <f t="shared" si="17"/>
        <v>153783.24098767081</v>
      </c>
      <c r="P53" s="5">
        <f t="shared" si="18"/>
        <v>61513.296395068326</v>
      </c>
      <c r="Q53" s="18">
        <v>3.5000000000000003E-2</v>
      </c>
      <c r="R53" s="18">
        <v>0.2</v>
      </c>
      <c r="S53" s="5">
        <f t="shared" si="0"/>
        <v>46042.185852931114</v>
      </c>
      <c r="T53" s="5">
        <f t="shared" si="1"/>
        <v>280594.23549800587</v>
      </c>
      <c r="U53" s="5">
        <f t="shared" si="19"/>
        <v>5225.0968230370081</v>
      </c>
      <c r="V53" s="5">
        <f t="shared" si="20"/>
        <v>9032.5294004095431</v>
      </c>
      <c r="W53" s="5">
        <f t="shared" si="24"/>
        <v>294851.86172145244</v>
      </c>
      <c r="X53" s="5">
        <f t="shared" si="3"/>
        <v>46227.758739671379</v>
      </c>
      <c r="Y53" s="5">
        <f t="shared" si="4"/>
        <v>12481.494859711273</v>
      </c>
      <c r="Z53" s="5">
        <f t="shared" si="5"/>
        <v>33746.263879960105</v>
      </c>
      <c r="AA53" s="5">
        <f t="shared" si="6"/>
        <v>42350.396433099631</v>
      </c>
      <c r="AB53" s="5">
        <f t="shared" si="7"/>
        <v>-8604.1325531395269</v>
      </c>
      <c r="AC53" s="17">
        <f t="shared" si="8"/>
        <v>0.62410820745937834</v>
      </c>
      <c r="AD53" s="5">
        <f t="shared" si="9"/>
        <v>21061.320258573065</v>
      </c>
      <c r="AE53" s="5">
        <f t="shared" si="10"/>
        <v>184019.46688503618</v>
      </c>
      <c r="AF53" s="2">
        <f t="shared" si="21"/>
        <v>0.11445158827533641</v>
      </c>
      <c r="AG53" s="21"/>
    </row>
    <row r="54" spans="5:69" s="1" customFormat="1" x14ac:dyDescent="0.3">
      <c r="E54" s="4">
        <v>50</v>
      </c>
      <c r="F54" s="4">
        <v>5</v>
      </c>
      <c r="G54" s="5">
        <f t="shared" si="22"/>
        <v>74677493.231382936</v>
      </c>
      <c r="H54" s="5">
        <f t="shared" si="11"/>
        <v>1552664.3504091445</v>
      </c>
      <c r="I54" s="5">
        <f t="shared" si="12"/>
        <v>871237.42103280092</v>
      </c>
      <c r="J54" s="5">
        <f t="shared" si="13"/>
        <v>681426.92937634361</v>
      </c>
      <c r="K54" s="5">
        <f t="shared" si="14"/>
        <v>73996066.302006587</v>
      </c>
      <c r="L54" s="5">
        <f t="shared" si="15"/>
        <v>78223905.258852884</v>
      </c>
      <c r="M54" s="5">
        <f t="shared" si="16"/>
        <v>140020.29980884315</v>
      </c>
      <c r="N54" s="5">
        <f t="shared" si="23"/>
        <v>12500</v>
      </c>
      <c r="O54" s="5">
        <f t="shared" si="17"/>
        <v>152520.29980884315</v>
      </c>
      <c r="P54" s="5">
        <f t="shared" si="18"/>
        <v>61008.119923537262</v>
      </c>
      <c r="Q54" s="18">
        <v>3.5000000000000003E-2</v>
      </c>
      <c r="R54" s="18">
        <v>0.2</v>
      </c>
      <c r="S54" s="5">
        <f t="shared" si="0"/>
        <v>45630.611400997521</v>
      </c>
      <c r="T54" s="5">
        <f t="shared" si="1"/>
        <v>278085.98319522198</v>
      </c>
      <c r="U54" s="5">
        <f t="shared" si="19"/>
        <v>5182.1858406777274</v>
      </c>
      <c r="V54" s="5">
        <f t="shared" si="20"/>
        <v>8958.3499693123449</v>
      </c>
      <c r="W54" s="5">
        <f t="shared" si="24"/>
        <v>292226.519005212</v>
      </c>
      <c r="X54" s="5">
        <f t="shared" si="3"/>
        <v>45881.568484308365</v>
      </c>
      <c r="Y54" s="5">
        <f t="shared" si="4"/>
        <v>12388.02349076326</v>
      </c>
      <c r="Z54" s="5">
        <f t="shared" si="5"/>
        <v>33493.544993545103</v>
      </c>
      <c r="AA54" s="5">
        <f t="shared" si="6"/>
        <v>41973.311126069864</v>
      </c>
      <c r="AB54" s="5">
        <f t="shared" si="7"/>
        <v>-8479.7661325247609</v>
      </c>
      <c r="AC54" s="17">
        <f t="shared" si="8"/>
        <v>0.61813242310561989</v>
      </c>
      <c r="AD54" s="5">
        <f t="shared" si="9"/>
        <v>20703.446125257138</v>
      </c>
      <c r="AE54" s="5">
        <f t="shared" si="10"/>
        <v>180634.68628841217</v>
      </c>
      <c r="AF54" s="2">
        <f t="shared" si="21"/>
        <v>0.11461500861579141</v>
      </c>
      <c r="AG54" s="21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5:69" x14ac:dyDescent="0.3">
      <c r="E55" s="4">
        <v>51</v>
      </c>
      <c r="F55" s="4">
        <v>5</v>
      </c>
      <c r="G55" s="5">
        <f t="shared" si="22"/>
        <v>73996066.302006587</v>
      </c>
      <c r="H55" s="5">
        <f t="shared" si="11"/>
        <v>1552664.3504091445</v>
      </c>
      <c r="I55" s="5">
        <f t="shared" si="12"/>
        <v>863287.44019007694</v>
      </c>
      <c r="J55" s="5">
        <f t="shared" si="13"/>
        <v>689376.91021906759</v>
      </c>
      <c r="K55" s="5">
        <f t="shared" si="14"/>
        <v>73306689.391787514</v>
      </c>
      <c r="L55" s="5">
        <f t="shared" si="15"/>
        <v>77510117.566499457</v>
      </c>
      <c r="M55" s="5">
        <f t="shared" si="16"/>
        <v>138742.62431626246</v>
      </c>
      <c r="N55" s="5">
        <f t="shared" si="23"/>
        <v>12500</v>
      </c>
      <c r="O55" s="5">
        <f t="shared" si="17"/>
        <v>151242.62431626246</v>
      </c>
      <c r="P55" s="5">
        <f t="shared" si="18"/>
        <v>60497.049726504985</v>
      </c>
      <c r="Q55" s="18">
        <v>3.5000000000000003E-2</v>
      </c>
      <c r="R55" s="18">
        <v>0.2</v>
      </c>
      <c r="S55" s="5">
        <f t="shared" si="0"/>
        <v>45214.235247124685</v>
      </c>
      <c r="T55" s="5">
        <f t="shared" si="1"/>
        <v>275548.46794890554</v>
      </c>
      <c r="U55" s="5">
        <f t="shared" si="19"/>
        <v>5138.7742301909202</v>
      </c>
      <c r="V55" s="5">
        <f t="shared" si="20"/>
        <v>8883.3051115190119</v>
      </c>
      <c r="W55" s="5">
        <f t="shared" si="24"/>
        <v>289570.54729061545</v>
      </c>
      <c r="X55" s="5">
        <f t="shared" si="3"/>
        <v>45531.339342632797</v>
      </c>
      <c r="Y55" s="5">
        <f t="shared" si="4"/>
        <v>12293.461622510857</v>
      </c>
      <c r="Z55" s="5">
        <f t="shared" si="5"/>
        <v>33237.877720121942</v>
      </c>
      <c r="AA55" s="5">
        <f t="shared" si="6"/>
        <v>41591.826490458079</v>
      </c>
      <c r="AB55" s="5">
        <f t="shared" si="7"/>
        <v>-8353.9487703361374</v>
      </c>
      <c r="AC55" s="17">
        <f t="shared" si="8"/>
        <v>0.61221385639171266</v>
      </c>
      <c r="AD55" s="5">
        <f t="shared" si="9"/>
        <v>20348.689297312041</v>
      </c>
      <c r="AE55" s="5">
        <f t="shared" si="10"/>
        <v>177279.1014542465</v>
      </c>
      <c r="AF55" s="2">
        <f t="shared" si="21"/>
        <v>0.11478335083147848</v>
      </c>
      <c r="AG55" s="21"/>
    </row>
    <row r="56" spans="5:69" x14ac:dyDescent="0.3">
      <c r="E56" s="4">
        <v>52</v>
      </c>
      <c r="F56" s="4">
        <v>5</v>
      </c>
      <c r="G56" s="5">
        <f t="shared" si="22"/>
        <v>73306689.391787514</v>
      </c>
      <c r="H56" s="5">
        <f t="shared" si="11"/>
        <v>1552664.3504091445</v>
      </c>
      <c r="I56" s="5">
        <f t="shared" si="12"/>
        <v>855244.70957085444</v>
      </c>
      <c r="J56" s="5">
        <f t="shared" si="13"/>
        <v>697419.6408382901</v>
      </c>
      <c r="K56" s="5">
        <f t="shared" si="14"/>
        <v>72609269.750949219</v>
      </c>
      <c r="L56" s="5">
        <f t="shared" si="15"/>
        <v>76788002.351068586</v>
      </c>
      <c r="M56" s="5">
        <f t="shared" si="16"/>
        <v>137450.04260960172</v>
      </c>
      <c r="N56" s="5">
        <f t="shared" si="23"/>
        <v>12500</v>
      </c>
      <c r="O56" s="5">
        <f t="shared" si="17"/>
        <v>149950.04260960172</v>
      </c>
      <c r="P56" s="5">
        <f t="shared" si="18"/>
        <v>59980.017043840693</v>
      </c>
      <c r="Q56" s="18">
        <v>3.5000000000000003E-2</v>
      </c>
      <c r="R56" s="18">
        <v>0.2</v>
      </c>
      <c r="S56" s="5">
        <f t="shared" si="0"/>
        <v>44793.001371456681</v>
      </c>
      <c r="T56" s="5">
        <f t="shared" si="1"/>
        <v>272981.34835804877</v>
      </c>
      <c r="U56" s="5">
        <f t="shared" si="19"/>
        <v>5094.8561509151014</v>
      </c>
      <c r="V56" s="5">
        <f t="shared" si="20"/>
        <v>8807.3847303847579</v>
      </c>
      <c r="W56" s="5">
        <f t="shared" si="24"/>
        <v>286883.5892393486</v>
      </c>
      <c r="X56" s="5">
        <f t="shared" si="3"/>
        <v>45177.024194304344</v>
      </c>
      <c r="Y56" s="5">
        <f t="shared" si="4"/>
        <v>12197.796532462173</v>
      </c>
      <c r="Z56" s="5">
        <f t="shared" si="5"/>
        <v>32979.227661842175</v>
      </c>
      <c r="AA56" s="5">
        <f t="shared" si="6"/>
        <v>41205.891200764163</v>
      </c>
      <c r="AB56" s="5">
        <f t="shared" si="7"/>
        <v>-8226.6635389219882</v>
      </c>
      <c r="AC56" s="17">
        <f t="shared" si="8"/>
        <v>0.60635195946349796</v>
      </c>
      <c r="AD56" s="5">
        <f t="shared" si="9"/>
        <v>19997.019314350797</v>
      </c>
      <c r="AE56" s="5">
        <f t="shared" si="10"/>
        <v>173952.42647320029</v>
      </c>
      <c r="AF56" s="2">
        <f t="shared" si="21"/>
        <v>0.11495682882832109</v>
      </c>
      <c r="AG56" s="21"/>
    </row>
    <row r="57" spans="5:69" x14ac:dyDescent="0.3">
      <c r="E57" s="4">
        <v>53</v>
      </c>
      <c r="F57" s="4">
        <v>5</v>
      </c>
      <c r="G57" s="5">
        <f t="shared" si="22"/>
        <v>72609269.750949219</v>
      </c>
      <c r="H57" s="5">
        <f t="shared" si="11"/>
        <v>1552664.3504091445</v>
      </c>
      <c r="I57" s="5">
        <f t="shared" si="12"/>
        <v>847108.14709440758</v>
      </c>
      <c r="J57" s="5">
        <f t="shared" si="13"/>
        <v>705556.20331473695</v>
      </c>
      <c r="K57" s="5">
        <f t="shared" si="14"/>
        <v>71903713.547634482</v>
      </c>
      <c r="L57" s="5">
        <f t="shared" si="15"/>
        <v>76057462.458124354</v>
      </c>
      <c r="M57" s="5">
        <f t="shared" si="16"/>
        <v>136142.38078302992</v>
      </c>
      <c r="N57" s="5">
        <f t="shared" si="23"/>
        <v>12500</v>
      </c>
      <c r="O57" s="5">
        <f t="shared" si="17"/>
        <v>148642.38078302992</v>
      </c>
      <c r="P57" s="5">
        <f t="shared" si="18"/>
        <v>59456.952313211972</v>
      </c>
      <c r="Q57" s="18">
        <v>3.5000000000000003E-2</v>
      </c>
      <c r="R57" s="18">
        <v>0.2</v>
      </c>
      <c r="S57" s="5">
        <f t="shared" si="0"/>
        <v>44366.853100572545</v>
      </c>
      <c r="T57" s="5">
        <f t="shared" si="1"/>
        <v>270384.27903863206</v>
      </c>
      <c r="U57" s="5">
        <f t="shared" si="19"/>
        <v>5050.4256940477317</v>
      </c>
      <c r="V57" s="5">
        <f t="shared" si="20"/>
        <v>8730.5786114706043</v>
      </c>
      <c r="W57" s="5">
        <f t="shared" si="24"/>
        <v>284165.28334415035</v>
      </c>
      <c r="X57" s="5">
        <f t="shared" si="3"/>
        <v>44818.575369245395</v>
      </c>
      <c r="Y57" s="5">
        <f t="shared" si="4"/>
        <v>12101.015349696258</v>
      </c>
      <c r="Z57" s="5">
        <f t="shared" si="5"/>
        <v>32717.560019549135</v>
      </c>
      <c r="AA57" s="5">
        <f t="shared" si="6"/>
        <v>40815.453332690486</v>
      </c>
      <c r="AB57" s="5">
        <f t="shared" si="7"/>
        <v>-8097.8933131413505</v>
      </c>
      <c r="AC57" s="17">
        <f t="shared" si="8"/>
        <v>0.60054618971247498</v>
      </c>
      <c r="AD57" s="5">
        <f t="shared" si="9"/>
        <v>19648.406006429443</v>
      </c>
      <c r="AE57" s="5">
        <f t="shared" si="10"/>
        <v>170654.37816089531</v>
      </c>
      <c r="AF57" s="2">
        <f t="shared" si="21"/>
        <v>0.11513566905329937</v>
      </c>
      <c r="AG57" s="21"/>
    </row>
    <row r="58" spans="5:69" x14ac:dyDescent="0.3">
      <c r="E58" s="4">
        <v>54</v>
      </c>
      <c r="F58" s="4">
        <v>5</v>
      </c>
      <c r="G58" s="5">
        <f t="shared" si="22"/>
        <v>71903713.547634482</v>
      </c>
      <c r="H58" s="5">
        <f t="shared" si="11"/>
        <v>1552664.3504091445</v>
      </c>
      <c r="I58" s="5">
        <f t="shared" si="12"/>
        <v>838876.65805573575</v>
      </c>
      <c r="J58" s="5">
        <f t="shared" si="13"/>
        <v>713787.69235340878</v>
      </c>
      <c r="K58" s="5">
        <f t="shared" si="14"/>
        <v>71189925.85528107</v>
      </c>
      <c r="L58" s="5">
        <f t="shared" si="15"/>
        <v>75318399.599762455</v>
      </c>
      <c r="M58" s="5">
        <f t="shared" si="16"/>
        <v>134819.46290181478</v>
      </c>
      <c r="N58" s="5">
        <f t="shared" si="23"/>
        <v>12500</v>
      </c>
      <c r="O58" s="5">
        <f t="shared" si="17"/>
        <v>147319.46290181478</v>
      </c>
      <c r="P58" s="5">
        <f t="shared" si="18"/>
        <v>58927.785160725914</v>
      </c>
      <c r="Q58" s="18">
        <v>3.5000000000000003E-2</v>
      </c>
      <c r="R58" s="18">
        <v>0.2</v>
      </c>
      <c r="S58" s="5">
        <f t="shared" si="0"/>
        <v>43935.733099861434</v>
      </c>
      <c r="T58" s="5">
        <f t="shared" si="1"/>
        <v>267756.91057715548</v>
      </c>
      <c r="U58" s="5">
        <f t="shared" si="19"/>
        <v>5005.4768818502425</v>
      </c>
      <c r="V58" s="5">
        <f t="shared" si="20"/>
        <v>8652.8764211691177</v>
      </c>
      <c r="W58" s="5">
        <f t="shared" si="24"/>
        <v>281415.26388017484</v>
      </c>
      <c r="X58" s="5">
        <f t="shared" si="3"/>
        <v>44455.944641227441</v>
      </c>
      <c r="Y58" s="5">
        <f t="shared" si="4"/>
        <v>12003.10505313141</v>
      </c>
      <c r="Z58" s="5">
        <f t="shared" si="5"/>
        <v>32452.839588096031</v>
      </c>
      <c r="AA58" s="5">
        <f t="shared" si="6"/>
        <v>40420.460356155963</v>
      </c>
      <c r="AB58" s="5">
        <f t="shared" si="7"/>
        <v>-7967.6207680599327</v>
      </c>
      <c r="AC58" s="17">
        <f t="shared" si="8"/>
        <v>0.594796009725575</v>
      </c>
      <c r="AD58" s="5">
        <f t="shared" si="9"/>
        <v>19302.819491263694</v>
      </c>
      <c r="AE58" s="5">
        <f t="shared" si="10"/>
        <v>167384.67603179772</v>
      </c>
      <c r="AF58" s="2">
        <f t="shared" si="21"/>
        <v>0.11532011142762422</v>
      </c>
      <c r="AG58" s="21"/>
    </row>
    <row r="59" spans="5:69" x14ac:dyDescent="0.3">
      <c r="E59" s="4">
        <v>55</v>
      </c>
      <c r="F59" s="4">
        <v>5</v>
      </c>
      <c r="G59" s="5">
        <f t="shared" si="22"/>
        <v>71189925.85528107</v>
      </c>
      <c r="H59" s="5">
        <f t="shared" si="11"/>
        <v>1552664.3504091445</v>
      </c>
      <c r="I59" s="5">
        <f t="shared" si="12"/>
        <v>830549.13497827912</v>
      </c>
      <c r="J59" s="5">
        <f t="shared" si="13"/>
        <v>722115.21543086541</v>
      </c>
      <c r="K59" s="5">
        <f t="shared" si="14"/>
        <v>70467810.639850199</v>
      </c>
      <c r="L59" s="5">
        <f t="shared" si="15"/>
        <v>74570714.341386318</v>
      </c>
      <c r="M59" s="5">
        <f t="shared" si="16"/>
        <v>133481.11097865211</v>
      </c>
      <c r="N59" s="5">
        <f t="shared" si="23"/>
        <v>12500</v>
      </c>
      <c r="O59" s="5">
        <f t="shared" si="17"/>
        <v>145981.11097865211</v>
      </c>
      <c r="P59" s="5">
        <f t="shared" si="18"/>
        <v>58392.444391460849</v>
      </c>
      <c r="Q59" s="18">
        <v>3.5000000000000003E-2</v>
      </c>
      <c r="R59" s="18">
        <v>0.2</v>
      </c>
      <c r="S59" s="5">
        <f t="shared" si="0"/>
        <v>43499.583365808692</v>
      </c>
      <c r="T59" s="5">
        <f t="shared" si="1"/>
        <v>265098.88948362833</v>
      </c>
      <c r="U59" s="5">
        <f t="shared" si="19"/>
        <v>4960.0036668437815</v>
      </c>
      <c r="V59" s="5">
        <f t="shared" si="20"/>
        <v>8574.2677053141142</v>
      </c>
      <c r="W59" s="5">
        <f t="shared" si="24"/>
        <v>278633.16085578618</v>
      </c>
      <c r="X59" s="5">
        <f t="shared" si="3"/>
        <v>44089.083221382563</v>
      </c>
      <c r="Y59" s="5">
        <f t="shared" si="4"/>
        <v>11904.052469773293</v>
      </c>
      <c r="Z59" s="5">
        <f t="shared" si="5"/>
        <v>32185.030751609273</v>
      </c>
      <c r="AA59" s="5">
        <f t="shared" si="6"/>
        <v>40020.85912822852</v>
      </c>
      <c r="AB59" s="5">
        <f t="shared" si="7"/>
        <v>-7835.8283766192471</v>
      </c>
      <c r="AC59" s="17">
        <f t="shared" si="8"/>
        <v>0.58910088723541387</v>
      </c>
      <c r="AD59" s="5">
        <f t="shared" si="9"/>
        <v>18960.230171472103</v>
      </c>
      <c r="AE59" s="5">
        <f t="shared" si="10"/>
        <v>164143.04227335143</v>
      </c>
      <c r="AF59" s="2">
        <f t="shared" si="21"/>
        <v>0.11551041036449884</v>
      </c>
      <c r="AG59" s="21"/>
    </row>
    <row r="60" spans="5:69" x14ac:dyDescent="0.3">
      <c r="E60" s="4">
        <v>56</v>
      </c>
      <c r="F60" s="4">
        <v>5</v>
      </c>
      <c r="G60" s="5">
        <f t="shared" si="22"/>
        <v>70467810.639850199</v>
      </c>
      <c r="H60" s="5">
        <f t="shared" si="11"/>
        <v>1552664.3504091445</v>
      </c>
      <c r="I60" s="5">
        <f t="shared" si="12"/>
        <v>822124.45746491908</v>
      </c>
      <c r="J60" s="5">
        <f t="shared" si="13"/>
        <v>730539.89294422546</v>
      </c>
      <c r="K60" s="5">
        <f t="shared" si="14"/>
        <v>69737270.746905968</v>
      </c>
      <c r="L60" s="5">
        <f t="shared" si="15"/>
        <v>73814306.088329136</v>
      </c>
      <c r="M60" s="5">
        <f t="shared" si="16"/>
        <v>132127.14494971922</v>
      </c>
      <c r="N60" s="5">
        <f t="shared" si="23"/>
        <v>12500</v>
      </c>
      <c r="O60" s="5">
        <f t="shared" si="17"/>
        <v>144627.14494971922</v>
      </c>
      <c r="P60" s="5">
        <f t="shared" si="18"/>
        <v>57850.857979887689</v>
      </c>
      <c r="Q60" s="18">
        <v>3.5000000000000003E-2</v>
      </c>
      <c r="R60" s="18">
        <v>0.2</v>
      </c>
      <c r="S60" s="5">
        <f t="shared" si="0"/>
        <v>43058.345218192</v>
      </c>
      <c r="T60" s="5">
        <f t="shared" si="1"/>
        <v>262409.85814401007</v>
      </c>
      <c r="U60" s="5">
        <f t="shared" si="19"/>
        <v>4913.9999309955792</v>
      </c>
      <c r="V60" s="5">
        <f t="shared" si="20"/>
        <v>8494.7418877741347</v>
      </c>
      <c r="W60" s="5">
        <f t="shared" si="24"/>
        <v>275818.59996277979</v>
      </c>
      <c r="X60" s="5">
        <f t="shared" si="3"/>
        <v>43717.941751639533</v>
      </c>
      <c r="Y60" s="5">
        <f t="shared" si="4"/>
        <v>11803.844272942675</v>
      </c>
      <c r="Z60" s="5">
        <f t="shared" si="5"/>
        <v>31914.097478696858</v>
      </c>
      <c r="AA60" s="5">
        <f t="shared" si="6"/>
        <v>39616.595885975279</v>
      </c>
      <c r="AB60" s="5">
        <f t="shared" si="7"/>
        <v>-7702.4984072784209</v>
      </c>
      <c r="AC60" s="17">
        <f t="shared" si="8"/>
        <v>0.58346029507102426</v>
      </c>
      <c r="AD60" s="5">
        <f t="shared" si="9"/>
        <v>18620.608731845899</v>
      </c>
      <c r="AE60" s="5">
        <f t="shared" si="10"/>
        <v>160929.20172036029</v>
      </c>
      <c r="AF60" s="2">
        <f t="shared" si="21"/>
        <v>0.11570683588055153</v>
      </c>
      <c r="AG60" s="21"/>
    </row>
    <row r="61" spans="5:69" x14ac:dyDescent="0.3">
      <c r="E61" s="4">
        <v>57</v>
      </c>
      <c r="F61" s="4">
        <v>5</v>
      </c>
      <c r="G61" s="5">
        <f t="shared" si="22"/>
        <v>69737270.746905968</v>
      </c>
      <c r="H61" s="5">
        <f t="shared" si="11"/>
        <v>1552664.3504091445</v>
      </c>
      <c r="I61" s="5">
        <f t="shared" si="12"/>
        <v>813601.4920472363</v>
      </c>
      <c r="J61" s="5">
        <f t="shared" si="13"/>
        <v>739062.85836190823</v>
      </c>
      <c r="K61" s="5">
        <f t="shared" si="14"/>
        <v>68998207.888544053</v>
      </c>
      <c r="L61" s="5">
        <f t="shared" si="15"/>
        <v>73049073.072319597</v>
      </c>
      <c r="M61" s="5">
        <f t="shared" si="16"/>
        <v>130757.38265044881</v>
      </c>
      <c r="N61" s="5">
        <f t="shared" si="23"/>
        <v>12500</v>
      </c>
      <c r="O61" s="5">
        <f t="shared" si="17"/>
        <v>143257.38265044882</v>
      </c>
      <c r="P61" s="5">
        <f t="shared" si="18"/>
        <v>57302.953060179534</v>
      </c>
      <c r="Q61" s="18">
        <v>3.5000000000000003E-2</v>
      </c>
      <c r="R61" s="18">
        <v>0.2</v>
      </c>
      <c r="S61" s="5">
        <f t="shared" si="0"/>
        <v>42611.959292186439</v>
      </c>
      <c r="T61" s="5">
        <f t="shared" si="1"/>
        <v>259689.45477209613</v>
      </c>
      <c r="U61" s="5">
        <f t="shared" si="19"/>
        <v>4867.459484895815</v>
      </c>
      <c r="V61" s="5">
        <f t="shared" si="20"/>
        <v>8414.2882690295264</v>
      </c>
      <c r="W61" s="5">
        <f t="shared" si="24"/>
        <v>272971.20252602146</v>
      </c>
      <c r="X61" s="5">
        <f t="shared" si="3"/>
        <v>43342.470298082844</v>
      </c>
      <c r="Y61" s="5">
        <f t="shared" si="4"/>
        <v>11702.466980482368</v>
      </c>
      <c r="Z61" s="5">
        <f t="shared" si="5"/>
        <v>31640.003317600476</v>
      </c>
      <c r="AA61" s="5">
        <f t="shared" si="6"/>
        <v>39207.61623922905</v>
      </c>
      <c r="AB61" s="5">
        <f t="shared" si="7"/>
        <v>-7567.6129216285735</v>
      </c>
      <c r="AC61" s="17">
        <f t="shared" si="8"/>
        <v>0.57787371110905694</v>
      </c>
      <c r="AD61" s="5">
        <f t="shared" si="9"/>
        <v>18283.926136644663</v>
      </c>
      <c r="AE61" s="5">
        <f t="shared" si="10"/>
        <v>157742.88182961399</v>
      </c>
      <c r="AF61" s="2">
        <f t="shared" si="21"/>
        <v>0.1159096748111528</v>
      </c>
      <c r="AG61" s="21"/>
    </row>
    <row r="62" spans="5:69" x14ac:dyDescent="0.3">
      <c r="E62" s="4">
        <v>58</v>
      </c>
      <c r="F62" s="4">
        <v>5</v>
      </c>
      <c r="G62" s="5">
        <f t="shared" si="22"/>
        <v>68998207.888544053</v>
      </c>
      <c r="H62" s="5">
        <f t="shared" si="11"/>
        <v>1552664.3504091445</v>
      </c>
      <c r="I62" s="5">
        <f t="shared" si="12"/>
        <v>804979.09203301405</v>
      </c>
      <c r="J62" s="5">
        <f t="shared" si="13"/>
        <v>747685.25837613048</v>
      </c>
      <c r="K62" s="5">
        <f t="shared" si="14"/>
        <v>68250522.630167916</v>
      </c>
      <c r="L62" s="5">
        <f t="shared" si="15"/>
        <v>72274912.337789968</v>
      </c>
      <c r="M62" s="5">
        <f t="shared" si="16"/>
        <v>129371.63979102021</v>
      </c>
      <c r="N62" s="5">
        <f t="shared" si="23"/>
        <v>12500</v>
      </c>
      <c r="O62" s="5">
        <f t="shared" si="17"/>
        <v>141871.63979102019</v>
      </c>
      <c r="P62" s="5">
        <f t="shared" si="18"/>
        <v>56748.655916408083</v>
      </c>
      <c r="Q62" s="18">
        <v>3.5000000000000003E-2</v>
      </c>
      <c r="R62" s="18">
        <v>0.2</v>
      </c>
      <c r="S62" s="5">
        <f t="shared" si="0"/>
        <v>42160.365530377487</v>
      </c>
      <c r="T62" s="5">
        <f t="shared" si="1"/>
        <v>256937.31336084331</v>
      </c>
      <c r="U62" s="5">
        <f t="shared" si="19"/>
        <v>4820.376066924885</v>
      </c>
      <c r="V62" s="5">
        <f t="shared" si="20"/>
        <v>8332.8960247328923</v>
      </c>
      <c r="W62" s="5">
        <f t="shared" si="24"/>
        <v>270090.58545250108</v>
      </c>
      <c r="X62" s="5">
        <f t="shared" si="3"/>
        <v>42962.618344234623</v>
      </c>
      <c r="Y62" s="5">
        <f t="shared" si="4"/>
        <v>11599.906952943349</v>
      </c>
      <c r="Z62" s="5">
        <f t="shared" si="5"/>
        <v>31362.711391291276</v>
      </c>
      <c r="AA62" s="5">
        <f t="shared" si="6"/>
        <v>38793.865163270799</v>
      </c>
      <c r="AB62" s="5">
        <f t="shared" si="7"/>
        <v>-7431.1537719795233</v>
      </c>
      <c r="AC62" s="17">
        <f t="shared" si="8"/>
        <v>0.57234061822545068</v>
      </c>
      <c r="AD62" s="5">
        <f t="shared" si="9"/>
        <v>17950.153626918032</v>
      </c>
      <c r="AE62" s="5">
        <f t="shared" si="10"/>
        <v>154583.8126547584</v>
      </c>
      <c r="AF62" s="2">
        <f t="shared" si="21"/>
        <v>0.11611923214112478</v>
      </c>
      <c r="AG62" s="21"/>
    </row>
    <row r="63" spans="5:69" x14ac:dyDescent="0.3">
      <c r="E63" s="4">
        <v>59</v>
      </c>
      <c r="F63" s="4">
        <v>5</v>
      </c>
      <c r="G63" s="5">
        <f t="shared" si="22"/>
        <v>68250522.630167916</v>
      </c>
      <c r="H63" s="5">
        <f t="shared" si="11"/>
        <v>1552664.3504091445</v>
      </c>
      <c r="I63" s="5">
        <f t="shared" si="12"/>
        <v>796256.09735195909</v>
      </c>
      <c r="J63" s="5">
        <f t="shared" si="13"/>
        <v>756408.25305718544</v>
      </c>
      <c r="K63" s="5">
        <f t="shared" si="14"/>
        <v>67494114.37711072</v>
      </c>
      <c r="L63" s="5">
        <f t="shared" si="15"/>
        <v>71491719.728024155</v>
      </c>
      <c r="M63" s="5">
        <f t="shared" si="16"/>
        <v>127969.72993156496</v>
      </c>
      <c r="N63" s="5">
        <f t="shared" si="23"/>
        <v>12500</v>
      </c>
      <c r="O63" s="5">
        <f t="shared" si="17"/>
        <v>140469.72993156494</v>
      </c>
      <c r="P63" s="5">
        <f t="shared" si="18"/>
        <v>56187.891972625977</v>
      </c>
      <c r="Q63" s="18">
        <v>3.5000000000000003E-2</v>
      </c>
      <c r="R63" s="18">
        <v>0.2</v>
      </c>
      <c r="S63" s="5">
        <f t="shared" si="0"/>
        <v>41703.503174680758</v>
      </c>
      <c r="T63" s="5">
        <f t="shared" si="1"/>
        <v>254153.06363312583</v>
      </c>
      <c r="U63" s="5">
        <f t="shared" si="19"/>
        <v>4772.7433424109631</v>
      </c>
      <c r="V63" s="5">
        <f t="shared" si="20"/>
        <v>8250.5542042527995</v>
      </c>
      <c r="W63" s="5">
        <f t="shared" si="24"/>
        <v>267176.36117978959</v>
      </c>
      <c r="X63" s="5">
        <f t="shared" si="3"/>
        <v>42578.334784258208</v>
      </c>
      <c r="Y63" s="5">
        <f t="shared" si="4"/>
        <v>11496.150391749718</v>
      </c>
      <c r="Z63" s="5">
        <f t="shared" si="5"/>
        <v>31082.18439250849</v>
      </c>
      <c r="AA63" s="5">
        <f t="shared" si="6"/>
        <v>38375.286991426365</v>
      </c>
      <c r="AB63" s="5">
        <f t="shared" si="7"/>
        <v>-7293.1025989178743</v>
      </c>
      <c r="AC63" s="17">
        <f t="shared" si="8"/>
        <v>0.56686050424756362</v>
      </c>
      <c r="AD63" s="5">
        <f t="shared" si="9"/>
        <v>17619.262717853115</v>
      </c>
      <c r="AE63" s="5">
        <f t="shared" si="10"/>
        <v>151451.72682140471</v>
      </c>
      <c r="AF63" s="2">
        <f t="shared" si="21"/>
        <v>0.11633583246383283</v>
      </c>
      <c r="AG63" s="21"/>
    </row>
    <row r="64" spans="5:69" x14ac:dyDescent="0.3">
      <c r="E64" s="4">
        <v>60</v>
      </c>
      <c r="F64" s="4">
        <v>5</v>
      </c>
      <c r="G64" s="5">
        <f t="shared" si="22"/>
        <v>67494114.37711072</v>
      </c>
      <c r="H64" s="5">
        <f t="shared" si="11"/>
        <v>1552664.3504091445</v>
      </c>
      <c r="I64" s="5">
        <f t="shared" si="12"/>
        <v>787431.33439962519</v>
      </c>
      <c r="J64" s="5">
        <f t="shared" si="13"/>
        <v>765233.01600951934</v>
      </c>
      <c r="K64" s="5">
        <f t="shared" si="14"/>
        <v>66728881.361101203</v>
      </c>
      <c r="L64" s="5">
        <f t="shared" si="15"/>
        <v>70699389.871144399</v>
      </c>
      <c r="M64" s="5">
        <f t="shared" si="16"/>
        <v>126551.46445708272</v>
      </c>
      <c r="N64" s="5">
        <f t="shared" si="23"/>
        <v>12500</v>
      </c>
      <c r="O64" s="5">
        <f t="shared" si="17"/>
        <v>139051.46445708274</v>
      </c>
      <c r="P64" s="5">
        <f t="shared" si="18"/>
        <v>55620.585782833099</v>
      </c>
      <c r="Q64" s="18">
        <v>3.5000000000000003E-2</v>
      </c>
      <c r="R64" s="18">
        <v>0.2</v>
      </c>
      <c r="S64" s="5">
        <f t="shared" si="0"/>
        <v>41241.310758167572</v>
      </c>
      <c r="T64" s="5">
        <f t="shared" si="1"/>
        <v>251336.33099191834</v>
      </c>
      <c r="U64" s="5">
        <f t="shared" si="19"/>
        <v>4724.5549027777115</v>
      </c>
      <c r="V64" s="5">
        <f t="shared" si="20"/>
        <v>8167.2517292004404</v>
      </c>
      <c r="W64" s="5">
        <f t="shared" si="24"/>
        <v>264228.13762389647</v>
      </c>
      <c r="X64" s="5">
        <f t="shared" si="3"/>
        <v>42189.567916082058</v>
      </c>
      <c r="Y64" s="5">
        <f t="shared" si="4"/>
        <v>11391.183337342156</v>
      </c>
      <c r="Z64" s="5">
        <f t="shared" si="5"/>
        <v>30798.384578739904</v>
      </c>
      <c r="AA64" s="5">
        <f t="shared" si="6"/>
        <v>37951.825407577082</v>
      </c>
      <c r="AB64" s="5">
        <f t="shared" si="7"/>
        <v>-7153.4408288371778</v>
      </c>
      <c r="AC64" s="17">
        <f t="shared" si="8"/>
        <v>0.56143286190676533</v>
      </c>
      <c r="AD64" s="5">
        <f t="shared" si="9"/>
        <v>17291.22519614713</v>
      </c>
      <c r="AE64" s="5">
        <f t="shared" si="10"/>
        <v>148346.35950247885</v>
      </c>
      <c r="AF64" s="2">
        <f t="shared" si="21"/>
        <v>0.11655982158334122</v>
      </c>
      <c r="AG64" s="21"/>
    </row>
    <row r="65" spans="2:33" customFormat="1" x14ac:dyDescent="0.3">
      <c r="B65" s="1"/>
      <c r="C65" s="1"/>
      <c r="D65" s="1"/>
      <c r="E65" s="4">
        <v>61</v>
      </c>
      <c r="F65" s="4">
        <v>6</v>
      </c>
      <c r="G65" s="5">
        <f t="shared" si="22"/>
        <v>66728881.361101203</v>
      </c>
      <c r="H65" s="5">
        <f t="shared" si="11"/>
        <v>1552664.3504091445</v>
      </c>
      <c r="I65" s="5">
        <f t="shared" si="12"/>
        <v>778503.61587951414</v>
      </c>
      <c r="J65" s="5">
        <f t="shared" si="13"/>
        <v>774160.7345296304</v>
      </c>
      <c r="K65" s="5">
        <f t="shared" si="14"/>
        <v>65954720.626571573</v>
      </c>
      <c r="L65" s="5">
        <f t="shared" si="15"/>
        <v>69897816.165934384</v>
      </c>
      <c r="M65" s="5">
        <f t="shared" si="16"/>
        <v>125116.65255206486</v>
      </c>
      <c r="N65" s="5">
        <f t="shared" si="23"/>
        <v>12500</v>
      </c>
      <c r="O65" s="5">
        <f t="shared" si="17"/>
        <v>137616.65255206486</v>
      </c>
      <c r="P65" s="5">
        <f t="shared" si="18"/>
        <v>55046.661020825944</v>
      </c>
      <c r="Q65" s="18">
        <v>3.5000000000000003E-2</v>
      </c>
      <c r="R65" s="18">
        <v>0.2</v>
      </c>
      <c r="S65" s="5">
        <f t="shared" si="0"/>
        <v>40773.726096795057</v>
      </c>
      <c r="T65" s="5">
        <f t="shared" si="1"/>
        <v>248486.73646989671</v>
      </c>
      <c r="U65" s="5">
        <f t="shared" si="19"/>
        <v>4675.8042646820713</v>
      </c>
      <c r="V65" s="5">
        <f t="shared" si="20"/>
        <v>8082.9773919391346</v>
      </c>
      <c r="W65" s="5">
        <f t="shared" si="24"/>
        <v>261245.51812651794</v>
      </c>
      <c r="X65" s="5">
        <f t="shared" si="3"/>
        <v>41796.265434443863</v>
      </c>
      <c r="Y65" s="5">
        <f t="shared" si="4"/>
        <v>11284.991667299844</v>
      </c>
      <c r="Z65" s="5">
        <f t="shared" si="5"/>
        <v>30511.273767144019</v>
      </c>
      <c r="AA65" s="5">
        <f t="shared" si="6"/>
        <v>37523.423438582897</v>
      </c>
      <c r="AB65" s="5">
        <f t="shared" si="7"/>
        <v>-7012.1496714388777</v>
      </c>
      <c r="AC65" s="17">
        <f t="shared" si="8"/>
        <v>0.55605718879148003</v>
      </c>
      <c r="AD65" s="5">
        <f t="shared" si="9"/>
        <v>16966.013117405335</v>
      </c>
      <c r="AE65" s="5">
        <f t="shared" si="10"/>
        <v>145267.44839380521</v>
      </c>
      <c r="AF65" s="2">
        <f t="shared" si="21"/>
        <v>0.11679156827627485</v>
      </c>
      <c r="AG65" s="21"/>
    </row>
    <row r="66" spans="2:33" customFormat="1" x14ac:dyDescent="0.3">
      <c r="B66" s="1"/>
      <c r="C66" s="1"/>
      <c r="D66" s="1"/>
      <c r="E66" s="4">
        <v>62</v>
      </c>
      <c r="F66" s="4">
        <v>6</v>
      </c>
      <c r="G66" s="5">
        <f t="shared" si="22"/>
        <v>65954720.626571573</v>
      </c>
      <c r="H66" s="5">
        <f t="shared" si="11"/>
        <v>1552664.3504091445</v>
      </c>
      <c r="I66" s="5">
        <f t="shared" si="12"/>
        <v>769471.74064333504</v>
      </c>
      <c r="J66" s="5">
        <f t="shared" si="13"/>
        <v>783192.6097658095</v>
      </c>
      <c r="K66" s="5">
        <f t="shared" si="14"/>
        <v>65171528.016805768</v>
      </c>
      <c r="L66" s="5">
        <f t="shared" si="15"/>
        <v>69086890.767496929</v>
      </c>
      <c r="M66" s="5">
        <f t="shared" si="16"/>
        <v>123665.1011748218</v>
      </c>
      <c r="N66" s="5">
        <f t="shared" si="23"/>
        <v>12500</v>
      </c>
      <c r="O66" s="5">
        <f t="shared" si="17"/>
        <v>136165.10117482179</v>
      </c>
      <c r="P66" s="5">
        <f t="shared" si="18"/>
        <v>54466.040469928717</v>
      </c>
      <c r="Q66" s="18">
        <v>3.5000000000000003E-2</v>
      </c>
      <c r="R66" s="18">
        <v>0.2</v>
      </c>
      <c r="S66" s="5">
        <f t="shared" si="0"/>
        <v>40300.686281039874</v>
      </c>
      <c r="T66" s="5">
        <f t="shared" si="1"/>
        <v>245603.89667845157</v>
      </c>
      <c r="U66" s="5">
        <f t="shared" si="19"/>
        <v>4626.484869141982</v>
      </c>
      <c r="V66" s="5">
        <f t="shared" si="20"/>
        <v>7997.7198540764484</v>
      </c>
      <c r="W66" s="5">
        <f t="shared" si="24"/>
        <v>258228.10140166999</v>
      </c>
      <c r="X66" s="5">
        <f t="shared" si="3"/>
        <v>41398.374423853194</v>
      </c>
      <c r="Y66" s="5">
        <f t="shared" si="4"/>
        <v>11177.561094440363</v>
      </c>
      <c r="Z66" s="5">
        <f t="shared" si="5"/>
        <v>30220.813329412831</v>
      </c>
      <c r="AA66" s="5">
        <f t="shared" si="6"/>
        <v>37090.023446617102</v>
      </c>
      <c r="AB66" s="5">
        <f t="shared" si="7"/>
        <v>-6869.2101172042712</v>
      </c>
      <c r="AC66" s="17">
        <f t="shared" si="8"/>
        <v>0.55073298730068121</v>
      </c>
      <c r="AD66" s="5">
        <f t="shared" si="9"/>
        <v>16643.598803563775</v>
      </c>
      <c r="AE66" s="5">
        <f t="shared" si="10"/>
        <v>142214.73368992493</v>
      </c>
      <c r="AF66" s="2">
        <f t="shared" si="21"/>
        <v>0.11703146623227038</v>
      </c>
      <c r="AG66" s="21"/>
    </row>
    <row r="67" spans="2:33" customFormat="1" x14ac:dyDescent="0.3">
      <c r="B67" s="1"/>
      <c r="C67" s="1"/>
      <c r="D67" s="1"/>
      <c r="E67" s="4">
        <v>63</v>
      </c>
      <c r="F67" s="4">
        <v>6</v>
      </c>
      <c r="G67" s="5">
        <f t="shared" si="22"/>
        <v>65171528.016805768</v>
      </c>
      <c r="H67" s="5">
        <f t="shared" si="11"/>
        <v>1552664.3504091445</v>
      </c>
      <c r="I67" s="5">
        <f t="shared" si="12"/>
        <v>760334.49352940067</v>
      </c>
      <c r="J67" s="5">
        <f t="shared" si="13"/>
        <v>792329.85687974386</v>
      </c>
      <c r="K67" s="5">
        <f t="shared" si="14"/>
        <v>64379198.159926027</v>
      </c>
      <c r="L67" s="5">
        <f t="shared" si="15"/>
        <v>68266504.57274437</v>
      </c>
      <c r="M67" s="5">
        <f t="shared" si="16"/>
        <v>122196.61503151093</v>
      </c>
      <c r="N67" s="5">
        <f t="shared" si="23"/>
        <v>12500</v>
      </c>
      <c r="O67" s="5">
        <f t="shared" si="17"/>
        <v>134696.61503151094</v>
      </c>
      <c r="P67" s="5">
        <f t="shared" si="18"/>
        <v>53878.646012604382</v>
      </c>
      <c r="Q67" s="18">
        <v>3.5000000000000003E-2</v>
      </c>
      <c r="R67" s="18">
        <v>0.2</v>
      </c>
      <c r="S67" s="5">
        <f t="shared" si="0"/>
        <v>39822.127667434223</v>
      </c>
      <c r="T67" s="5">
        <f t="shared" si="1"/>
        <v>242687.4237561062</v>
      </c>
      <c r="U67" s="5">
        <f t="shared" si="19"/>
        <v>4576.5900806539275</v>
      </c>
      <c r="V67" s="5">
        <f t="shared" si="20"/>
        <v>7911.4676449387007</v>
      </c>
      <c r="W67" s="5">
        <f t="shared" si="24"/>
        <v>255175.48148169884</v>
      </c>
      <c r="X67" s="5">
        <f t="shared" si="3"/>
        <v>40995.841351472336</v>
      </c>
      <c r="Y67" s="5">
        <f t="shared" si="4"/>
        <v>11068.877164897531</v>
      </c>
      <c r="Z67" s="5">
        <f t="shared" si="5"/>
        <v>29926.964186574805</v>
      </c>
      <c r="AA67" s="5">
        <f t="shared" si="6"/>
        <v>36651.567121411717</v>
      </c>
      <c r="AB67" s="5">
        <f t="shared" si="7"/>
        <v>-6724.602934836912</v>
      </c>
      <c r="AC67" s="17">
        <f t="shared" si="8"/>
        <v>0.54545976459783097</v>
      </c>
      <c r="AD67" s="5">
        <f t="shared" si="9"/>
        <v>16323.954840336812</v>
      </c>
      <c r="AE67" s="5">
        <f t="shared" si="10"/>
        <v>139187.95806014561</v>
      </c>
      <c r="AF67" s="2">
        <f t="shared" si="21"/>
        <v>0.11727993619450139</v>
      </c>
      <c r="AG67" s="21"/>
    </row>
    <row r="68" spans="2:33" customFormat="1" x14ac:dyDescent="0.3">
      <c r="B68" s="1"/>
      <c r="C68" s="1"/>
      <c r="D68" s="1"/>
      <c r="E68" s="4">
        <v>64</v>
      </c>
      <c r="F68" s="4">
        <v>6</v>
      </c>
      <c r="G68" s="5">
        <f t="shared" si="22"/>
        <v>64379198.159926027</v>
      </c>
      <c r="H68" s="5">
        <f t="shared" si="11"/>
        <v>1552664.3504091445</v>
      </c>
      <c r="I68" s="5">
        <f t="shared" si="12"/>
        <v>751090.64519913716</v>
      </c>
      <c r="J68" s="5">
        <f t="shared" si="13"/>
        <v>801573.70521000738</v>
      </c>
      <c r="K68" s="5">
        <f t="shared" si="14"/>
        <v>63577624.454716019</v>
      </c>
      <c r="L68" s="5">
        <f t="shared" si="15"/>
        <v>67436547.205719709</v>
      </c>
      <c r="M68" s="5">
        <f t="shared" si="16"/>
        <v>120710.9965498614</v>
      </c>
      <c r="N68" s="5">
        <f t="shared" si="23"/>
        <v>12500</v>
      </c>
      <c r="O68" s="5">
        <f t="shared" si="17"/>
        <v>133210.99654986139</v>
      </c>
      <c r="P68" s="5">
        <f t="shared" si="18"/>
        <v>53284.398619944557</v>
      </c>
      <c r="Q68" s="18">
        <v>3.5000000000000003E-2</v>
      </c>
      <c r="R68" s="18">
        <v>0.2</v>
      </c>
      <c r="S68" s="5">
        <f t="shared" si="0"/>
        <v>39337.985870003169</v>
      </c>
      <c r="T68" s="5">
        <f t="shared" si="1"/>
        <v>239736.92531633354</v>
      </c>
      <c r="U68" s="5">
        <f t="shared" si="19"/>
        <v>4526.1131863001765</v>
      </c>
      <c r="V68" s="5">
        <f t="shared" si="20"/>
        <v>7824.2091600276744</v>
      </c>
      <c r="W68" s="5">
        <f t="shared" si="24"/>
        <v>252087.24766266139</v>
      </c>
      <c r="X68" s="5">
        <f t="shared" si="3"/>
        <v>40588.61205991367</v>
      </c>
      <c r="Y68" s="5">
        <f t="shared" si="4"/>
        <v>10958.925256176692</v>
      </c>
      <c r="Z68" s="5">
        <f t="shared" si="5"/>
        <v>29629.686803736979</v>
      </c>
      <c r="AA68" s="5">
        <f t="shared" si="6"/>
        <v>36207.995472412273</v>
      </c>
      <c r="AB68" s="5">
        <f t="shared" si="7"/>
        <v>-6578.308668675294</v>
      </c>
      <c r="AC68" s="17">
        <f t="shared" si="8"/>
        <v>0.5402370325652599</v>
      </c>
      <c r="AD68" s="5">
        <f t="shared" si="9"/>
        <v>16007.054074688906</v>
      </c>
      <c r="AE68" s="5">
        <f t="shared" si="10"/>
        <v>136186.86662481993</v>
      </c>
      <c r="AF68" s="2">
        <f t="shared" si="21"/>
        <v>0.11753742832476355</v>
      </c>
      <c r="AG68" s="21"/>
    </row>
    <row r="69" spans="2:33" customFormat="1" x14ac:dyDescent="0.3">
      <c r="B69" s="1"/>
      <c r="C69" s="1"/>
      <c r="D69" s="1"/>
      <c r="E69" s="4">
        <v>65</v>
      </c>
      <c r="F69" s="4">
        <v>6</v>
      </c>
      <c r="G69" s="5">
        <f t="shared" si="22"/>
        <v>63577624.454716019</v>
      </c>
      <c r="H69" s="5">
        <f t="shared" si="11"/>
        <v>1552664.3504091445</v>
      </c>
      <c r="I69" s="5">
        <f t="shared" si="12"/>
        <v>741738.95197168691</v>
      </c>
      <c r="J69" s="5">
        <f t="shared" si="13"/>
        <v>810925.39843745762</v>
      </c>
      <c r="K69" s="5">
        <f t="shared" si="14"/>
        <v>62766699.056278564</v>
      </c>
      <c r="L69" s="5">
        <f t="shared" si="15"/>
        <v>66596907.002746411</v>
      </c>
      <c r="M69" s="5">
        <f t="shared" si="16"/>
        <v>119208.04585259264</v>
      </c>
      <c r="N69" s="5">
        <f t="shared" si="23"/>
        <v>12500</v>
      </c>
      <c r="O69" s="5">
        <f t="shared" si="17"/>
        <v>131708.04585259262</v>
      </c>
      <c r="P69" s="5">
        <f t="shared" si="18"/>
        <v>52683.218341037049</v>
      </c>
      <c r="Q69" s="18">
        <v>3.5000000000000003E-2</v>
      </c>
      <c r="R69" s="18">
        <v>0.2</v>
      </c>
      <c r="S69" s="5">
        <f t="shared" ref="S69:S124" si="25">L69*(Q69/12)*R69</f>
        <v>38848.195751602078</v>
      </c>
      <c r="T69" s="5">
        <f t="shared" ref="T69:T124" si="26">L69*$C$22/12*$C$28</f>
        <v>236752.00439476347</v>
      </c>
      <c r="U69" s="5">
        <f t="shared" si="19"/>
        <v>4475.0473948456329</v>
      </c>
      <c r="V69" s="5">
        <f t="shared" si="20"/>
        <v>7735.9326594593549</v>
      </c>
      <c r="W69" s="5">
        <f t="shared" si="24"/>
        <v>248962.98444906846</v>
      </c>
      <c r="X69" s="5">
        <f t="shared" ref="X69:X124" si="27">O69-P69-S69</f>
        <v>40176.631759953496</v>
      </c>
      <c r="Y69" s="5">
        <f t="shared" ref="Y69:Y124" si="28">X69*$C$34</f>
        <v>10847.690575187444</v>
      </c>
      <c r="Z69" s="5">
        <f t="shared" ref="Z69:Z124" si="29">X69-Y69</f>
        <v>29328.941184766052</v>
      </c>
      <c r="AA69" s="5">
        <f t="shared" ref="AA69:AA124" si="30">W69*$C$36</f>
        <v>35759.24882084116</v>
      </c>
      <c r="AB69" s="5">
        <f t="shared" ref="AB69:AB124" si="31">Z69-AA69</f>
        <v>-6430.3076360751074</v>
      </c>
      <c r="AC69" s="17">
        <f t="shared" ref="AC69:AC124" si="32">(1+$C$37/12)^-E69</f>
        <v>0.53506430775898584</v>
      </c>
      <c r="AD69" s="5">
        <f t="shared" ref="AD69:AD124" si="33">Z69*AC69</f>
        <v>15692.869612330858</v>
      </c>
      <c r="AE69" s="5">
        <f t="shared" ref="AE69:AE124" si="34">W69*AC69</f>
        <v>133211.20693185198</v>
      </c>
      <c r="AF69" s="2">
        <f t="shared" si="21"/>
        <v>0.11780442482109629</v>
      </c>
      <c r="AG69" s="21"/>
    </row>
    <row r="70" spans="2:33" customFormat="1" x14ac:dyDescent="0.3">
      <c r="B70" s="1"/>
      <c r="C70" s="1"/>
      <c r="D70" s="1"/>
      <c r="E70" s="4">
        <v>66</v>
      </c>
      <c r="F70" s="4">
        <v>6</v>
      </c>
      <c r="G70" s="5">
        <f t="shared" si="22"/>
        <v>62766699.056278564</v>
      </c>
      <c r="H70" s="5">
        <f t="shared" ref="H70:H124" si="35">-PMT($C$11/12,$C$8,$C$7)</f>
        <v>1552664.3504091445</v>
      </c>
      <c r="I70" s="5">
        <f t="shared" ref="I70:I124" si="36">G70*$C$11/12</f>
        <v>732278.15565658326</v>
      </c>
      <c r="J70" s="5">
        <f t="shared" ref="J70:J124" si="37">H70-I70</f>
        <v>820386.19475256128</v>
      </c>
      <c r="K70" s="5">
        <f t="shared" ref="K70:K124" si="38">G70+I70-H70</f>
        <v>61946312.861526005</v>
      </c>
      <c r="L70" s="5">
        <f t="shared" ref="L70:L124" si="39">G70*(1+$C$11/12)^4</f>
        <v>65747470.997405097</v>
      </c>
      <c r="M70" s="5">
        <f t="shared" ref="M70:M124" si="40">G70*($C$11-$C$10)/12</f>
        <v>117687.56073052243</v>
      </c>
      <c r="N70" s="5">
        <f t="shared" ref="N70:N124" si="41">$C$14</f>
        <v>12500</v>
      </c>
      <c r="O70" s="5">
        <f t="shared" ref="O70:O124" si="42">M70+N70</f>
        <v>130187.56073052243</v>
      </c>
      <c r="P70" s="5">
        <f t="shared" ref="P70:P124" si="43">O70*$C$18</f>
        <v>52075.024292208975</v>
      </c>
      <c r="Q70" s="18">
        <v>3.5000000000000003E-2</v>
      </c>
      <c r="R70" s="18">
        <v>0.2</v>
      </c>
      <c r="S70" s="5">
        <f t="shared" si="25"/>
        <v>38352.691415152971</v>
      </c>
      <c r="T70" s="5">
        <f t="shared" si="26"/>
        <v>233732.25939577509</v>
      </c>
      <c r="U70" s="5">
        <f t="shared" ref="U70:U124" si="44">O70*$C$23</f>
        <v>4423.3858358241205</v>
      </c>
      <c r="V70" s="5">
        <f t="shared" ref="V70:V124" si="45">O70*$C$24</f>
        <v>7646.6262663844072</v>
      </c>
      <c r="W70" s="5">
        <f t="shared" si="24"/>
        <v>245802.27149798363</v>
      </c>
      <c r="X70" s="5">
        <f t="shared" si="27"/>
        <v>39759.845023160487</v>
      </c>
      <c r="Y70" s="5">
        <f t="shared" si="28"/>
        <v>10735.158156253332</v>
      </c>
      <c r="Z70" s="5">
        <f t="shared" si="29"/>
        <v>29024.686866907155</v>
      </c>
      <c r="AA70" s="5">
        <f t="shared" si="30"/>
        <v>35305.266791668386</v>
      </c>
      <c r="AB70" s="5">
        <f t="shared" si="31"/>
        <v>-6280.5799247612304</v>
      </c>
      <c r="AC70" s="17">
        <f t="shared" si="32"/>
        <v>0.52994111136396194</v>
      </c>
      <c r="AD70" s="5">
        <f t="shared" si="33"/>
        <v>15381.374815239767</v>
      </c>
      <c r="AE70" s="5">
        <f t="shared" si="34"/>
        <v>130260.72893342774</v>
      </c>
      <c r="AF70" s="2">
        <f t="shared" ref="AF70:AF124" si="46">AD70/AE70</f>
        <v>0.11808144281996699</v>
      </c>
      <c r="AG70" s="21"/>
    </row>
    <row r="71" spans="2:33" customFormat="1" x14ac:dyDescent="0.3">
      <c r="B71" s="1"/>
      <c r="C71" s="1"/>
      <c r="D71" s="1"/>
      <c r="E71" s="4">
        <v>67</v>
      </c>
      <c r="F71" s="4">
        <v>6</v>
      </c>
      <c r="G71" s="5">
        <f t="shared" ref="G71:G124" si="47">K70</f>
        <v>61946312.861526005</v>
      </c>
      <c r="H71" s="5">
        <f t="shared" si="35"/>
        <v>1552664.3504091445</v>
      </c>
      <c r="I71" s="5">
        <f t="shared" si="36"/>
        <v>722706.98338447011</v>
      </c>
      <c r="J71" s="5">
        <f t="shared" si="37"/>
        <v>829957.36702467443</v>
      </c>
      <c r="K71" s="5">
        <f t="shared" si="38"/>
        <v>61116355.49450133</v>
      </c>
      <c r="L71" s="5">
        <f t="shared" si="39"/>
        <v>64888124.905334793</v>
      </c>
      <c r="M71" s="5">
        <f t="shared" si="40"/>
        <v>116149.33661536138</v>
      </c>
      <c r="N71" s="5">
        <f t="shared" si="41"/>
        <v>12500</v>
      </c>
      <c r="O71" s="5">
        <f t="shared" si="42"/>
        <v>128649.33661536138</v>
      </c>
      <c r="P71" s="5">
        <f t="shared" si="43"/>
        <v>51459.734646144556</v>
      </c>
      <c r="Q71" s="18">
        <v>3.5000000000000003E-2</v>
      </c>
      <c r="R71" s="18">
        <v>0.2</v>
      </c>
      <c r="S71" s="5">
        <f t="shared" si="25"/>
        <v>37851.406194778632</v>
      </c>
      <c r="T71" s="5">
        <f t="shared" si="26"/>
        <v>230677.28403846515</v>
      </c>
      <c r="U71" s="5">
        <f t="shared" si="44"/>
        <v>4371.1215586140224</v>
      </c>
      <c r="V71" s="5">
        <f t="shared" si="45"/>
        <v>7556.2779653902498</v>
      </c>
      <c r="W71" s="5">
        <f t="shared" si="24"/>
        <v>242604.68356246941</v>
      </c>
      <c r="X71" s="5">
        <f t="shared" si="27"/>
        <v>39338.195774438187</v>
      </c>
      <c r="Y71" s="5">
        <f t="shared" si="28"/>
        <v>10621.312859098311</v>
      </c>
      <c r="Z71" s="5">
        <f t="shared" si="29"/>
        <v>28716.882915339876</v>
      </c>
      <c r="AA71" s="5">
        <f t="shared" si="30"/>
        <v>34845.988305488587</v>
      </c>
      <c r="AB71" s="5">
        <f t="shared" si="31"/>
        <v>-6129.1053901487103</v>
      </c>
      <c r="AC71" s="17">
        <f t="shared" si="32"/>
        <v>0.52486696914975584</v>
      </c>
      <c r="AD71" s="5">
        <f t="shared" si="33"/>
        <v>15072.543299202845</v>
      </c>
      <c r="AE71" s="5">
        <f t="shared" si="34"/>
        <v>127335.18496296891</v>
      </c>
      <c r="AF71" s="2">
        <f t="shared" si="46"/>
        <v>0.11836903761977634</v>
      </c>
      <c r="AG71" s="21"/>
    </row>
    <row r="72" spans="2:33" customFormat="1" x14ac:dyDescent="0.3">
      <c r="B72" s="1"/>
      <c r="C72" s="1"/>
      <c r="D72" s="1"/>
      <c r="E72" s="4">
        <v>68</v>
      </c>
      <c r="F72" s="4">
        <v>6</v>
      </c>
      <c r="G72" s="5">
        <f t="shared" si="47"/>
        <v>61116355.49450133</v>
      </c>
      <c r="H72" s="5">
        <f t="shared" si="35"/>
        <v>1552664.3504091445</v>
      </c>
      <c r="I72" s="5">
        <f t="shared" si="36"/>
        <v>713024.14743584895</v>
      </c>
      <c r="J72" s="5">
        <f t="shared" si="37"/>
        <v>839640.20297329559</v>
      </c>
      <c r="K72" s="5">
        <f t="shared" si="38"/>
        <v>60276715.291528039</v>
      </c>
      <c r="L72" s="5">
        <f t="shared" si="39"/>
        <v>64018753.108857006</v>
      </c>
      <c r="M72" s="5">
        <f t="shared" si="40"/>
        <v>114593.16655219009</v>
      </c>
      <c r="N72" s="5">
        <f t="shared" si="41"/>
        <v>12500</v>
      </c>
      <c r="O72" s="5">
        <f t="shared" si="42"/>
        <v>127093.16655219009</v>
      </c>
      <c r="P72" s="5">
        <f t="shared" si="43"/>
        <v>50837.266620876035</v>
      </c>
      <c r="Q72" s="18">
        <v>3.5000000000000003E-2</v>
      </c>
      <c r="R72" s="18">
        <v>0.2</v>
      </c>
      <c r="S72" s="5">
        <f t="shared" si="25"/>
        <v>37344.272646833262</v>
      </c>
      <c r="T72" s="5">
        <f t="shared" si="26"/>
        <v>227586.66730198666</v>
      </c>
      <c r="U72" s="5">
        <f t="shared" si="44"/>
        <v>4318.2475315031388</v>
      </c>
      <c r="V72" s="5">
        <f t="shared" si="45"/>
        <v>7464.8756008844921</v>
      </c>
      <c r="W72" s="5">
        <f t="shared" si="24"/>
        <v>239369.7904343743</v>
      </c>
      <c r="X72" s="5">
        <f t="shared" si="27"/>
        <v>38911.62728448079</v>
      </c>
      <c r="Y72" s="5">
        <f t="shared" si="28"/>
        <v>10506.139366809814</v>
      </c>
      <c r="Z72" s="5">
        <f t="shared" si="29"/>
        <v>28405.487917670976</v>
      </c>
      <c r="AA72" s="5">
        <f t="shared" si="30"/>
        <v>34381.35157030337</v>
      </c>
      <c r="AB72" s="5">
        <f t="shared" si="31"/>
        <v>-5975.8636526323935</v>
      </c>
      <c r="AC72" s="17">
        <f t="shared" si="32"/>
        <v>0.51984141142665241</v>
      </c>
      <c r="AD72" s="5">
        <f t="shared" si="33"/>
        <v>14766.348931384802</v>
      </c>
      <c r="AE72" s="5">
        <f t="shared" si="34"/>
        <v>124434.32971230714</v>
      </c>
      <c r="AF72" s="2">
        <f t="shared" si="46"/>
        <v>0.11866780626797029</v>
      </c>
      <c r="AG72" s="21"/>
    </row>
    <row r="73" spans="2:33" customFormat="1" x14ac:dyDescent="0.3">
      <c r="B73" s="1"/>
      <c r="C73" s="1"/>
      <c r="D73" s="1"/>
      <c r="E73" s="4">
        <v>69</v>
      </c>
      <c r="F73" s="4">
        <v>6</v>
      </c>
      <c r="G73" s="5">
        <f t="shared" si="47"/>
        <v>60276715.291528039</v>
      </c>
      <c r="H73" s="5">
        <f t="shared" si="35"/>
        <v>1552664.3504091445</v>
      </c>
      <c r="I73" s="5">
        <f t="shared" si="36"/>
        <v>703228.34506782715</v>
      </c>
      <c r="J73" s="5">
        <f t="shared" si="37"/>
        <v>849436.00534131739</v>
      </c>
      <c r="K73" s="5">
        <f t="shared" si="38"/>
        <v>59427279.286186725</v>
      </c>
      <c r="L73" s="5">
        <f t="shared" si="39"/>
        <v>63139238.64142032</v>
      </c>
      <c r="M73" s="5">
        <f t="shared" si="40"/>
        <v>113018.84117161517</v>
      </c>
      <c r="N73" s="5">
        <f t="shared" si="41"/>
        <v>12500</v>
      </c>
      <c r="O73" s="5">
        <f t="shared" si="42"/>
        <v>125518.84117161517</v>
      </c>
      <c r="P73" s="5">
        <f t="shared" si="43"/>
        <v>50207.536468646074</v>
      </c>
      <c r="Q73" s="18">
        <v>3.5000000000000003E-2</v>
      </c>
      <c r="R73" s="18">
        <v>0.2</v>
      </c>
      <c r="S73" s="5">
        <f t="shared" si="25"/>
        <v>36831.222540828523</v>
      </c>
      <c r="T73" s="5">
        <f t="shared" si="26"/>
        <v>224459.99337024923</v>
      </c>
      <c r="U73" s="5">
        <f t="shared" si="44"/>
        <v>4264.7566407426302</v>
      </c>
      <c r="V73" s="5">
        <f t="shared" si="45"/>
        <v>7372.4068754595028</v>
      </c>
      <c r="W73" s="5">
        <f t="shared" si="24"/>
        <v>236097.15688645135</v>
      </c>
      <c r="X73" s="5">
        <f t="shared" si="27"/>
        <v>38480.08216214057</v>
      </c>
      <c r="Y73" s="5">
        <f t="shared" si="28"/>
        <v>10389.622183777954</v>
      </c>
      <c r="Z73" s="5">
        <f t="shared" si="29"/>
        <v>28090.459978362618</v>
      </c>
      <c r="AA73" s="5">
        <f t="shared" si="30"/>
        <v>33911.29407320766</v>
      </c>
      <c r="AB73" s="5">
        <f t="shared" si="31"/>
        <v>-5820.8340948450423</v>
      </c>
      <c r="AC73" s="17">
        <f t="shared" si="32"/>
        <v>0.51486397300217634</v>
      </c>
      <c r="AD73" s="5">
        <f t="shared" si="33"/>
        <v>14462.765827918407</v>
      </c>
      <c r="AE73" s="5">
        <f t="shared" si="34"/>
        <v>121557.92020907649</v>
      </c>
      <c r="AF73" s="2">
        <f t="shared" si="46"/>
        <v>0.11897839156052377</v>
      </c>
      <c r="AG73" s="21"/>
    </row>
    <row r="74" spans="2:33" customFormat="1" x14ac:dyDescent="0.3">
      <c r="B74" s="1"/>
      <c r="C74" s="1"/>
      <c r="D74" s="1"/>
      <c r="E74" s="4">
        <v>70</v>
      </c>
      <c r="F74" s="4">
        <v>6</v>
      </c>
      <c r="G74" s="5">
        <f t="shared" si="47"/>
        <v>59427279.286186725</v>
      </c>
      <c r="H74" s="5">
        <f t="shared" si="35"/>
        <v>1552664.3504091445</v>
      </c>
      <c r="I74" s="5">
        <f t="shared" si="36"/>
        <v>693318.25833884522</v>
      </c>
      <c r="J74" s="5">
        <f t="shared" si="37"/>
        <v>859346.09207029932</v>
      </c>
      <c r="K74" s="5">
        <f t="shared" si="38"/>
        <v>58567933.194116428</v>
      </c>
      <c r="L74" s="5">
        <f t="shared" si="39"/>
        <v>62249463.171863534</v>
      </c>
      <c r="M74" s="5">
        <f t="shared" si="40"/>
        <v>111426.14866160021</v>
      </c>
      <c r="N74" s="5">
        <f t="shared" si="41"/>
        <v>12500</v>
      </c>
      <c r="O74" s="5">
        <f t="shared" si="42"/>
        <v>123926.14866160021</v>
      </c>
      <c r="P74" s="5">
        <f t="shared" si="43"/>
        <v>49570.459464640087</v>
      </c>
      <c r="Q74" s="18">
        <v>3.5000000000000003E-2</v>
      </c>
      <c r="R74" s="18">
        <v>0.2</v>
      </c>
      <c r="S74" s="5">
        <f t="shared" si="25"/>
        <v>36312.186850253733</v>
      </c>
      <c r="T74" s="5">
        <f t="shared" si="26"/>
        <v>221296.84157597486</v>
      </c>
      <c r="U74" s="5">
        <f t="shared" si="44"/>
        <v>4210.6416895899147</v>
      </c>
      <c r="V74" s="5">
        <f t="shared" si="45"/>
        <v>7278.8593482378883</v>
      </c>
      <c r="W74" s="5">
        <f t="shared" si="24"/>
        <v>232786.34261380267</v>
      </c>
      <c r="X74" s="5">
        <f t="shared" si="27"/>
        <v>38043.502346706395</v>
      </c>
      <c r="Y74" s="5">
        <f t="shared" si="28"/>
        <v>10271.745633610728</v>
      </c>
      <c r="Z74" s="5">
        <f t="shared" si="29"/>
        <v>27771.756713095667</v>
      </c>
      <c r="AA74" s="5">
        <f t="shared" si="30"/>
        <v>33435.752571979159</v>
      </c>
      <c r="AB74" s="5">
        <f t="shared" si="31"/>
        <v>-5663.9958588834925</v>
      </c>
      <c r="AC74" s="17">
        <f t="shared" si="32"/>
        <v>0.50993419313803234</v>
      </c>
      <c r="AD74" s="5">
        <f t="shared" si="33"/>
        <v>14161.768351518172</v>
      </c>
      <c r="AE74" s="5">
        <f t="shared" si="34"/>
        <v>118705.71579432301</v>
      </c>
      <c r="AF74" s="2">
        <f t="shared" si="46"/>
        <v>0.11930148651018409</v>
      </c>
      <c r="AG74" s="21"/>
    </row>
    <row r="75" spans="2:33" customFormat="1" x14ac:dyDescent="0.3">
      <c r="B75" s="1"/>
      <c r="C75" s="1"/>
      <c r="D75" s="1"/>
      <c r="E75" s="4">
        <v>71</v>
      </c>
      <c r="F75" s="4">
        <v>6</v>
      </c>
      <c r="G75" s="5">
        <f t="shared" si="47"/>
        <v>58567933.194116428</v>
      </c>
      <c r="H75" s="5">
        <f t="shared" si="35"/>
        <v>1552664.3504091445</v>
      </c>
      <c r="I75" s="5">
        <f t="shared" si="36"/>
        <v>683292.55393135839</v>
      </c>
      <c r="J75" s="5">
        <f t="shared" si="37"/>
        <v>869371.79647778615</v>
      </c>
      <c r="K75" s="5">
        <f t="shared" si="38"/>
        <v>57698561.397638641</v>
      </c>
      <c r="L75" s="5">
        <f t="shared" si="39"/>
        <v>61349306.988495253</v>
      </c>
      <c r="M75" s="5">
        <f t="shared" si="40"/>
        <v>109814.8747389684</v>
      </c>
      <c r="N75" s="5">
        <f t="shared" si="41"/>
        <v>12500</v>
      </c>
      <c r="O75" s="5">
        <f t="shared" si="42"/>
        <v>122314.8747389684</v>
      </c>
      <c r="P75" s="5">
        <f t="shared" si="43"/>
        <v>48925.949895587364</v>
      </c>
      <c r="Q75" s="18">
        <v>3.5000000000000003E-2</v>
      </c>
      <c r="R75" s="18">
        <v>0.2</v>
      </c>
      <c r="S75" s="5">
        <f t="shared" si="25"/>
        <v>35787.095743288897</v>
      </c>
      <c r="T75" s="5">
        <f t="shared" si="26"/>
        <v>218096.7863441006</v>
      </c>
      <c r="U75" s="5">
        <f t="shared" si="44"/>
        <v>4155.8953973404177</v>
      </c>
      <c r="V75" s="5">
        <f t="shared" si="45"/>
        <v>7184.2204331986886</v>
      </c>
      <c r="W75" s="5">
        <f t="shared" si="24"/>
        <v>229436.90217463972</v>
      </c>
      <c r="X75" s="5">
        <f t="shared" si="27"/>
        <v>37601.829100092145</v>
      </c>
      <c r="Y75" s="5">
        <f t="shared" si="28"/>
        <v>10152.49385702488</v>
      </c>
      <c r="Z75" s="5">
        <f t="shared" si="29"/>
        <v>27449.335243067268</v>
      </c>
      <c r="AA75" s="5">
        <f t="shared" si="30"/>
        <v>32954.663086569664</v>
      </c>
      <c r="AB75" s="5">
        <f t="shared" si="31"/>
        <v>-5505.3278435023967</v>
      </c>
      <c r="AC75" s="17">
        <f t="shared" si="32"/>
        <v>0.50505161550745536</v>
      </c>
      <c r="AD75" s="5">
        <f t="shared" si="33"/>
        <v>13863.331109116854</v>
      </c>
      <c r="AE75" s="5">
        <f t="shared" si="34"/>
        <v>115877.47810032779</v>
      </c>
      <c r="AF75" s="2">
        <f t="shared" si="46"/>
        <v>0.1196378393488496</v>
      </c>
      <c r="AG75" s="21"/>
    </row>
    <row r="76" spans="2:33" customFormat="1" x14ac:dyDescent="0.3">
      <c r="B76" s="1"/>
      <c r="C76" s="1"/>
      <c r="D76" s="1"/>
      <c r="E76" s="4">
        <v>72</v>
      </c>
      <c r="F76" s="4">
        <v>6</v>
      </c>
      <c r="G76" s="5">
        <f t="shared" si="47"/>
        <v>57698561.397638641</v>
      </c>
      <c r="H76" s="5">
        <f t="shared" si="35"/>
        <v>1552664.3504091445</v>
      </c>
      <c r="I76" s="5">
        <f t="shared" si="36"/>
        <v>673149.88297245081</v>
      </c>
      <c r="J76" s="5">
        <f t="shared" si="37"/>
        <v>879514.46743669373</v>
      </c>
      <c r="K76" s="5">
        <f t="shared" si="38"/>
        <v>56819046.930201948</v>
      </c>
      <c r="L76" s="5">
        <f t="shared" si="39"/>
        <v>60438648.982987672</v>
      </c>
      <c r="M76" s="5">
        <f t="shared" si="40"/>
        <v>108184.80262057255</v>
      </c>
      <c r="N76" s="5">
        <f t="shared" si="41"/>
        <v>12500</v>
      </c>
      <c r="O76" s="5">
        <f t="shared" si="42"/>
        <v>120684.80262057255</v>
      </c>
      <c r="P76" s="5">
        <f t="shared" si="43"/>
        <v>48273.921048229022</v>
      </c>
      <c r="Q76" s="18">
        <v>3.5000000000000003E-2</v>
      </c>
      <c r="R76" s="18">
        <v>0.2</v>
      </c>
      <c r="S76" s="5">
        <f t="shared" si="25"/>
        <v>35255.878573409478</v>
      </c>
      <c r="T76" s="5">
        <f t="shared" si="26"/>
        <v>214859.39713452116</v>
      </c>
      <c r="U76" s="5">
        <f t="shared" si="44"/>
        <v>4100.5103983480103</v>
      </c>
      <c r="V76" s="5">
        <f t="shared" si="45"/>
        <v>7088.4773974840309</v>
      </c>
      <c r="W76" s="5">
        <f t="shared" si="24"/>
        <v>226048.3849303532</v>
      </c>
      <c r="X76" s="5">
        <f t="shared" si="27"/>
        <v>37155.002998934047</v>
      </c>
      <c r="Y76" s="5">
        <f t="shared" si="28"/>
        <v>10031.850809712194</v>
      </c>
      <c r="Z76" s="5">
        <f t="shared" si="29"/>
        <v>27123.152189221852</v>
      </c>
      <c r="AA76" s="5">
        <f t="shared" si="30"/>
        <v>32467.960890497056</v>
      </c>
      <c r="AB76" s="5">
        <f t="shared" si="31"/>
        <v>-5344.8087012752039</v>
      </c>
      <c r="AC76" s="17">
        <f t="shared" si="32"/>
        <v>0.50021578815297152</v>
      </c>
      <c r="AD76" s="5">
        <f t="shared" si="33"/>
        <v>13567.428949524603</v>
      </c>
      <c r="AE76" s="5">
        <f t="shared" si="34"/>
        <v>113072.97102864292</v>
      </c>
      <c r="AF76" s="2">
        <f t="shared" si="46"/>
        <v>0.11998825914008918</v>
      </c>
      <c r="AG76" s="21"/>
    </row>
    <row r="77" spans="2:33" customFormat="1" x14ac:dyDescent="0.3">
      <c r="B77" s="1"/>
      <c r="C77" s="1"/>
      <c r="D77" s="1"/>
      <c r="E77" s="4">
        <v>73</v>
      </c>
      <c r="F77" s="4">
        <v>7</v>
      </c>
      <c r="G77" s="5">
        <f t="shared" si="47"/>
        <v>56819046.930201948</v>
      </c>
      <c r="H77" s="5">
        <f t="shared" si="35"/>
        <v>1552664.3504091445</v>
      </c>
      <c r="I77" s="5">
        <f t="shared" si="36"/>
        <v>662888.88085235609</v>
      </c>
      <c r="J77" s="5">
        <f t="shared" si="37"/>
        <v>889775.46955678845</v>
      </c>
      <c r="K77" s="5">
        <f t="shared" si="38"/>
        <v>55929271.460645162</v>
      </c>
      <c r="L77" s="5">
        <f t="shared" si="39"/>
        <v>59517366.634082504</v>
      </c>
      <c r="M77" s="5">
        <f t="shared" si="40"/>
        <v>106535.71299412874</v>
      </c>
      <c r="N77" s="5">
        <f t="shared" si="41"/>
        <v>12500</v>
      </c>
      <c r="O77" s="5">
        <f t="shared" si="42"/>
        <v>119035.71299412874</v>
      </c>
      <c r="P77" s="5">
        <f t="shared" si="43"/>
        <v>47614.285197651501</v>
      </c>
      <c r="Q77" s="18">
        <v>3.5000000000000003E-2</v>
      </c>
      <c r="R77" s="18">
        <v>0.2</v>
      </c>
      <c r="S77" s="5">
        <f t="shared" si="25"/>
        <v>34718.46386988146</v>
      </c>
      <c r="T77" s="5">
        <f t="shared" si="26"/>
        <v>211584.2383841633</v>
      </c>
      <c r="U77" s="5">
        <f t="shared" si="44"/>
        <v>4044.4792410340237</v>
      </c>
      <c r="V77" s="5">
        <f t="shared" si="45"/>
        <v>6991.6173596860344</v>
      </c>
      <c r="W77" s="5">
        <f t="shared" si="24"/>
        <v>222620.33498488335</v>
      </c>
      <c r="X77" s="5">
        <f t="shared" si="27"/>
        <v>36702.963926595789</v>
      </c>
      <c r="Y77" s="5">
        <f t="shared" si="28"/>
        <v>9909.8002601808639</v>
      </c>
      <c r="Z77" s="5">
        <f t="shared" si="29"/>
        <v>26793.163666414926</v>
      </c>
      <c r="AA77" s="5">
        <f t="shared" si="30"/>
        <v>31975.580502136931</v>
      </c>
      <c r="AB77" s="5">
        <f t="shared" si="31"/>
        <v>-5182.4168357220042</v>
      </c>
      <c r="AC77" s="17">
        <f t="shared" si="32"/>
        <v>0.4954262634445627</v>
      </c>
      <c r="AD77" s="5">
        <f t="shared" si="33"/>
        <v>13274.036961110567</v>
      </c>
      <c r="AE77" s="5">
        <f t="shared" si="34"/>
        <v>110291.96072833761</v>
      </c>
      <c r="AF77" s="2">
        <f t="shared" si="46"/>
        <v>0.12035362209042706</v>
      </c>
      <c r="AG77" s="21"/>
    </row>
    <row r="78" spans="2:33" customFormat="1" x14ac:dyDescent="0.3">
      <c r="B78" s="1"/>
      <c r="C78" s="1"/>
      <c r="D78" s="1"/>
      <c r="E78" s="4">
        <v>74</v>
      </c>
      <c r="F78" s="4">
        <v>7</v>
      </c>
      <c r="G78" s="5">
        <f t="shared" si="47"/>
        <v>55929271.460645162</v>
      </c>
      <c r="H78" s="5">
        <f t="shared" si="35"/>
        <v>1552664.3504091445</v>
      </c>
      <c r="I78" s="5">
        <f t="shared" si="36"/>
        <v>652508.16704086028</v>
      </c>
      <c r="J78" s="5">
        <f t="shared" si="37"/>
        <v>900156.18336828426</v>
      </c>
      <c r="K78" s="5">
        <f t="shared" si="38"/>
        <v>55029115.277276881</v>
      </c>
      <c r="L78" s="5">
        <f t="shared" si="39"/>
        <v>58585335.991106771</v>
      </c>
      <c r="M78" s="5">
        <f t="shared" si="40"/>
        <v>104867.38398870977</v>
      </c>
      <c r="N78" s="5">
        <f t="shared" si="41"/>
        <v>12500</v>
      </c>
      <c r="O78" s="5">
        <f t="shared" si="42"/>
        <v>117367.38398870977</v>
      </c>
      <c r="P78" s="5">
        <f t="shared" si="43"/>
        <v>46946.953595483908</v>
      </c>
      <c r="Q78" s="18">
        <v>3.5000000000000003E-2</v>
      </c>
      <c r="R78" s="18">
        <v>0.2</v>
      </c>
      <c r="S78" s="5">
        <f t="shared" si="25"/>
        <v>34174.779328145618</v>
      </c>
      <c r="T78" s="5">
        <f t="shared" si="26"/>
        <v>208270.86944838456</v>
      </c>
      <c r="U78" s="5">
        <f t="shared" si="44"/>
        <v>3987.7943868847083</v>
      </c>
      <c r="V78" s="5">
        <f t="shared" si="45"/>
        <v>6893.6272881137302</v>
      </c>
      <c r="W78" s="5">
        <f t="shared" si="24"/>
        <v>219152.29112338301</v>
      </c>
      <c r="X78" s="5">
        <f t="shared" si="27"/>
        <v>36245.651065080245</v>
      </c>
      <c r="Y78" s="5">
        <f t="shared" si="28"/>
        <v>9786.3257875716663</v>
      </c>
      <c r="Z78" s="5">
        <f t="shared" si="29"/>
        <v>26459.325277508578</v>
      </c>
      <c r="AA78" s="5">
        <f t="shared" si="30"/>
        <v>31477.455675912606</v>
      </c>
      <c r="AB78" s="5">
        <f t="shared" si="31"/>
        <v>-5018.1303984040278</v>
      </c>
      <c r="AC78" s="17">
        <f t="shared" si="32"/>
        <v>0.49068259803823056</v>
      </c>
      <c r="AD78" s="5">
        <f t="shared" si="33"/>
        <v>12983.130469506536</v>
      </c>
      <c r="AE78" s="5">
        <f t="shared" si="34"/>
        <v>107534.21557445223</v>
      </c>
      <c r="AF78" s="2">
        <f t="shared" si="46"/>
        <v>0.12073487866303868</v>
      </c>
      <c r="AG78" s="21"/>
    </row>
    <row r="79" spans="2:33" customFormat="1" x14ac:dyDescent="0.3">
      <c r="B79" s="1"/>
      <c r="C79" s="1"/>
      <c r="D79" s="1"/>
      <c r="E79" s="4">
        <v>75</v>
      </c>
      <c r="F79" s="4">
        <v>7</v>
      </c>
      <c r="G79" s="5">
        <f t="shared" si="47"/>
        <v>55029115.277276881</v>
      </c>
      <c r="H79" s="5">
        <f t="shared" si="35"/>
        <v>1552664.3504091445</v>
      </c>
      <c r="I79" s="5">
        <f t="shared" si="36"/>
        <v>642006.34490156372</v>
      </c>
      <c r="J79" s="5">
        <f t="shared" si="37"/>
        <v>910658.00550758082</v>
      </c>
      <c r="K79" s="5">
        <f t="shared" si="38"/>
        <v>54118457.2717693</v>
      </c>
      <c r="L79" s="5">
        <f t="shared" si="39"/>
        <v>57642431.65729633</v>
      </c>
      <c r="M79" s="5">
        <f t="shared" si="40"/>
        <v>103179.59114489425</v>
      </c>
      <c r="N79" s="5">
        <f t="shared" si="41"/>
        <v>12500</v>
      </c>
      <c r="O79" s="5">
        <f t="shared" si="42"/>
        <v>115679.59114489425</v>
      </c>
      <c r="P79" s="5">
        <f t="shared" si="43"/>
        <v>46271.836457957703</v>
      </c>
      <c r="Q79" s="18">
        <v>3.5000000000000003E-2</v>
      </c>
      <c r="R79" s="18">
        <v>0.2</v>
      </c>
      <c r="S79" s="5">
        <f t="shared" si="25"/>
        <v>33624.751800089529</v>
      </c>
      <c r="T79" s="5">
        <f t="shared" si="26"/>
        <v>204918.84454168842</v>
      </c>
      <c r="U79" s="5">
        <f t="shared" si="44"/>
        <v>3930.4482094369841</v>
      </c>
      <c r="V79" s="5">
        <f t="shared" si="45"/>
        <v>6794.4939990397488</v>
      </c>
      <c r="W79" s="5">
        <f t="shared" si="24"/>
        <v>215643.78675016516</v>
      </c>
      <c r="X79" s="5">
        <f t="shared" si="27"/>
        <v>35783.002886847018</v>
      </c>
      <c r="Y79" s="5">
        <f t="shared" si="28"/>
        <v>9661.4107794486954</v>
      </c>
      <c r="Z79" s="5">
        <f t="shared" si="29"/>
        <v>26121.592107398323</v>
      </c>
      <c r="AA79" s="5">
        <f t="shared" si="30"/>
        <v>30973.519393382332</v>
      </c>
      <c r="AB79" s="5">
        <f t="shared" si="31"/>
        <v>-4851.9272859840094</v>
      </c>
      <c r="AC79" s="17">
        <f t="shared" si="32"/>
        <v>0.485984352834959</v>
      </c>
      <c r="AD79" s="5">
        <f t="shared" si="33"/>
        <v>12694.685035332746</v>
      </c>
      <c r="AE79" s="5">
        <f t="shared" si="34"/>
        <v>104799.50614665892</v>
      </c>
      <c r="AF79" s="2">
        <f t="shared" si="46"/>
        <v>0.12113306161545744</v>
      </c>
      <c r="AG79" s="21"/>
    </row>
    <row r="80" spans="2:33" customFormat="1" x14ac:dyDescent="0.3">
      <c r="B80" s="1"/>
      <c r="C80" s="1"/>
      <c r="D80" s="1"/>
      <c r="E80" s="4">
        <v>76</v>
      </c>
      <c r="F80" s="4">
        <v>7</v>
      </c>
      <c r="G80" s="5">
        <f t="shared" si="47"/>
        <v>54118457.2717693</v>
      </c>
      <c r="H80" s="5">
        <f t="shared" si="35"/>
        <v>1552664.3504091445</v>
      </c>
      <c r="I80" s="5">
        <f t="shared" si="36"/>
        <v>631382.00150397525</v>
      </c>
      <c r="J80" s="5">
        <f t="shared" si="37"/>
        <v>921282.34890516929</v>
      </c>
      <c r="K80" s="5">
        <f t="shared" si="38"/>
        <v>53197174.922864132</v>
      </c>
      <c r="L80" s="5">
        <f t="shared" si="39"/>
        <v>56688526.772924766</v>
      </c>
      <c r="M80" s="5">
        <f t="shared" si="40"/>
        <v>101472.10738456754</v>
      </c>
      <c r="N80" s="5">
        <f t="shared" si="41"/>
        <v>12500</v>
      </c>
      <c r="O80" s="5">
        <f t="shared" si="42"/>
        <v>113972.10738456754</v>
      </c>
      <c r="P80" s="5">
        <f t="shared" si="43"/>
        <v>45588.842953827021</v>
      </c>
      <c r="Q80" s="18">
        <v>3.5000000000000003E-2</v>
      </c>
      <c r="R80" s="18">
        <v>0.2</v>
      </c>
      <c r="S80" s="5">
        <f t="shared" si="25"/>
        <v>33068.307284206116</v>
      </c>
      <c r="T80" s="5">
        <f t="shared" si="26"/>
        <v>201527.71267774751</v>
      </c>
      <c r="U80" s="5">
        <f t="shared" si="44"/>
        <v>3872.4329932523701</v>
      </c>
      <c r="V80" s="5">
        <f t="shared" si="45"/>
        <v>6694.2041549265705</v>
      </c>
      <c r="W80" s="5">
        <f t="shared" si="24"/>
        <v>212094.34982592647</v>
      </c>
      <c r="X80" s="5">
        <f t="shared" si="27"/>
        <v>35314.957146534412</v>
      </c>
      <c r="Y80" s="5">
        <f t="shared" si="28"/>
        <v>9535.0384295642925</v>
      </c>
      <c r="Z80" s="5">
        <f t="shared" si="29"/>
        <v>25779.918716970118</v>
      </c>
      <c r="AA80" s="5">
        <f t="shared" si="30"/>
        <v>30463.703854222542</v>
      </c>
      <c r="AB80" s="5">
        <f t="shared" si="31"/>
        <v>-4683.7851372524237</v>
      </c>
      <c r="AC80" s="17">
        <f t="shared" si="32"/>
        <v>0.48133109294006865</v>
      </c>
      <c r="AD80" s="5">
        <f t="shared" si="33"/>
        <v>12408.676451945359</v>
      </c>
      <c r="AE80" s="5">
        <f t="shared" si="34"/>
        <v>102087.60520812645</v>
      </c>
      <c r="AF80" s="2">
        <f t="shared" si="46"/>
        <v>0.12154929510441288</v>
      </c>
      <c r="AG80" s="21"/>
    </row>
    <row r="81" spans="2:33" customFormat="1" x14ac:dyDescent="0.3">
      <c r="B81" s="1"/>
      <c r="C81" s="1"/>
      <c r="D81" s="1"/>
      <c r="E81" s="4">
        <v>77</v>
      </c>
      <c r="F81" s="4">
        <v>7</v>
      </c>
      <c r="G81" s="5">
        <f t="shared" si="47"/>
        <v>53197174.922864132</v>
      </c>
      <c r="H81" s="5">
        <f t="shared" si="35"/>
        <v>1552664.3504091445</v>
      </c>
      <c r="I81" s="5">
        <f t="shared" si="36"/>
        <v>620633.70743341499</v>
      </c>
      <c r="J81" s="5">
        <f t="shared" si="37"/>
        <v>932030.64297572954</v>
      </c>
      <c r="K81" s="5">
        <f t="shared" si="38"/>
        <v>52265144.279888406</v>
      </c>
      <c r="L81" s="5">
        <f t="shared" si="39"/>
        <v>55723492.998235524</v>
      </c>
      <c r="M81" s="5">
        <f t="shared" si="40"/>
        <v>99744.702980370334</v>
      </c>
      <c r="N81" s="5">
        <f t="shared" si="41"/>
        <v>12500</v>
      </c>
      <c r="O81" s="5">
        <f t="shared" si="42"/>
        <v>112244.70298037033</v>
      </c>
      <c r="P81" s="5">
        <f t="shared" si="43"/>
        <v>44897.881192148139</v>
      </c>
      <c r="Q81" s="18">
        <v>3.5000000000000003E-2</v>
      </c>
      <c r="R81" s="18">
        <v>0.2</v>
      </c>
      <c r="S81" s="5">
        <f t="shared" si="25"/>
        <v>32505.370915637395</v>
      </c>
      <c r="T81" s="5">
        <f t="shared" si="26"/>
        <v>198097.01760872724</v>
      </c>
      <c r="U81" s="5">
        <f t="shared" si="44"/>
        <v>3813.7409328789345</v>
      </c>
      <c r="V81" s="5">
        <f t="shared" si="45"/>
        <v>6592.7442626320699</v>
      </c>
      <c r="W81" s="5">
        <f t="shared" si="24"/>
        <v>208503.50280423823</v>
      </c>
      <c r="X81" s="5">
        <f t="shared" si="27"/>
        <v>34841.450872584799</v>
      </c>
      <c r="Y81" s="5">
        <f t="shared" si="28"/>
        <v>9407.1917355978967</v>
      </c>
      <c r="Z81" s="5">
        <f t="shared" si="29"/>
        <v>25434.259136986904</v>
      </c>
      <c r="AA81" s="5">
        <f t="shared" si="30"/>
        <v>29947.940467105873</v>
      </c>
      <c r="AB81" s="5">
        <f t="shared" si="31"/>
        <v>-4513.6813301189686</v>
      </c>
      <c r="AC81" s="17">
        <f t="shared" si="32"/>
        <v>0.47672238762296082</v>
      </c>
      <c r="AD81" s="5">
        <f t="shared" si="33"/>
        <v>12125.080743205504</v>
      </c>
      <c r="AE81" s="5">
        <f t="shared" si="34"/>
        <v>99398.287684587151</v>
      </c>
      <c r="AF81" s="2">
        <f t="shared" si="46"/>
        <v>0.12198480502683386</v>
      </c>
      <c r="AG81" s="21"/>
    </row>
    <row r="82" spans="2:33" customFormat="1" x14ac:dyDescent="0.3">
      <c r="B82" s="1"/>
      <c r="C82" s="1"/>
      <c r="D82" s="1"/>
      <c r="E82" s="4">
        <v>78</v>
      </c>
      <c r="F82" s="4">
        <v>7</v>
      </c>
      <c r="G82" s="5">
        <f t="shared" si="47"/>
        <v>52265144.279888406</v>
      </c>
      <c r="H82" s="5">
        <f t="shared" si="35"/>
        <v>1552664.3504091445</v>
      </c>
      <c r="I82" s="5">
        <f t="shared" si="36"/>
        <v>609760.0165986981</v>
      </c>
      <c r="J82" s="5">
        <f t="shared" si="37"/>
        <v>942904.33381044643</v>
      </c>
      <c r="K82" s="5">
        <f t="shared" si="38"/>
        <v>51322239.946077965</v>
      </c>
      <c r="L82" s="5">
        <f t="shared" si="39"/>
        <v>54747200.496174917</v>
      </c>
      <c r="M82" s="5">
        <f t="shared" si="40"/>
        <v>97997.145524790845</v>
      </c>
      <c r="N82" s="5">
        <f t="shared" si="41"/>
        <v>12500</v>
      </c>
      <c r="O82" s="5">
        <f t="shared" si="42"/>
        <v>110497.14552479085</v>
      </c>
      <c r="P82" s="5">
        <f t="shared" si="43"/>
        <v>44198.85820991634</v>
      </c>
      <c r="Q82" s="18">
        <v>3.5000000000000003E-2</v>
      </c>
      <c r="R82" s="18">
        <v>0.2</v>
      </c>
      <c r="S82" s="5">
        <f t="shared" si="25"/>
        <v>31935.86695610204</v>
      </c>
      <c r="T82" s="5">
        <f t="shared" si="26"/>
        <v>194626.29776390182</v>
      </c>
      <c r="U82" s="5">
        <f t="shared" si="44"/>
        <v>3754.3641318011428</v>
      </c>
      <c r="V82" s="5">
        <f t="shared" si="45"/>
        <v>6490.1006715941357</v>
      </c>
      <c r="W82" s="5">
        <f t="shared" si="24"/>
        <v>204870.76256729712</v>
      </c>
      <c r="X82" s="5">
        <f t="shared" si="27"/>
        <v>34362.420358772462</v>
      </c>
      <c r="Y82" s="5">
        <f t="shared" si="28"/>
        <v>9277.8534968685653</v>
      </c>
      <c r="Z82" s="5">
        <f t="shared" si="29"/>
        <v>25084.566861903899</v>
      </c>
      <c r="AA82" s="5">
        <f t="shared" si="30"/>
        <v>29426.159840472865</v>
      </c>
      <c r="AB82" s="5">
        <f t="shared" si="31"/>
        <v>-4341.5929785689659</v>
      </c>
      <c r="AC82" s="17">
        <f t="shared" si="32"/>
        <v>0.47215781027724618</v>
      </c>
      <c r="AD82" s="5">
        <f t="shared" si="33"/>
        <v>11843.874161269718</v>
      </c>
      <c r="AE82" s="5">
        <f t="shared" si="34"/>
        <v>96731.330643604626</v>
      </c>
      <c r="AF82" s="2">
        <f t="shared" si="46"/>
        <v>0.1224409307973556</v>
      </c>
      <c r="AG82" s="21"/>
    </row>
    <row r="83" spans="2:33" customFormat="1" x14ac:dyDescent="0.3">
      <c r="B83" s="1"/>
      <c r="C83" s="1"/>
      <c r="D83" s="1"/>
      <c r="E83" s="4">
        <v>79</v>
      </c>
      <c r="F83" s="4">
        <v>7</v>
      </c>
      <c r="G83" s="5">
        <f t="shared" si="47"/>
        <v>51322239.946077965</v>
      </c>
      <c r="H83" s="5">
        <f t="shared" si="35"/>
        <v>1552664.3504091445</v>
      </c>
      <c r="I83" s="5">
        <f t="shared" si="36"/>
        <v>598759.46603757632</v>
      </c>
      <c r="J83" s="5">
        <f t="shared" si="37"/>
        <v>953904.88437156822</v>
      </c>
      <c r="K83" s="5">
        <f t="shared" si="38"/>
        <v>50368335.061706401</v>
      </c>
      <c r="L83" s="5">
        <f t="shared" si="39"/>
        <v>53759517.914923608</v>
      </c>
      <c r="M83" s="5">
        <f t="shared" si="40"/>
        <v>96229.199898896273</v>
      </c>
      <c r="N83" s="5">
        <f t="shared" si="41"/>
        <v>12500</v>
      </c>
      <c r="O83" s="5">
        <f t="shared" si="42"/>
        <v>108729.19989889627</v>
      </c>
      <c r="P83" s="5">
        <f t="shared" si="43"/>
        <v>43491.679959558511</v>
      </c>
      <c r="Q83" s="18">
        <v>3.5000000000000003E-2</v>
      </c>
      <c r="R83" s="18">
        <v>0.2</v>
      </c>
      <c r="S83" s="5">
        <f t="shared" si="25"/>
        <v>31359.718783705437</v>
      </c>
      <c r="T83" s="5">
        <f t="shared" si="26"/>
        <v>191115.08618755339</v>
      </c>
      <c r="U83" s="5">
        <f t="shared" si="44"/>
        <v>3694.294601377444</v>
      </c>
      <c r="V83" s="5">
        <f t="shared" si="45"/>
        <v>6386.2595719940928</v>
      </c>
      <c r="W83" s="5">
        <f t="shared" si="24"/>
        <v>201195.64036092494</v>
      </c>
      <c r="X83" s="5">
        <f t="shared" si="27"/>
        <v>33877.801155632325</v>
      </c>
      <c r="Y83" s="5">
        <f t="shared" si="28"/>
        <v>9147.0063120207287</v>
      </c>
      <c r="Z83" s="5">
        <f t="shared" si="29"/>
        <v>24730.794843611598</v>
      </c>
      <c r="AA83" s="5">
        <f t="shared" si="30"/>
        <v>28898.29177319579</v>
      </c>
      <c r="AB83" s="5">
        <f t="shared" si="31"/>
        <v>-4167.4969295841911</v>
      </c>
      <c r="AC83" s="17">
        <f t="shared" si="32"/>
        <v>0.46763693838125664</v>
      </c>
      <c r="AD83" s="5">
        <f t="shared" si="33"/>
        <v>11565.033184401496</v>
      </c>
      <c r="AE83" s="5">
        <f t="shared" si="34"/>
        <v>94086.513274039331</v>
      </c>
      <c r="AF83" s="2">
        <f t="shared" si="46"/>
        <v>0.12291913880065698</v>
      </c>
      <c r="AG83" s="21"/>
    </row>
    <row r="84" spans="2:33" customFormat="1" x14ac:dyDescent="0.3">
      <c r="B84" s="1"/>
      <c r="C84" s="1"/>
      <c r="D84" s="1"/>
      <c r="E84" s="4">
        <v>80</v>
      </c>
      <c r="F84" s="4">
        <v>7</v>
      </c>
      <c r="G84" s="5">
        <f t="shared" si="47"/>
        <v>50368335.061706401</v>
      </c>
      <c r="H84" s="5">
        <f t="shared" si="35"/>
        <v>1552664.3504091445</v>
      </c>
      <c r="I84" s="5">
        <f t="shared" si="36"/>
        <v>587630.575719908</v>
      </c>
      <c r="J84" s="5">
        <f t="shared" si="37"/>
        <v>965033.77468923654</v>
      </c>
      <c r="K84" s="5">
        <f t="shared" si="38"/>
        <v>49403301.287017167</v>
      </c>
      <c r="L84" s="5">
        <f t="shared" si="39"/>
        <v>52760312.370224364</v>
      </c>
      <c r="M84" s="5">
        <f t="shared" si="40"/>
        <v>94440.628240699589</v>
      </c>
      <c r="N84" s="5">
        <f t="shared" si="41"/>
        <v>12500</v>
      </c>
      <c r="O84" s="5">
        <f t="shared" si="42"/>
        <v>106940.62824069959</v>
      </c>
      <c r="P84" s="5">
        <f t="shared" si="43"/>
        <v>42776.251296279836</v>
      </c>
      <c r="Q84" s="18">
        <v>3.5000000000000003E-2</v>
      </c>
      <c r="R84" s="18">
        <v>0.2</v>
      </c>
      <c r="S84" s="5">
        <f t="shared" si="25"/>
        <v>30776.848882630882</v>
      </c>
      <c r="T84" s="5">
        <f t="shared" si="26"/>
        <v>187562.91047614758</v>
      </c>
      <c r="U84" s="5">
        <f t="shared" si="44"/>
        <v>3633.5242597654683</v>
      </c>
      <c r="V84" s="5">
        <f t="shared" si="45"/>
        <v>6281.2069928987148</v>
      </c>
      <c r="W84" s="5">
        <f t="shared" si="24"/>
        <v>197477.64172881175</v>
      </c>
      <c r="X84" s="5">
        <f t="shared" si="27"/>
        <v>33387.528061788871</v>
      </c>
      <c r="Y84" s="5">
        <f t="shared" si="28"/>
        <v>9014.6325766829959</v>
      </c>
      <c r="Z84" s="5">
        <f t="shared" si="29"/>
        <v>24372.895485105873</v>
      </c>
      <c r="AA84" s="5">
        <f t="shared" si="30"/>
        <v>28364.265245133822</v>
      </c>
      <c r="AB84" s="5">
        <f t="shared" si="31"/>
        <v>-3991.3697600279484</v>
      </c>
      <c r="AC84" s="17">
        <f t="shared" si="32"/>
        <v>0.46315935345893339</v>
      </c>
      <c r="AD84" s="5">
        <f t="shared" si="33"/>
        <v>11288.534514803792</v>
      </c>
      <c r="AE84" s="5">
        <f t="shared" si="34"/>
        <v>91463.61686571133</v>
      </c>
      <c r="AF84" s="2">
        <f t="shared" si="46"/>
        <v>0.12342103780323753</v>
      </c>
      <c r="AG84" s="21"/>
    </row>
    <row r="85" spans="2:33" customFormat="1" x14ac:dyDescent="0.3">
      <c r="B85" s="1"/>
      <c r="C85" s="1"/>
      <c r="D85" s="1"/>
      <c r="E85" s="4">
        <v>81</v>
      </c>
      <c r="F85" s="4">
        <v>7</v>
      </c>
      <c r="G85" s="5">
        <f t="shared" si="47"/>
        <v>49403301.287017167</v>
      </c>
      <c r="H85" s="5">
        <f t="shared" si="35"/>
        <v>1552664.3504091445</v>
      </c>
      <c r="I85" s="5">
        <f t="shared" si="36"/>
        <v>576371.84834853362</v>
      </c>
      <c r="J85" s="5">
        <f t="shared" si="37"/>
        <v>976292.50206061092</v>
      </c>
      <c r="K85" s="5">
        <f t="shared" si="38"/>
        <v>48427008.78495656</v>
      </c>
      <c r="L85" s="5">
        <f t="shared" si="39"/>
        <v>51749449.427503623</v>
      </c>
      <c r="M85" s="5">
        <f t="shared" si="40"/>
        <v>92631.189913157272</v>
      </c>
      <c r="N85" s="5">
        <f t="shared" si="41"/>
        <v>12500</v>
      </c>
      <c r="O85" s="5">
        <f t="shared" si="42"/>
        <v>105131.18991315727</v>
      </c>
      <c r="P85" s="5">
        <f t="shared" si="43"/>
        <v>42052.475965262915</v>
      </c>
      <c r="Q85" s="18">
        <v>3.5000000000000003E-2</v>
      </c>
      <c r="R85" s="18">
        <v>0.2</v>
      </c>
      <c r="S85" s="5">
        <f t="shared" si="25"/>
        <v>30187.178832710448</v>
      </c>
      <c r="T85" s="5">
        <f t="shared" si="26"/>
        <v>183969.29271477537</v>
      </c>
      <c r="U85" s="5">
        <f t="shared" si="44"/>
        <v>3572.0449308346861</v>
      </c>
      <c r="V85" s="5">
        <f t="shared" si="45"/>
        <v>6174.9288003805577</v>
      </c>
      <c r="W85" s="5">
        <f t="shared" si="24"/>
        <v>193716.26644599059</v>
      </c>
      <c r="X85" s="5">
        <f t="shared" si="27"/>
        <v>32891.535115183913</v>
      </c>
      <c r="Y85" s="5">
        <f t="shared" si="28"/>
        <v>8880.7144810996579</v>
      </c>
      <c r="Z85" s="5">
        <f t="shared" si="29"/>
        <v>24010.820634084255</v>
      </c>
      <c r="AA85" s="5">
        <f t="shared" si="30"/>
        <v>27824.008407577796</v>
      </c>
      <c r="AB85" s="5">
        <f t="shared" si="31"/>
        <v>-3813.1877734935406</v>
      </c>
      <c r="AC85" s="17">
        <f t="shared" si="32"/>
        <v>0.45872464104109206</v>
      </c>
      <c r="AD85" s="5">
        <f t="shared" si="33"/>
        <v>11014.355076472346</v>
      </c>
      <c r="AE85" s="5">
        <f t="shared" si="34"/>
        <v>88862.42478925758</v>
      </c>
      <c r="AF85" s="2">
        <f t="shared" si="46"/>
        <v>0.1239483966658971</v>
      </c>
      <c r="AG85" s="21"/>
    </row>
    <row r="86" spans="2:33" customFormat="1" x14ac:dyDescent="0.3">
      <c r="B86" s="1"/>
      <c r="C86" s="1"/>
      <c r="D86" s="1"/>
      <c r="E86" s="4">
        <v>82</v>
      </c>
      <c r="F86" s="4">
        <v>7</v>
      </c>
      <c r="G86" s="5">
        <f t="shared" si="47"/>
        <v>48427008.78495656</v>
      </c>
      <c r="H86" s="5">
        <f t="shared" si="35"/>
        <v>1552664.3504091445</v>
      </c>
      <c r="I86" s="5">
        <f t="shared" si="36"/>
        <v>564981.76915782655</v>
      </c>
      <c r="J86" s="5">
        <f t="shared" si="37"/>
        <v>987682.58125131798</v>
      </c>
      <c r="K86" s="5">
        <f t="shared" si="38"/>
        <v>47439326.203705244</v>
      </c>
      <c r="L86" s="5">
        <f t="shared" si="39"/>
        <v>50726793.083784476</v>
      </c>
      <c r="M86" s="5">
        <f t="shared" si="40"/>
        <v>90800.641471793628</v>
      </c>
      <c r="N86" s="5">
        <f t="shared" si="41"/>
        <v>12500</v>
      </c>
      <c r="O86" s="5">
        <f t="shared" si="42"/>
        <v>103300.64147179363</v>
      </c>
      <c r="P86" s="5">
        <f t="shared" si="43"/>
        <v>41320.256588717457</v>
      </c>
      <c r="Q86" s="18">
        <v>3.5000000000000003E-2</v>
      </c>
      <c r="R86" s="18">
        <v>0.2</v>
      </c>
      <c r="S86" s="5">
        <f t="shared" si="25"/>
        <v>29590.629298874283</v>
      </c>
      <c r="T86" s="5">
        <f t="shared" si="26"/>
        <v>180333.74941285379</v>
      </c>
      <c r="U86" s="5">
        <f t="shared" si="44"/>
        <v>3509.8483430663782</v>
      </c>
      <c r="V86" s="5">
        <f t="shared" si="45"/>
        <v>6067.410695616355</v>
      </c>
      <c r="W86" s="5">
        <f t="shared" si="24"/>
        <v>189911.00845153653</v>
      </c>
      <c r="X86" s="5">
        <f t="shared" si="27"/>
        <v>32389.755584201888</v>
      </c>
      <c r="Y86" s="5">
        <f t="shared" si="28"/>
        <v>8745.2340077345107</v>
      </c>
      <c r="Z86" s="5">
        <f t="shared" si="29"/>
        <v>23644.521576467378</v>
      </c>
      <c r="AA86" s="5">
        <f t="shared" si="30"/>
        <v>27277.448573583617</v>
      </c>
      <c r="AB86" s="5">
        <f t="shared" si="31"/>
        <v>-3632.9269971162394</v>
      </c>
      <c r="AC86" s="17">
        <f t="shared" si="32"/>
        <v>0.45433239062705599</v>
      </c>
      <c r="AD86" s="5">
        <f t="shared" si="33"/>
        <v>10742.47201306943</v>
      </c>
      <c r="AE86" s="5">
        <f t="shared" si="34"/>
        <v>86282.722476181632</v>
      </c>
      <c r="AF86" s="2">
        <f t="shared" si="46"/>
        <v>0.12450316476783509</v>
      </c>
      <c r="AG86" s="21"/>
    </row>
    <row r="87" spans="2:33" customFormat="1" x14ac:dyDescent="0.3">
      <c r="B87" s="1"/>
      <c r="C87" s="1"/>
      <c r="D87" s="1"/>
      <c r="E87" s="4">
        <v>83</v>
      </c>
      <c r="F87" s="4">
        <v>7</v>
      </c>
      <c r="G87" s="5">
        <f t="shared" si="47"/>
        <v>47439326.203705244</v>
      </c>
      <c r="H87" s="5">
        <f t="shared" si="35"/>
        <v>1552664.3504091445</v>
      </c>
      <c r="I87" s="5">
        <f t="shared" si="36"/>
        <v>553458.80570989463</v>
      </c>
      <c r="J87" s="5">
        <f t="shared" si="37"/>
        <v>999205.54469924991</v>
      </c>
      <c r="K87" s="5">
        <f t="shared" si="38"/>
        <v>46440120.659005992</v>
      </c>
      <c r="L87" s="5">
        <f t="shared" si="39"/>
        <v>49692205.749388605</v>
      </c>
      <c r="M87" s="5">
        <f t="shared" si="40"/>
        <v>88948.736631947409</v>
      </c>
      <c r="N87" s="5">
        <f t="shared" si="41"/>
        <v>12500</v>
      </c>
      <c r="O87" s="5">
        <f t="shared" si="42"/>
        <v>101448.73663194741</v>
      </c>
      <c r="P87" s="5">
        <f t="shared" si="43"/>
        <v>40579.494652778965</v>
      </c>
      <c r="Q87" s="18">
        <v>3.5000000000000003E-2</v>
      </c>
      <c r="R87" s="18">
        <v>0.2</v>
      </c>
      <c r="S87" s="5">
        <f t="shared" si="25"/>
        <v>28987.12002047669</v>
      </c>
      <c r="T87" s="5">
        <f t="shared" si="26"/>
        <v>176655.79143907648</v>
      </c>
      <c r="U87" s="5">
        <f t="shared" si="44"/>
        <v>3446.9261284407735</v>
      </c>
      <c r="V87" s="5">
        <f t="shared" si="45"/>
        <v>5958.6382129632375</v>
      </c>
      <c r="W87" s="5">
        <f t="shared" si="24"/>
        <v>186061.35578048049</v>
      </c>
      <c r="X87" s="5">
        <f t="shared" si="27"/>
        <v>31882.121958691754</v>
      </c>
      <c r="Y87" s="5">
        <f t="shared" si="28"/>
        <v>8608.1729288467741</v>
      </c>
      <c r="Z87" s="5">
        <f t="shared" si="29"/>
        <v>23273.949029844982</v>
      </c>
      <c r="AA87" s="5">
        <f t="shared" si="30"/>
        <v>26724.512208192838</v>
      </c>
      <c r="AB87" s="5">
        <f t="shared" si="31"/>
        <v>-3450.5631783478566</v>
      </c>
      <c r="AC87" s="17">
        <f t="shared" si="32"/>
        <v>0.44998219564665815</v>
      </c>
      <c r="AD87" s="5">
        <f t="shared" si="33"/>
        <v>10472.862685818054</v>
      </c>
      <c r="AE87" s="5">
        <f t="shared" si="34"/>
        <v>83724.297399094634</v>
      </c>
      <c r="AF87" s="2">
        <f t="shared" si="46"/>
        <v>0.12508749563936386</v>
      </c>
      <c r="AG87" s="21"/>
    </row>
    <row r="88" spans="2:33" customFormat="1" x14ac:dyDescent="0.3">
      <c r="B88" s="1"/>
      <c r="C88" s="1"/>
      <c r="D88" s="1"/>
      <c r="E88" s="4">
        <v>84</v>
      </c>
      <c r="F88" s="4">
        <v>7</v>
      </c>
      <c r="G88" s="5">
        <f t="shared" si="47"/>
        <v>46440120.659005992</v>
      </c>
      <c r="H88" s="5">
        <f t="shared" si="35"/>
        <v>1552664.3504091445</v>
      </c>
      <c r="I88" s="5">
        <f t="shared" si="36"/>
        <v>541801.40768840327</v>
      </c>
      <c r="J88" s="5">
        <f t="shared" si="37"/>
        <v>1010862.9427207413</v>
      </c>
      <c r="K88" s="5">
        <f t="shared" si="38"/>
        <v>45429257.716285251</v>
      </c>
      <c r="L88" s="5">
        <f t="shared" si="39"/>
        <v>48645548.229424775</v>
      </c>
      <c r="M88" s="5">
        <f t="shared" si="40"/>
        <v>87075.226235636321</v>
      </c>
      <c r="N88" s="5">
        <f t="shared" si="41"/>
        <v>12500</v>
      </c>
      <c r="O88" s="5">
        <f t="shared" si="42"/>
        <v>99575.226235636321</v>
      </c>
      <c r="P88" s="5">
        <f t="shared" si="43"/>
        <v>39830.090494254531</v>
      </c>
      <c r="Q88" s="18">
        <v>3.5000000000000003E-2</v>
      </c>
      <c r="R88" s="18">
        <v>0.2</v>
      </c>
      <c r="S88" s="5">
        <f t="shared" si="25"/>
        <v>28376.569800497789</v>
      </c>
      <c r="T88" s="5">
        <f t="shared" si="26"/>
        <v>172934.92395560505</v>
      </c>
      <c r="U88" s="5">
        <f t="shared" si="44"/>
        <v>3383.269821311203</v>
      </c>
      <c r="V88" s="5">
        <f t="shared" si="45"/>
        <v>5848.5967180124999</v>
      </c>
      <c r="W88" s="5">
        <f t="shared" si="24"/>
        <v>182166.79049492875</v>
      </c>
      <c r="X88" s="5">
        <f t="shared" si="27"/>
        <v>31368.565940884</v>
      </c>
      <c r="Y88" s="5">
        <f t="shared" si="28"/>
        <v>8469.5128040386808</v>
      </c>
      <c r="Z88" s="5">
        <f t="shared" si="29"/>
        <v>22899.053136845319</v>
      </c>
      <c r="AA88" s="5">
        <f t="shared" si="30"/>
        <v>26165.124918539161</v>
      </c>
      <c r="AB88" s="5">
        <f t="shared" si="31"/>
        <v>-3266.0717816938413</v>
      </c>
      <c r="AC88" s="17">
        <f t="shared" si="32"/>
        <v>0.44567365342260767</v>
      </c>
      <c r="AD88" s="5">
        <f t="shared" si="33"/>
        <v>10205.504671416278</v>
      </c>
      <c r="AE88" s="5">
        <f t="shared" si="34"/>
        <v>81186.939052145652</v>
      </c>
      <c r="AF88" s="2">
        <f t="shared" si="46"/>
        <v>0.12570377440712938</v>
      </c>
      <c r="AG88" s="21"/>
    </row>
    <row r="89" spans="2:33" customFormat="1" x14ac:dyDescent="0.3">
      <c r="B89" s="1"/>
      <c r="C89" s="1"/>
      <c r="D89" s="1"/>
      <c r="E89" s="4">
        <v>85</v>
      </c>
      <c r="F89" s="4">
        <v>8</v>
      </c>
      <c r="G89" s="5">
        <f t="shared" si="47"/>
        <v>45429257.716285251</v>
      </c>
      <c r="H89" s="5">
        <f t="shared" si="35"/>
        <v>1552664.3504091445</v>
      </c>
      <c r="I89" s="5">
        <f t="shared" si="36"/>
        <v>530008.00668999471</v>
      </c>
      <c r="J89" s="5">
        <f t="shared" si="37"/>
        <v>1022656.3437191498</v>
      </c>
      <c r="K89" s="5">
        <f t="shared" si="38"/>
        <v>44406601.372566104</v>
      </c>
      <c r="L89" s="5">
        <f t="shared" si="39"/>
        <v>47586679.705061376</v>
      </c>
      <c r="M89" s="5">
        <f t="shared" si="40"/>
        <v>85179.858218034919</v>
      </c>
      <c r="N89" s="5">
        <f t="shared" si="41"/>
        <v>12500</v>
      </c>
      <c r="O89" s="5">
        <f t="shared" si="42"/>
        <v>97679.858218034919</v>
      </c>
      <c r="P89" s="5">
        <f t="shared" si="43"/>
        <v>39071.943287213966</v>
      </c>
      <c r="Q89" s="18">
        <v>3.5000000000000003E-2</v>
      </c>
      <c r="R89" s="18">
        <v>0.2</v>
      </c>
      <c r="S89" s="5">
        <f t="shared" si="25"/>
        <v>27758.896494619137</v>
      </c>
      <c r="T89" s="5">
        <f t="shared" si="26"/>
        <v>169170.64635149317</v>
      </c>
      <c r="U89" s="5">
        <f t="shared" si="44"/>
        <v>3318.8708572651208</v>
      </c>
      <c r="V89" s="5">
        <f t="shared" si="45"/>
        <v>5737.2714056206687</v>
      </c>
      <c r="W89" s="5">
        <f t="shared" si="24"/>
        <v>178226.78861437895</v>
      </c>
      <c r="X89" s="5">
        <f t="shared" si="27"/>
        <v>30849.018436201815</v>
      </c>
      <c r="Y89" s="5">
        <f t="shared" si="28"/>
        <v>8329.2349777744912</v>
      </c>
      <c r="Z89" s="5">
        <f t="shared" si="29"/>
        <v>22519.783458427322</v>
      </c>
      <c r="AA89" s="5">
        <f t="shared" si="30"/>
        <v>25599.211443839533</v>
      </c>
      <c r="AB89" s="5">
        <f t="shared" si="31"/>
        <v>-3079.4279854122105</v>
      </c>
      <c r="AC89" s="17">
        <f t="shared" si="32"/>
        <v>0.44140636513321513</v>
      </c>
      <c r="AD89" s="5">
        <f t="shared" si="33"/>
        <v>9940.3757599715082</v>
      </c>
      <c r="AE89" s="5">
        <f t="shared" si="34"/>
        <v>78670.438931638899</v>
      </c>
      <c r="AF89" s="2">
        <f t="shared" si="46"/>
        <v>0.1263546497892207</v>
      </c>
      <c r="AG89" s="21"/>
    </row>
    <row r="90" spans="2:33" customFormat="1" x14ac:dyDescent="0.3">
      <c r="B90" s="1"/>
      <c r="C90" s="1"/>
      <c r="D90" s="1"/>
      <c r="E90" s="4">
        <v>86</v>
      </c>
      <c r="F90" s="4">
        <v>8</v>
      </c>
      <c r="G90" s="5">
        <f t="shared" si="47"/>
        <v>44406601.372566104</v>
      </c>
      <c r="H90" s="5">
        <f t="shared" si="35"/>
        <v>1552664.3504091445</v>
      </c>
      <c r="I90" s="5">
        <f t="shared" si="36"/>
        <v>518077.01601327123</v>
      </c>
      <c r="J90" s="5">
        <f t="shared" si="37"/>
        <v>1034587.3343958734</v>
      </c>
      <c r="K90" s="5">
        <f t="shared" si="38"/>
        <v>43372014.038170233</v>
      </c>
      <c r="L90" s="5">
        <f t="shared" si="39"/>
        <v>46515457.714580402</v>
      </c>
      <c r="M90" s="5">
        <f t="shared" si="40"/>
        <v>83262.37757356152</v>
      </c>
      <c r="N90" s="5">
        <f t="shared" si="41"/>
        <v>12500</v>
      </c>
      <c r="O90" s="5">
        <f t="shared" si="42"/>
        <v>95762.37757356152</v>
      </c>
      <c r="P90" s="5">
        <f t="shared" si="43"/>
        <v>38304.951029424607</v>
      </c>
      <c r="Q90" s="18">
        <v>3.5000000000000003E-2</v>
      </c>
      <c r="R90" s="18">
        <v>0.2</v>
      </c>
      <c r="S90" s="5">
        <f t="shared" si="25"/>
        <v>27134.017000171905</v>
      </c>
      <c r="T90" s="5">
        <f t="shared" si="26"/>
        <v>165362.45217533331</v>
      </c>
      <c r="U90" s="5">
        <f t="shared" si="44"/>
        <v>3253.7205719718345</v>
      </c>
      <c r="V90" s="5">
        <f t="shared" si="45"/>
        <v>5624.6472979176015</v>
      </c>
      <c r="W90" s="5">
        <f t="shared" si="24"/>
        <v>174240.82004522276</v>
      </c>
      <c r="X90" s="5">
        <f t="shared" si="27"/>
        <v>30323.409543965008</v>
      </c>
      <c r="Y90" s="5">
        <f t="shared" si="28"/>
        <v>8187.3205768705529</v>
      </c>
      <c r="Z90" s="5">
        <f t="shared" si="29"/>
        <v>22136.088967094456</v>
      </c>
      <c r="AA90" s="5">
        <f t="shared" si="30"/>
        <v>25026.69564526841</v>
      </c>
      <c r="AB90" s="5">
        <f t="shared" si="31"/>
        <v>-2890.6066781739537</v>
      </c>
      <c r="AC90" s="17">
        <f t="shared" si="32"/>
        <v>0.4371799357754757</v>
      </c>
      <c r="AD90" s="5">
        <f t="shared" si="33"/>
        <v>9677.4539529545709</v>
      </c>
      <c r="AE90" s="5">
        <f t="shared" si="34"/>
        <v>76174.590516836703</v>
      </c>
      <c r="AF90" s="2">
        <f t="shared" si="46"/>
        <v>0.12704307154517075</v>
      </c>
      <c r="AG90" s="21"/>
    </row>
    <row r="91" spans="2:33" customFormat="1" x14ac:dyDescent="0.3">
      <c r="B91" s="1"/>
      <c r="C91" s="1"/>
      <c r="D91" s="1"/>
      <c r="E91" s="4">
        <v>87</v>
      </c>
      <c r="F91" s="4">
        <v>8</v>
      </c>
      <c r="G91" s="5">
        <f t="shared" si="47"/>
        <v>43372014.038170233</v>
      </c>
      <c r="H91" s="5">
        <f t="shared" si="35"/>
        <v>1552664.3504091445</v>
      </c>
      <c r="I91" s="5">
        <f t="shared" si="36"/>
        <v>506006.83044531941</v>
      </c>
      <c r="J91" s="5">
        <f t="shared" si="37"/>
        <v>1046657.5199638251</v>
      </c>
      <c r="K91" s="5">
        <f t="shared" si="38"/>
        <v>42325356.51820641</v>
      </c>
      <c r="L91" s="5">
        <f t="shared" si="39"/>
        <v>45431738.134210482</v>
      </c>
      <c r="M91" s="5">
        <f t="shared" si="40"/>
        <v>81322.526321569268</v>
      </c>
      <c r="N91" s="5">
        <f t="shared" si="41"/>
        <v>12500</v>
      </c>
      <c r="O91" s="5">
        <f t="shared" si="42"/>
        <v>93822.526321569268</v>
      </c>
      <c r="P91" s="5">
        <f t="shared" si="43"/>
        <v>37529.01052862771</v>
      </c>
      <c r="Q91" s="18">
        <v>3.5000000000000003E-2</v>
      </c>
      <c r="R91" s="18">
        <v>0.2</v>
      </c>
      <c r="S91" s="5">
        <f t="shared" si="25"/>
        <v>26501.84724495612</v>
      </c>
      <c r="T91" s="5">
        <f t="shared" si="26"/>
        <v>161509.82906711823</v>
      </c>
      <c r="U91" s="5">
        <f t="shared" si="44"/>
        <v>3187.8102000167937</v>
      </c>
      <c r="V91" s="5">
        <f t="shared" si="45"/>
        <v>5510.709242291332</v>
      </c>
      <c r="W91" s="5">
        <f t="shared" si="24"/>
        <v>170208.34850942637</v>
      </c>
      <c r="X91" s="5">
        <f t="shared" si="27"/>
        <v>29791.668547985439</v>
      </c>
      <c r="Y91" s="5">
        <f t="shared" si="28"/>
        <v>8043.7505079560688</v>
      </c>
      <c r="Z91" s="5">
        <f t="shared" si="29"/>
        <v>21747.91804002937</v>
      </c>
      <c r="AA91" s="5">
        <f t="shared" si="30"/>
        <v>24447.50049571395</v>
      </c>
      <c r="AB91" s="5">
        <f t="shared" si="31"/>
        <v>-2699.5824556845801</v>
      </c>
      <c r="AC91" s="17">
        <f t="shared" si="32"/>
        <v>0.43299397412850565</v>
      </c>
      <c r="AD91" s="5">
        <f t="shared" si="33"/>
        <v>9416.717461173339</v>
      </c>
      <c r="AE91" s="5">
        <f t="shared" si="34"/>
        <v>73699.189250946234</v>
      </c>
      <c r="AF91" s="2">
        <f t="shared" si="46"/>
        <v>0.12777233449759334</v>
      </c>
      <c r="AG91" s="21"/>
    </row>
    <row r="92" spans="2:33" customFormat="1" x14ac:dyDescent="0.3">
      <c r="B92" s="1"/>
      <c r="C92" s="1"/>
      <c r="D92" s="1"/>
      <c r="E92" s="4">
        <v>88</v>
      </c>
      <c r="F92" s="4">
        <v>8</v>
      </c>
      <c r="G92" s="5">
        <f t="shared" si="47"/>
        <v>42325356.51820641</v>
      </c>
      <c r="H92" s="5">
        <f t="shared" si="35"/>
        <v>1552664.3504091445</v>
      </c>
      <c r="I92" s="5">
        <f t="shared" si="36"/>
        <v>493795.8260457415</v>
      </c>
      <c r="J92" s="5">
        <f t="shared" si="37"/>
        <v>1058868.524363403</v>
      </c>
      <c r="K92" s="5">
        <f t="shared" si="38"/>
        <v>41266487.993843012</v>
      </c>
      <c r="L92" s="5">
        <f t="shared" si="39"/>
        <v>44335375.158736251</v>
      </c>
      <c r="M92" s="5">
        <f t="shared" si="40"/>
        <v>79360.04347163708</v>
      </c>
      <c r="N92" s="5">
        <f t="shared" si="41"/>
        <v>12500</v>
      </c>
      <c r="O92" s="5">
        <f t="shared" si="42"/>
        <v>91860.04347163708</v>
      </c>
      <c r="P92" s="5">
        <f t="shared" si="43"/>
        <v>36744.017388654836</v>
      </c>
      <c r="Q92" s="18">
        <v>3.5000000000000003E-2</v>
      </c>
      <c r="R92" s="18">
        <v>0.2</v>
      </c>
      <c r="S92" s="5">
        <f t="shared" si="25"/>
        <v>25862.302175929482</v>
      </c>
      <c r="T92" s="5">
        <f t="shared" si="26"/>
        <v>157612.25868930735</v>
      </c>
      <c r="U92" s="5">
        <f t="shared" si="44"/>
        <v>3121.1308737222766</v>
      </c>
      <c r="V92" s="5">
        <f t="shared" si="45"/>
        <v>5395.4419093494207</v>
      </c>
      <c r="W92" s="5">
        <f t="shared" si="24"/>
        <v>166128.83147237904</v>
      </c>
      <c r="X92" s="5">
        <f t="shared" si="27"/>
        <v>29253.723907052761</v>
      </c>
      <c r="Y92" s="5">
        <f t="shared" si="28"/>
        <v>7898.5054549042461</v>
      </c>
      <c r="Z92" s="5">
        <f t="shared" si="29"/>
        <v>21355.218452148514</v>
      </c>
      <c r="AA92" s="5">
        <f t="shared" si="30"/>
        <v>23861.548069414694</v>
      </c>
      <c r="AB92" s="5">
        <f t="shared" si="31"/>
        <v>-2506.3296172661794</v>
      </c>
      <c r="AC92" s="17">
        <f t="shared" si="32"/>
        <v>0.4288480927173286</v>
      </c>
      <c r="AD92" s="5">
        <f t="shared" si="33"/>
        <v>9158.1447027657923</v>
      </c>
      <c r="AE92" s="5">
        <f t="shared" si="34"/>
        <v>71244.032522288268</v>
      </c>
      <c r="AF92" s="2">
        <f t="shared" si="46"/>
        <v>0.12854613051136207</v>
      </c>
      <c r="AG92" s="21"/>
    </row>
    <row r="93" spans="2:33" customFormat="1" x14ac:dyDescent="0.3">
      <c r="B93" s="1"/>
      <c r="C93" s="1"/>
      <c r="D93" s="1"/>
      <c r="E93" s="4">
        <v>89</v>
      </c>
      <c r="F93" s="4">
        <v>8</v>
      </c>
      <c r="G93" s="5">
        <f t="shared" si="47"/>
        <v>41266487.993843012</v>
      </c>
      <c r="H93" s="5">
        <f t="shared" si="35"/>
        <v>1552664.3504091445</v>
      </c>
      <c r="I93" s="5">
        <f t="shared" si="36"/>
        <v>481442.35992816853</v>
      </c>
      <c r="J93" s="5">
        <f t="shared" si="37"/>
        <v>1071221.9904809759</v>
      </c>
      <c r="K93" s="5">
        <f t="shared" si="38"/>
        <v>40195266.003362037</v>
      </c>
      <c r="L93" s="5">
        <f t="shared" si="39"/>
        <v>43226221.281881481</v>
      </c>
      <c r="M93" s="5">
        <f t="shared" si="40"/>
        <v>77374.664988455712</v>
      </c>
      <c r="N93" s="5">
        <f t="shared" si="41"/>
        <v>12500</v>
      </c>
      <c r="O93" s="5">
        <f t="shared" si="42"/>
        <v>89874.664988455712</v>
      </c>
      <c r="P93" s="5">
        <f t="shared" si="43"/>
        <v>35949.865995382286</v>
      </c>
      <c r="Q93" s="18">
        <v>3.5000000000000003E-2</v>
      </c>
      <c r="R93" s="18">
        <v>0.2</v>
      </c>
      <c r="S93" s="5">
        <f t="shared" si="25"/>
        <v>25215.295747764201</v>
      </c>
      <c r="T93" s="5">
        <f t="shared" si="26"/>
        <v>153669.21665708866</v>
      </c>
      <c r="U93" s="5">
        <f t="shared" si="44"/>
        <v>3053.6736219543241</v>
      </c>
      <c r="V93" s="5">
        <f t="shared" si="45"/>
        <v>5278.8297908565219</v>
      </c>
      <c r="W93" s="5">
        <f t="shared" si="24"/>
        <v>162001.72006989951</v>
      </c>
      <c r="X93" s="5">
        <f t="shared" si="27"/>
        <v>28709.503245309224</v>
      </c>
      <c r="Y93" s="5">
        <f t="shared" si="28"/>
        <v>7751.5658762334915</v>
      </c>
      <c r="Z93" s="5">
        <f t="shared" si="29"/>
        <v>20957.937369075735</v>
      </c>
      <c r="AA93" s="5">
        <f t="shared" si="30"/>
        <v>23268.75953147528</v>
      </c>
      <c r="AB93" s="5">
        <f t="shared" si="31"/>
        <v>-2310.822162399545</v>
      </c>
      <c r="AC93" s="17">
        <f t="shared" si="32"/>
        <v>0.42474190777700938</v>
      </c>
      <c r="AD93" s="5">
        <f t="shared" si="33"/>
        <v>8901.7143012123033</v>
      </c>
      <c r="AE93" s="5">
        <f t="shared" si="34"/>
        <v>68808.91964564615</v>
      </c>
      <c r="AF93" s="2">
        <f t="shared" si="46"/>
        <v>0.12936861016063861</v>
      </c>
      <c r="AG93" s="21"/>
    </row>
    <row r="94" spans="2:33" customFormat="1" x14ac:dyDescent="0.3">
      <c r="B94" s="1"/>
      <c r="C94" s="1"/>
      <c r="D94" s="1"/>
      <c r="E94" s="4">
        <v>90</v>
      </c>
      <c r="F94" s="4">
        <v>8</v>
      </c>
      <c r="G94" s="5">
        <f t="shared" si="47"/>
        <v>40195266.003362037</v>
      </c>
      <c r="H94" s="5">
        <f t="shared" si="35"/>
        <v>1552664.3504091445</v>
      </c>
      <c r="I94" s="5">
        <f t="shared" si="36"/>
        <v>468944.77003922383</v>
      </c>
      <c r="J94" s="5">
        <f t="shared" si="37"/>
        <v>1083719.5803699207</v>
      </c>
      <c r="K94" s="5">
        <f t="shared" si="38"/>
        <v>39111546.422992118</v>
      </c>
      <c r="L94" s="5">
        <f t="shared" si="39"/>
        <v>42104127.276463412</v>
      </c>
      <c r="M94" s="5">
        <f t="shared" si="40"/>
        <v>75366.123756303889</v>
      </c>
      <c r="N94" s="5">
        <f t="shared" si="41"/>
        <v>12500</v>
      </c>
      <c r="O94" s="5">
        <f t="shared" si="42"/>
        <v>87866.123756303889</v>
      </c>
      <c r="P94" s="5">
        <f t="shared" si="43"/>
        <v>35146.449502521558</v>
      </c>
      <c r="Q94" s="18">
        <v>3.5000000000000003E-2</v>
      </c>
      <c r="R94" s="18">
        <v>0.2</v>
      </c>
      <c r="S94" s="5">
        <f t="shared" si="25"/>
        <v>24560.740911270328</v>
      </c>
      <c r="T94" s="5">
        <f t="shared" si="26"/>
        <v>149680.17246782742</v>
      </c>
      <c r="U94" s="5">
        <f t="shared" si="44"/>
        <v>2985.4293689157453</v>
      </c>
      <c r="V94" s="5">
        <f t="shared" si="45"/>
        <v>5160.8571976478734</v>
      </c>
      <c r="W94" s="5">
        <f t="shared" si="24"/>
        <v>157826.45903439104</v>
      </c>
      <c r="X94" s="5">
        <f t="shared" si="27"/>
        <v>28158.933342512002</v>
      </c>
      <c r="Y94" s="5">
        <f t="shared" si="28"/>
        <v>7602.9120024782414</v>
      </c>
      <c r="Z94" s="5">
        <f t="shared" si="29"/>
        <v>20556.02134003376</v>
      </c>
      <c r="AA94" s="5">
        <f t="shared" si="30"/>
        <v>22669.055127259904</v>
      </c>
      <c r="AB94" s="5">
        <f t="shared" si="31"/>
        <v>-2113.0337872261443</v>
      </c>
      <c r="AC94" s="17">
        <f t="shared" si="32"/>
        <v>0.42067503921712979</v>
      </c>
      <c r="AD94" s="5">
        <f t="shared" si="33"/>
        <v>8647.4050833668589</v>
      </c>
      <c r="AE94" s="5">
        <f t="shared" si="34"/>
        <v>66393.651843793181</v>
      </c>
      <c r="AF94" s="2">
        <f t="shared" si="46"/>
        <v>0.13024445625783518</v>
      </c>
      <c r="AG94" s="21"/>
    </row>
    <row r="95" spans="2:33" customFormat="1" x14ac:dyDescent="0.3">
      <c r="B95" s="1"/>
      <c r="C95" s="1"/>
      <c r="D95" s="1"/>
      <c r="E95" s="4">
        <v>91</v>
      </c>
      <c r="F95" s="4">
        <v>8</v>
      </c>
      <c r="G95" s="5">
        <f t="shared" si="47"/>
        <v>39111546.422992118</v>
      </c>
      <c r="H95" s="5">
        <f t="shared" si="35"/>
        <v>1552664.3504091445</v>
      </c>
      <c r="I95" s="5">
        <f t="shared" si="36"/>
        <v>456301.37493490806</v>
      </c>
      <c r="J95" s="5">
        <f t="shared" si="37"/>
        <v>1096362.9754742365</v>
      </c>
      <c r="K95" s="5">
        <f t="shared" si="38"/>
        <v>38015183.447517887</v>
      </c>
      <c r="L95" s="5">
        <f t="shared" si="39"/>
        <v>40968942.17431546</v>
      </c>
      <c r="M95" s="5">
        <f t="shared" si="40"/>
        <v>73334.149543110281</v>
      </c>
      <c r="N95" s="5">
        <f t="shared" si="41"/>
        <v>12500</v>
      </c>
      <c r="O95" s="5">
        <f t="shared" si="42"/>
        <v>85834.149543110281</v>
      </c>
      <c r="P95" s="5">
        <f t="shared" si="43"/>
        <v>34333.659817244115</v>
      </c>
      <c r="Q95" s="18">
        <v>3.5000000000000003E-2</v>
      </c>
      <c r="R95" s="18">
        <v>0.2</v>
      </c>
      <c r="S95" s="5">
        <f t="shared" si="25"/>
        <v>23898.549601684019</v>
      </c>
      <c r="T95" s="5">
        <f t="shared" si="26"/>
        <v>145644.58942969146</v>
      </c>
      <c r="U95" s="5">
        <f t="shared" si="44"/>
        <v>2916.3889329250496</v>
      </c>
      <c r="V95" s="5">
        <f t="shared" si="45"/>
        <v>5041.508257518456</v>
      </c>
      <c r="W95" s="5">
        <f t="shared" si="24"/>
        <v>153602.48662013497</v>
      </c>
      <c r="X95" s="5">
        <f t="shared" si="27"/>
        <v>27601.940124182147</v>
      </c>
      <c r="Y95" s="5">
        <f t="shared" si="28"/>
        <v>7452.5238335291806</v>
      </c>
      <c r="Z95" s="5">
        <f t="shared" si="29"/>
        <v>20149.416290652967</v>
      </c>
      <c r="AA95" s="5">
        <f t="shared" si="30"/>
        <v>22062.354171662017</v>
      </c>
      <c r="AB95" s="5">
        <f t="shared" si="31"/>
        <v>-1912.9378810090493</v>
      </c>
      <c r="AC95" s="17">
        <f t="shared" si="32"/>
        <v>0.41664711058660603</v>
      </c>
      <c r="AD95" s="5">
        <f t="shared" si="33"/>
        <v>8395.1960775072475</v>
      </c>
      <c r="AE95" s="5">
        <f t="shared" si="34"/>
        <v>63998.032229197044</v>
      </c>
      <c r="AF95" s="2">
        <f t="shared" si="46"/>
        <v>0.13117897199466094</v>
      </c>
      <c r="AG95" s="21"/>
    </row>
    <row r="96" spans="2:33" customFormat="1" x14ac:dyDescent="0.3">
      <c r="B96" s="1"/>
      <c r="C96" s="1"/>
      <c r="D96" s="1"/>
      <c r="E96" s="4">
        <v>92</v>
      </c>
      <c r="F96" s="4">
        <v>8</v>
      </c>
      <c r="G96" s="5">
        <f t="shared" si="47"/>
        <v>38015183.447517887</v>
      </c>
      <c r="H96" s="5">
        <f t="shared" si="35"/>
        <v>1552664.3504091445</v>
      </c>
      <c r="I96" s="5">
        <f t="shared" si="36"/>
        <v>443510.47355437541</v>
      </c>
      <c r="J96" s="5">
        <f t="shared" si="37"/>
        <v>1109153.8768547692</v>
      </c>
      <c r="K96" s="5">
        <f t="shared" si="38"/>
        <v>36906029.570663117</v>
      </c>
      <c r="L96" s="5">
        <f t="shared" si="39"/>
        <v>39820513.245975785</v>
      </c>
      <c r="M96" s="5">
        <f t="shared" si="40"/>
        <v>71278.468964096101</v>
      </c>
      <c r="N96" s="5">
        <f t="shared" si="41"/>
        <v>12500</v>
      </c>
      <c r="O96" s="5">
        <f t="shared" si="42"/>
        <v>83778.468964096101</v>
      </c>
      <c r="P96" s="5">
        <f t="shared" si="43"/>
        <v>33511.38758563844</v>
      </c>
      <c r="Q96" s="18">
        <v>3.5000000000000003E-2</v>
      </c>
      <c r="R96" s="18">
        <v>0.2</v>
      </c>
      <c r="S96" s="5">
        <f t="shared" si="25"/>
        <v>23228.632726819211</v>
      </c>
      <c r="T96" s="5">
        <f t="shared" si="26"/>
        <v>141561.92458944392</v>
      </c>
      <c r="U96" s="5">
        <f t="shared" si="44"/>
        <v>2846.5430251811295</v>
      </c>
      <c r="V96" s="5">
        <f t="shared" si="45"/>
        <v>4920.7669130875292</v>
      </c>
      <c r="W96" s="5">
        <f t="shared" si="24"/>
        <v>149329.23452771257</v>
      </c>
      <c r="X96" s="5">
        <f t="shared" si="27"/>
        <v>27038.44865163845</v>
      </c>
      <c r="Y96" s="5">
        <f t="shared" si="28"/>
        <v>7300.3811359423817</v>
      </c>
      <c r="Z96" s="5">
        <f t="shared" si="29"/>
        <v>19738.067515696068</v>
      </c>
      <c r="AA96" s="5">
        <f t="shared" si="30"/>
        <v>21448.575038248819</v>
      </c>
      <c r="AB96" s="5">
        <f t="shared" si="31"/>
        <v>-1710.5075225527507</v>
      </c>
      <c r="AC96" s="17">
        <f t="shared" si="32"/>
        <v>0.41265774903884245</v>
      </c>
      <c r="AD96" s="5">
        <f t="shared" si="33"/>
        <v>8145.0665114038366</v>
      </c>
      <c r="AE96" s="5">
        <f t="shared" si="34"/>
        <v>61621.865785899259</v>
      </c>
      <c r="AF96" s="2">
        <f t="shared" si="46"/>
        <v>0.13217818719905827</v>
      </c>
      <c r="AG96" s="21"/>
    </row>
    <row r="97" spans="2:33" customFormat="1" x14ac:dyDescent="0.3">
      <c r="B97" s="1"/>
      <c r="C97" s="1"/>
      <c r="D97" s="1"/>
      <c r="E97" s="4">
        <v>93</v>
      </c>
      <c r="F97" s="4">
        <v>8</v>
      </c>
      <c r="G97" s="5">
        <f t="shared" si="47"/>
        <v>36906029.570663117</v>
      </c>
      <c r="H97" s="5">
        <f t="shared" si="35"/>
        <v>1552664.3504091445</v>
      </c>
      <c r="I97" s="5">
        <f t="shared" si="36"/>
        <v>430570.34499106975</v>
      </c>
      <c r="J97" s="5">
        <f t="shared" si="37"/>
        <v>1122094.0054180748</v>
      </c>
      <c r="K97" s="5">
        <f t="shared" si="38"/>
        <v>35783935.565245047</v>
      </c>
      <c r="L97" s="5">
        <f t="shared" si="39"/>
        <v>38658685.980138808</v>
      </c>
      <c r="M97" s="5">
        <f t="shared" si="40"/>
        <v>69198.805444993413</v>
      </c>
      <c r="N97" s="5">
        <f t="shared" si="41"/>
        <v>12500</v>
      </c>
      <c r="O97" s="5">
        <f t="shared" si="42"/>
        <v>81698.805444993413</v>
      </c>
      <c r="P97" s="5">
        <f t="shared" si="43"/>
        <v>32679.522177997365</v>
      </c>
      <c r="Q97" s="18">
        <v>3.5000000000000003E-2</v>
      </c>
      <c r="R97" s="18">
        <v>0.2</v>
      </c>
      <c r="S97" s="5">
        <f t="shared" si="25"/>
        <v>22550.900155080973</v>
      </c>
      <c r="T97" s="5">
        <f t="shared" si="26"/>
        <v>137431.62865939346</v>
      </c>
      <c r="U97" s="5">
        <f t="shared" si="44"/>
        <v>2775.8822485135302</v>
      </c>
      <c r="V97" s="5">
        <f t="shared" si="45"/>
        <v>4798.6169196382416</v>
      </c>
      <c r="W97" s="5">
        <f t="shared" si="24"/>
        <v>145006.12782754522</v>
      </c>
      <c r="X97" s="5">
        <f t="shared" si="27"/>
        <v>26468.383111915075</v>
      </c>
      <c r="Y97" s="5">
        <f t="shared" si="28"/>
        <v>7146.4634402170705</v>
      </c>
      <c r="Z97" s="5">
        <f t="shared" si="29"/>
        <v>19321.919671698004</v>
      </c>
      <c r="AA97" s="5">
        <f t="shared" si="30"/>
        <v>20827.635148279129</v>
      </c>
      <c r="AB97" s="5">
        <f t="shared" si="31"/>
        <v>-1505.7154765811247</v>
      </c>
      <c r="AC97" s="17">
        <f t="shared" si="32"/>
        <v>0.40870658529721837</v>
      </c>
      <c r="AD97" s="5">
        <f t="shared" si="33"/>
        <v>7896.9958104068419</v>
      </c>
      <c r="AE97" s="5">
        <f t="shared" si="34"/>
        <v>59264.959351567959</v>
      </c>
      <c r="AF97" s="2">
        <f t="shared" si="46"/>
        <v>0.13324898720609538</v>
      </c>
      <c r="AG97" s="21"/>
    </row>
    <row r="98" spans="2:33" customFormat="1" x14ac:dyDescent="0.3">
      <c r="B98" s="1"/>
      <c r="C98" s="1"/>
      <c r="D98" s="1"/>
      <c r="E98" s="4">
        <v>94</v>
      </c>
      <c r="F98" s="4">
        <v>8</v>
      </c>
      <c r="G98" s="5">
        <f t="shared" si="47"/>
        <v>35783935.565245047</v>
      </c>
      <c r="H98" s="5">
        <f t="shared" si="35"/>
        <v>1552664.3504091445</v>
      </c>
      <c r="I98" s="5">
        <f t="shared" si="36"/>
        <v>417479.24826119229</v>
      </c>
      <c r="J98" s="5">
        <f t="shared" si="37"/>
        <v>1135185.1021479522</v>
      </c>
      <c r="K98" s="5">
        <f t="shared" si="38"/>
        <v>34648750.463097095</v>
      </c>
      <c r="L98" s="5">
        <f t="shared" si="39"/>
        <v>37483304.062867075</v>
      </c>
      <c r="M98" s="5">
        <f t="shared" si="40"/>
        <v>67094.879184834528</v>
      </c>
      <c r="N98" s="5">
        <f t="shared" si="41"/>
        <v>12500</v>
      </c>
      <c r="O98" s="5">
        <f t="shared" si="42"/>
        <v>79594.879184834528</v>
      </c>
      <c r="P98" s="5">
        <f t="shared" si="43"/>
        <v>31837.951673933814</v>
      </c>
      <c r="Q98" s="18">
        <v>3.5000000000000003E-2</v>
      </c>
      <c r="R98" s="18">
        <v>0.2</v>
      </c>
      <c r="S98" s="5">
        <f t="shared" si="25"/>
        <v>21865.260703339129</v>
      </c>
      <c r="T98" s="5">
        <f t="shared" si="26"/>
        <v>133253.14594349242</v>
      </c>
      <c r="U98" s="5">
        <f t="shared" si="44"/>
        <v>2704.3970961181421</v>
      </c>
      <c r="V98" s="5">
        <f t="shared" si="45"/>
        <v>4675.0418429320462</v>
      </c>
      <c r="W98" s="5">
        <f t="shared" si="24"/>
        <v>140632.58488254261</v>
      </c>
      <c r="X98" s="5">
        <f t="shared" si="27"/>
        <v>25891.666807561585</v>
      </c>
      <c r="Y98" s="5">
        <f t="shared" si="28"/>
        <v>6990.7500380416286</v>
      </c>
      <c r="Z98" s="5">
        <f t="shared" si="29"/>
        <v>18900.916769519958</v>
      </c>
      <c r="AA98" s="5">
        <f t="shared" si="30"/>
        <v>20199.45095959313</v>
      </c>
      <c r="AB98" s="5">
        <f t="shared" si="31"/>
        <v>-1298.5341900731728</v>
      </c>
      <c r="AC98" s="17">
        <f t="shared" si="32"/>
        <v>0.40479325362090623</v>
      </c>
      <c r="AD98" s="5">
        <f t="shared" si="33"/>
        <v>7650.9635955519316</v>
      </c>
      <c r="AE98" s="5">
        <f t="shared" si="34"/>
        <v>56927.121599722697</v>
      </c>
      <c r="AF98" s="2">
        <f t="shared" si="46"/>
        <v>0.13439927016420941</v>
      </c>
      <c r="AG98" s="21"/>
    </row>
    <row r="99" spans="2:33" customFormat="1" x14ac:dyDescent="0.3">
      <c r="B99" s="1"/>
      <c r="C99" s="1"/>
      <c r="D99" s="1"/>
      <c r="E99" s="4">
        <v>95</v>
      </c>
      <c r="F99" s="4">
        <v>8</v>
      </c>
      <c r="G99" s="5">
        <f t="shared" si="47"/>
        <v>34648750.463097095</v>
      </c>
      <c r="H99" s="5">
        <f t="shared" si="35"/>
        <v>1552664.3504091445</v>
      </c>
      <c r="I99" s="5">
        <f t="shared" si="36"/>
        <v>404235.42206946615</v>
      </c>
      <c r="J99" s="5">
        <f t="shared" si="37"/>
        <v>1148428.9283396783</v>
      </c>
      <c r="K99" s="5">
        <f t="shared" si="38"/>
        <v>33500321.53475742</v>
      </c>
      <c r="L99" s="5">
        <f t="shared" si="39"/>
        <v>36294209.356560498</v>
      </c>
      <c r="M99" s="5">
        <f t="shared" si="40"/>
        <v>64966.407118307114</v>
      </c>
      <c r="N99" s="5">
        <f t="shared" si="41"/>
        <v>12500</v>
      </c>
      <c r="O99" s="5">
        <f t="shared" si="42"/>
        <v>77466.407118307106</v>
      </c>
      <c r="P99" s="5">
        <f t="shared" si="43"/>
        <v>30986.562847322843</v>
      </c>
      <c r="Q99" s="18">
        <v>3.5000000000000003E-2</v>
      </c>
      <c r="R99" s="18">
        <v>0.2</v>
      </c>
      <c r="S99" s="5">
        <f t="shared" si="25"/>
        <v>21171.622124660295</v>
      </c>
      <c r="T99" s="5">
        <f t="shared" si="26"/>
        <v>129025.91426257255</v>
      </c>
      <c r="U99" s="5">
        <f t="shared" si="44"/>
        <v>2632.0779502781406</v>
      </c>
      <c r="V99" s="5">
        <f t="shared" si="45"/>
        <v>4550.0250569976097</v>
      </c>
      <c r="W99" s="5">
        <f t="shared" si="24"/>
        <v>136208.01726984829</v>
      </c>
      <c r="X99" s="5">
        <f t="shared" si="27"/>
        <v>25308.222146323969</v>
      </c>
      <c r="Y99" s="5">
        <f t="shared" si="28"/>
        <v>6833.2199795074721</v>
      </c>
      <c r="Z99" s="5">
        <f t="shared" si="29"/>
        <v>18475.002166816499</v>
      </c>
      <c r="AA99" s="5">
        <f t="shared" si="30"/>
        <v>19563.937955372461</v>
      </c>
      <c r="AB99" s="5">
        <f t="shared" si="31"/>
        <v>-1088.9357885559621</v>
      </c>
      <c r="AC99" s="17">
        <f t="shared" si="32"/>
        <v>0.40091739177101676</v>
      </c>
      <c r="AD99" s="5">
        <f t="shared" si="33"/>
        <v>7406.9496816839537</v>
      </c>
      <c r="AE99" s="5">
        <f t="shared" si="34"/>
        <v>54608.163022129185</v>
      </c>
      <c r="AF99" s="2">
        <f t="shared" si="46"/>
        <v>0.13563814037623628</v>
      </c>
      <c r="AG99" s="21"/>
    </row>
    <row r="100" spans="2:33" customFormat="1" x14ac:dyDescent="0.3">
      <c r="B100" s="1"/>
      <c r="C100" s="1"/>
      <c r="D100" s="1"/>
      <c r="E100" s="4">
        <v>96</v>
      </c>
      <c r="F100" s="4">
        <v>8</v>
      </c>
      <c r="G100" s="5">
        <f t="shared" si="47"/>
        <v>33500321.53475742</v>
      </c>
      <c r="H100" s="5">
        <f t="shared" si="35"/>
        <v>1552664.3504091445</v>
      </c>
      <c r="I100" s="5">
        <f t="shared" si="36"/>
        <v>390837.08457216993</v>
      </c>
      <c r="J100" s="5">
        <f t="shared" si="37"/>
        <v>1161827.2658369746</v>
      </c>
      <c r="K100" s="5">
        <f t="shared" si="38"/>
        <v>32338494.268920444</v>
      </c>
      <c r="L100" s="5">
        <f t="shared" si="39"/>
        <v>35091241.878680348</v>
      </c>
      <c r="M100" s="5">
        <f t="shared" si="40"/>
        <v>62813.102877670222</v>
      </c>
      <c r="N100" s="5">
        <f t="shared" si="41"/>
        <v>12500</v>
      </c>
      <c r="O100" s="5">
        <f t="shared" si="42"/>
        <v>75313.10287767023</v>
      </c>
      <c r="P100" s="5">
        <f t="shared" si="43"/>
        <v>30125.241151068094</v>
      </c>
      <c r="Q100" s="18">
        <v>3.5000000000000003E-2</v>
      </c>
      <c r="R100" s="18">
        <v>0.2</v>
      </c>
      <c r="S100" s="5">
        <f t="shared" si="25"/>
        <v>20469.891095896874</v>
      </c>
      <c r="T100" s="5">
        <f t="shared" si="26"/>
        <v>124749.36487870864</v>
      </c>
      <c r="U100" s="5">
        <f t="shared" si="44"/>
        <v>2558.9150810700071</v>
      </c>
      <c r="V100" s="5">
        <f t="shared" si="45"/>
        <v>4423.5497418939412</v>
      </c>
      <c r="W100" s="5">
        <f t="shared" si="24"/>
        <v>131731.8297016726</v>
      </c>
      <c r="X100" s="5">
        <f t="shared" si="27"/>
        <v>24717.970630705258</v>
      </c>
      <c r="Y100" s="5">
        <f t="shared" si="28"/>
        <v>6673.8520702904198</v>
      </c>
      <c r="Z100" s="5">
        <f t="shared" si="29"/>
        <v>18044.118560414838</v>
      </c>
      <c r="AA100" s="5">
        <f t="shared" si="30"/>
        <v>18921.010632769227</v>
      </c>
      <c r="AB100" s="5">
        <f t="shared" si="31"/>
        <v>-876.8920723543888</v>
      </c>
      <c r="AC100" s="17">
        <f t="shared" si="32"/>
        <v>0.39707864097706747</v>
      </c>
      <c r="AD100" s="5">
        <f t="shared" si="33"/>
        <v>7164.9340755986032</v>
      </c>
      <c r="AE100" s="5">
        <f t="shared" si="34"/>
        <v>52307.895911362648</v>
      </c>
      <c r="AF100" s="2">
        <f t="shared" si="46"/>
        <v>0.13697614768790942</v>
      </c>
      <c r="AG100" s="21"/>
    </row>
    <row r="101" spans="2:33" customFormat="1" x14ac:dyDescent="0.3">
      <c r="B101" s="1"/>
      <c r="C101" s="1"/>
      <c r="D101" s="1"/>
      <c r="E101" s="4">
        <v>97</v>
      </c>
      <c r="F101" s="4">
        <v>9</v>
      </c>
      <c r="G101" s="5">
        <f t="shared" si="47"/>
        <v>32338494.268920444</v>
      </c>
      <c r="H101" s="5">
        <f t="shared" si="35"/>
        <v>1552664.3504091445</v>
      </c>
      <c r="I101" s="5">
        <f t="shared" si="36"/>
        <v>377282.4331374052</v>
      </c>
      <c r="J101" s="5">
        <f t="shared" si="37"/>
        <v>1175381.9172717393</v>
      </c>
      <c r="K101" s="5">
        <f t="shared" si="38"/>
        <v>31163112.351648703</v>
      </c>
      <c r="L101" s="5">
        <f t="shared" si="39"/>
        <v>33874239.780224927</v>
      </c>
      <c r="M101" s="5">
        <f t="shared" si="40"/>
        <v>60634.676754225889</v>
      </c>
      <c r="N101" s="5">
        <f t="shared" si="41"/>
        <v>12500</v>
      </c>
      <c r="O101" s="5">
        <f t="shared" si="42"/>
        <v>73134.676754225889</v>
      </c>
      <c r="P101" s="5">
        <f t="shared" si="43"/>
        <v>29253.870701690357</v>
      </c>
      <c r="Q101" s="18">
        <v>3.5000000000000003E-2</v>
      </c>
      <c r="R101" s="18">
        <v>0.2</v>
      </c>
      <c r="S101" s="5">
        <f t="shared" si="25"/>
        <v>19759.973205131209</v>
      </c>
      <c r="T101" s="5">
        <f t="shared" si="26"/>
        <v>120422.9224186996</v>
      </c>
      <c r="U101" s="5">
        <f t="shared" si="44"/>
        <v>2484.8986450544439</v>
      </c>
      <c r="V101" s="5">
        <f t="shared" si="45"/>
        <v>4295.598881447394</v>
      </c>
      <c r="W101" s="5">
        <f t="shared" si="24"/>
        <v>127203.41994520144</v>
      </c>
      <c r="X101" s="5">
        <f t="shared" si="27"/>
        <v>24120.832847404323</v>
      </c>
      <c r="Y101" s="5">
        <f t="shared" si="28"/>
        <v>6512.6248687991674</v>
      </c>
      <c r="Z101" s="5">
        <f t="shared" si="29"/>
        <v>17608.207978605154</v>
      </c>
      <c r="AA101" s="5">
        <f t="shared" si="30"/>
        <v>18270.582491402278</v>
      </c>
      <c r="AB101" s="5">
        <f t="shared" si="31"/>
        <v>-662.37451279712332</v>
      </c>
      <c r="AC101" s="17">
        <f t="shared" si="32"/>
        <v>0.39327664590377431</v>
      </c>
      <c r="AD101" s="5">
        <f t="shared" si="33"/>
        <v>6924.8969742019126</v>
      </c>
      <c r="AE101" s="5">
        <f t="shared" si="34"/>
        <v>50026.134343538091</v>
      </c>
      <c r="AF101" s="2">
        <f t="shared" si="46"/>
        <v>0.13842558624752915</v>
      </c>
      <c r="AG101" s="21"/>
    </row>
    <row r="102" spans="2:33" customFormat="1" x14ac:dyDescent="0.3">
      <c r="B102" s="1"/>
      <c r="C102" s="1"/>
      <c r="D102" s="1"/>
      <c r="E102" s="4">
        <v>98</v>
      </c>
      <c r="F102" s="4">
        <v>9</v>
      </c>
      <c r="G102" s="5">
        <f t="shared" si="47"/>
        <v>31163112.351648703</v>
      </c>
      <c r="H102" s="5">
        <f t="shared" si="35"/>
        <v>1552664.3504091445</v>
      </c>
      <c r="I102" s="5">
        <f t="shared" si="36"/>
        <v>363569.64410256827</v>
      </c>
      <c r="J102" s="5">
        <f t="shared" si="37"/>
        <v>1189094.7063065763</v>
      </c>
      <c r="K102" s="5">
        <f t="shared" si="38"/>
        <v>29974017.645342126</v>
      </c>
      <c r="L102" s="5">
        <f t="shared" si="39"/>
        <v>32643039.323954191</v>
      </c>
      <c r="M102" s="5">
        <f t="shared" si="40"/>
        <v>58430.83565934137</v>
      </c>
      <c r="N102" s="5">
        <f t="shared" si="41"/>
        <v>12500</v>
      </c>
      <c r="O102" s="5">
        <f t="shared" si="42"/>
        <v>70930.835659341363</v>
      </c>
      <c r="P102" s="5">
        <f t="shared" si="43"/>
        <v>28372.334263736546</v>
      </c>
      <c r="Q102" s="18">
        <v>3.5000000000000003E-2</v>
      </c>
      <c r="R102" s="18">
        <v>0.2</v>
      </c>
      <c r="S102" s="5">
        <f t="shared" si="25"/>
        <v>19041.772938973281</v>
      </c>
      <c r="T102" s="5">
        <f t="shared" si="26"/>
        <v>116046.00479665714</v>
      </c>
      <c r="U102" s="5">
        <f t="shared" si="44"/>
        <v>2410.0186839520329</v>
      </c>
      <c r="V102" s="5">
        <f t="shared" si="45"/>
        <v>4166.1552609623041</v>
      </c>
      <c r="W102" s="5">
        <f t="shared" si="24"/>
        <v>122622.17874157148</v>
      </c>
      <c r="X102" s="5">
        <f t="shared" si="27"/>
        <v>23516.728456631539</v>
      </c>
      <c r="Y102" s="5">
        <f t="shared" si="28"/>
        <v>6349.5166832905161</v>
      </c>
      <c r="Z102" s="5">
        <f t="shared" si="29"/>
        <v>17167.211773341023</v>
      </c>
      <c r="AA102" s="5">
        <f t="shared" si="30"/>
        <v>17612.56602171938</v>
      </c>
      <c r="AB102" s="5">
        <f t="shared" si="31"/>
        <v>-445.35424837835671</v>
      </c>
      <c r="AC102" s="17">
        <f t="shared" si="32"/>
        <v>0.38951105461815838</v>
      </c>
      <c r="AD102" s="5">
        <f t="shared" si="33"/>
        <v>6686.8187626873269</v>
      </c>
      <c r="AE102" s="5">
        <f t="shared" si="34"/>
        <v>47762.694161205829</v>
      </c>
      <c r="AF102" s="2">
        <f t="shared" si="46"/>
        <v>0.14000087055638802</v>
      </c>
      <c r="AG102" s="21"/>
    </row>
    <row r="103" spans="2:33" customFormat="1" x14ac:dyDescent="0.3">
      <c r="B103" s="1"/>
      <c r="C103" s="1"/>
      <c r="D103" s="1"/>
      <c r="E103" s="4">
        <v>99</v>
      </c>
      <c r="F103" s="4">
        <v>9</v>
      </c>
      <c r="G103" s="5">
        <f t="shared" si="47"/>
        <v>29974017.645342126</v>
      </c>
      <c r="H103" s="5">
        <f t="shared" si="35"/>
        <v>1552664.3504091445</v>
      </c>
      <c r="I103" s="5">
        <f t="shared" si="36"/>
        <v>349696.87252899149</v>
      </c>
      <c r="J103" s="5">
        <f t="shared" si="37"/>
        <v>1202967.4778801531</v>
      </c>
      <c r="K103" s="5">
        <f t="shared" si="38"/>
        <v>28771050.167461976</v>
      </c>
      <c r="L103" s="5">
        <f t="shared" si="39"/>
        <v>31397474.862360295</v>
      </c>
      <c r="M103" s="5">
        <f t="shared" si="40"/>
        <v>56201.283085016534</v>
      </c>
      <c r="N103" s="5">
        <f t="shared" si="41"/>
        <v>12500</v>
      </c>
      <c r="O103" s="5">
        <f t="shared" si="42"/>
        <v>68701.283085016534</v>
      </c>
      <c r="P103" s="5">
        <f t="shared" si="43"/>
        <v>27480.513234006616</v>
      </c>
      <c r="Q103" s="18">
        <v>3.5000000000000003E-2</v>
      </c>
      <c r="R103" s="18">
        <v>0.2</v>
      </c>
      <c r="S103" s="5">
        <f t="shared" si="25"/>
        <v>18315.193669710174</v>
      </c>
      <c r="T103" s="5">
        <f t="shared" si="26"/>
        <v>111618.02313569083</v>
      </c>
      <c r="U103" s="5">
        <f t="shared" si="44"/>
        <v>2334.2651233034271</v>
      </c>
      <c r="V103" s="5">
        <f t="shared" si="45"/>
        <v>4035.2014649048883</v>
      </c>
      <c r="W103" s="5">
        <f t="shared" si="24"/>
        <v>117987.48972389915</v>
      </c>
      <c r="X103" s="5">
        <f t="shared" si="27"/>
        <v>22905.576181299741</v>
      </c>
      <c r="Y103" s="5">
        <f t="shared" si="28"/>
        <v>6184.50556895093</v>
      </c>
      <c r="Z103" s="5">
        <f t="shared" si="29"/>
        <v>16721.070612348813</v>
      </c>
      <c r="AA103" s="5">
        <f t="shared" si="30"/>
        <v>16946.872693223515</v>
      </c>
      <c r="AB103" s="5">
        <f t="shared" si="31"/>
        <v>-225.80208087470237</v>
      </c>
      <c r="AC103" s="17">
        <f t="shared" si="32"/>
        <v>0.38578151855697035</v>
      </c>
      <c r="AD103" s="5">
        <f t="shared" si="33"/>
        <v>6450.6800127302549</v>
      </c>
      <c r="AE103" s="5">
        <f t="shared" si="34"/>
        <v>45517.392956410753</v>
      </c>
      <c r="AF103" s="2">
        <f t="shared" si="46"/>
        <v>0.14171901318925889</v>
      </c>
      <c r="AG103" s="21"/>
    </row>
    <row r="104" spans="2:33" customFormat="1" x14ac:dyDescent="0.3">
      <c r="B104" s="1"/>
      <c r="C104" s="1"/>
      <c r="D104" s="1"/>
      <c r="E104" s="4">
        <v>100</v>
      </c>
      <c r="F104" s="4">
        <v>9</v>
      </c>
      <c r="G104" s="5">
        <f t="shared" si="47"/>
        <v>28771050.167461976</v>
      </c>
      <c r="H104" s="5">
        <f t="shared" si="35"/>
        <v>1552664.3504091445</v>
      </c>
      <c r="I104" s="5">
        <f t="shared" si="36"/>
        <v>335662.25195372308</v>
      </c>
      <c r="J104" s="5">
        <f t="shared" si="37"/>
        <v>1217002.0984554214</v>
      </c>
      <c r="K104" s="5">
        <f t="shared" si="38"/>
        <v>27554048.069006555</v>
      </c>
      <c r="L104" s="5">
        <f t="shared" si="39"/>
        <v>30137378.815381143</v>
      </c>
      <c r="M104" s="5">
        <f t="shared" si="40"/>
        <v>53945.719063991251</v>
      </c>
      <c r="N104" s="5">
        <f t="shared" si="41"/>
        <v>12500</v>
      </c>
      <c r="O104" s="5">
        <f t="shared" si="42"/>
        <v>66445.719063991244</v>
      </c>
      <c r="P104" s="5">
        <f t="shared" si="43"/>
        <v>26578.287625596498</v>
      </c>
      <c r="Q104" s="18">
        <v>3.5000000000000003E-2</v>
      </c>
      <c r="R104" s="18">
        <v>0.2</v>
      </c>
      <c r="S104" s="5">
        <f t="shared" si="25"/>
        <v>17580.137642305668</v>
      </c>
      <c r="T104" s="5">
        <f t="shared" si="26"/>
        <v>107138.38168867995</v>
      </c>
      <c r="U104" s="5">
        <f t="shared" si="44"/>
        <v>2257.627771113921</v>
      </c>
      <c r="V104" s="5">
        <f t="shared" si="45"/>
        <v>3902.7198745601363</v>
      </c>
      <c r="W104" s="5">
        <f t="shared" si="24"/>
        <v>113298.72933435401</v>
      </c>
      <c r="X104" s="5">
        <f t="shared" si="27"/>
        <v>22287.293796089081</v>
      </c>
      <c r="Y104" s="5">
        <f t="shared" si="28"/>
        <v>6017.5693249440519</v>
      </c>
      <c r="Z104" s="5">
        <f t="shared" si="29"/>
        <v>16269.724471145029</v>
      </c>
      <c r="AA104" s="5">
        <f t="shared" si="30"/>
        <v>16273.412942561868</v>
      </c>
      <c r="AB104" s="5">
        <f t="shared" si="31"/>
        <v>-3.6884714168390929</v>
      </c>
      <c r="AC104" s="17">
        <f t="shared" si="32"/>
        <v>0.38208769249442504</v>
      </c>
      <c r="AD104" s="5">
        <f t="shared" si="33"/>
        <v>6216.4614806998843</v>
      </c>
      <c r="AE104" s="5">
        <f t="shared" si="34"/>
        <v>43290.05005391375</v>
      </c>
      <c r="AF104" s="2">
        <f t="shared" si="46"/>
        <v>0.14360023776728964</v>
      </c>
      <c r="AG104" s="21"/>
    </row>
    <row r="105" spans="2:33" customFormat="1" x14ac:dyDescent="0.3">
      <c r="B105" s="1"/>
      <c r="C105" s="1"/>
      <c r="D105" s="1"/>
      <c r="E105" s="4">
        <v>101</v>
      </c>
      <c r="F105" s="4">
        <v>9</v>
      </c>
      <c r="G105" s="5">
        <f t="shared" si="47"/>
        <v>27554048.069006555</v>
      </c>
      <c r="H105" s="5">
        <f t="shared" si="35"/>
        <v>1552664.3504091445</v>
      </c>
      <c r="I105" s="5">
        <f t="shared" si="36"/>
        <v>321463.89413840981</v>
      </c>
      <c r="J105" s="5">
        <f t="shared" si="37"/>
        <v>1231200.4562707348</v>
      </c>
      <c r="K105" s="5">
        <f t="shared" si="38"/>
        <v>26322847.612735823</v>
      </c>
      <c r="L105" s="5">
        <f t="shared" si="39"/>
        <v>28862581.6478539</v>
      </c>
      <c r="M105" s="5">
        <f t="shared" si="40"/>
        <v>51663.840129387332</v>
      </c>
      <c r="N105" s="5">
        <f t="shared" si="41"/>
        <v>12500</v>
      </c>
      <c r="O105" s="5">
        <f t="shared" si="42"/>
        <v>64163.840129387332</v>
      </c>
      <c r="P105" s="5">
        <f t="shared" si="43"/>
        <v>25665.536051754934</v>
      </c>
      <c r="Q105" s="18">
        <v>3.5000000000000003E-2</v>
      </c>
      <c r="R105" s="18">
        <v>0.2</v>
      </c>
      <c r="S105" s="5">
        <f t="shared" si="25"/>
        <v>16836.505961248109</v>
      </c>
      <c r="T105" s="5">
        <f t="shared" si="26"/>
        <v>102606.4777581206</v>
      </c>
      <c r="U105" s="5">
        <f t="shared" si="44"/>
        <v>2180.0963164822042</v>
      </c>
      <c r="V105" s="5">
        <f t="shared" si="45"/>
        <v>3768.6926656613623</v>
      </c>
      <c r="W105" s="5">
        <f t="shared" ref="W105:W124" si="48">SUM(T105:V105)</f>
        <v>108555.26674026417</v>
      </c>
      <c r="X105" s="5">
        <f t="shared" si="27"/>
        <v>21661.798116384289</v>
      </c>
      <c r="Y105" s="5">
        <f t="shared" si="28"/>
        <v>5848.6854914237583</v>
      </c>
      <c r="Z105" s="5">
        <f t="shared" si="29"/>
        <v>15813.11262496053</v>
      </c>
      <c r="AA105" s="5">
        <f t="shared" si="30"/>
        <v>15592.096161475836</v>
      </c>
      <c r="AB105" s="5">
        <f t="shared" si="31"/>
        <v>221.0164634846933</v>
      </c>
      <c r="AC105" s="17">
        <f t="shared" si="32"/>
        <v>0.37842923451024524</v>
      </c>
      <c r="AD105" s="5">
        <f t="shared" si="33"/>
        <v>5984.1441058881082</v>
      </c>
      <c r="AE105" s="5">
        <f t="shared" si="34"/>
        <v>41080.486494573655</v>
      </c>
      <c r="AF105" s="2">
        <f t="shared" si="46"/>
        <v>0.14566877407059328</v>
      </c>
      <c r="AG105" s="21"/>
    </row>
    <row r="106" spans="2:33" customFormat="1" x14ac:dyDescent="0.3">
      <c r="B106" s="1"/>
      <c r="C106" s="1"/>
      <c r="D106" s="1"/>
      <c r="E106" s="4">
        <v>102</v>
      </c>
      <c r="F106" s="4">
        <v>9</v>
      </c>
      <c r="G106" s="5">
        <f t="shared" si="47"/>
        <v>26322847.612735823</v>
      </c>
      <c r="H106" s="5">
        <f t="shared" si="35"/>
        <v>1552664.3504091445</v>
      </c>
      <c r="I106" s="5">
        <f t="shared" si="36"/>
        <v>307099.8888152513</v>
      </c>
      <c r="J106" s="5">
        <f t="shared" si="37"/>
        <v>1245564.4615938934</v>
      </c>
      <c r="K106" s="5">
        <f t="shared" si="38"/>
        <v>25077283.151141927</v>
      </c>
      <c r="L106" s="5">
        <f t="shared" si="39"/>
        <v>27572911.846705504</v>
      </c>
      <c r="M106" s="5">
        <f t="shared" si="40"/>
        <v>49355.339273879712</v>
      </c>
      <c r="N106" s="5">
        <f t="shared" si="41"/>
        <v>12500</v>
      </c>
      <c r="O106" s="5">
        <f t="shared" si="42"/>
        <v>61855.339273879712</v>
      </c>
      <c r="P106" s="5">
        <f t="shared" si="43"/>
        <v>24742.135709551887</v>
      </c>
      <c r="Q106" s="18">
        <v>3.5000000000000003E-2</v>
      </c>
      <c r="R106" s="18">
        <v>0.2</v>
      </c>
      <c r="S106" s="5">
        <f t="shared" si="25"/>
        <v>16084.198577244877</v>
      </c>
      <c r="T106" s="5">
        <f t="shared" si="26"/>
        <v>98021.701615038037</v>
      </c>
      <c r="U106" s="5">
        <f t="shared" si="44"/>
        <v>2101.6603282131173</v>
      </c>
      <c r="V106" s="5">
        <f t="shared" si="45"/>
        <v>3633.101805992103</v>
      </c>
      <c r="W106" s="5">
        <f t="shared" si="48"/>
        <v>103756.46374924325</v>
      </c>
      <c r="X106" s="5">
        <f t="shared" si="27"/>
        <v>21029.004987082946</v>
      </c>
      <c r="Y106" s="5">
        <f t="shared" si="28"/>
        <v>5677.8313465123956</v>
      </c>
      <c r="Z106" s="5">
        <f t="shared" si="29"/>
        <v>15351.173640570551</v>
      </c>
      <c r="AA106" s="5">
        <f t="shared" si="30"/>
        <v>14902.830684610464</v>
      </c>
      <c r="AB106" s="5">
        <f t="shared" si="31"/>
        <v>448.34295596008633</v>
      </c>
      <c r="AC106" s="17">
        <f t="shared" si="32"/>
        <v>0.37480580595801255</v>
      </c>
      <c r="AD106" s="5">
        <f t="shared" si="33"/>
        <v>5753.7090087554425</v>
      </c>
      <c r="AE106" s="5">
        <f t="shared" si="34"/>
        <v>38888.525018888431</v>
      </c>
      <c r="AF106" s="2">
        <f t="shared" si="46"/>
        <v>0.14795390172193018</v>
      </c>
      <c r="AG106" s="21"/>
    </row>
    <row r="107" spans="2:33" customFormat="1" x14ac:dyDescent="0.3">
      <c r="B107" s="1"/>
      <c r="C107" s="1"/>
      <c r="D107" s="1"/>
      <c r="E107" s="4">
        <v>103</v>
      </c>
      <c r="F107" s="4">
        <v>9</v>
      </c>
      <c r="G107" s="5">
        <f t="shared" si="47"/>
        <v>25077283.151141927</v>
      </c>
      <c r="H107" s="5">
        <f t="shared" si="35"/>
        <v>1552664.3504091445</v>
      </c>
      <c r="I107" s="5">
        <f t="shared" si="36"/>
        <v>292568.3034299892</v>
      </c>
      <c r="J107" s="5">
        <f t="shared" si="37"/>
        <v>1260096.0469791554</v>
      </c>
      <c r="K107" s="5">
        <f t="shared" si="38"/>
        <v>23817187.104162775</v>
      </c>
      <c r="L107" s="5">
        <f t="shared" si="39"/>
        <v>26268195.897877041</v>
      </c>
      <c r="M107" s="5">
        <f t="shared" si="40"/>
        <v>47019.905908391149</v>
      </c>
      <c r="N107" s="5">
        <f t="shared" si="41"/>
        <v>12500</v>
      </c>
      <c r="O107" s="5">
        <f t="shared" si="42"/>
        <v>59519.905908391149</v>
      </c>
      <c r="P107" s="5">
        <f t="shared" si="43"/>
        <v>23807.962363356462</v>
      </c>
      <c r="Q107" s="18">
        <v>3.5000000000000003E-2</v>
      </c>
      <c r="R107" s="18">
        <v>0.2</v>
      </c>
      <c r="S107" s="5">
        <f t="shared" si="25"/>
        <v>15323.11427376161</v>
      </c>
      <c r="T107" s="5">
        <f t="shared" si="26"/>
        <v>93383.436416952885</v>
      </c>
      <c r="U107" s="5">
        <f t="shared" si="44"/>
        <v>2022.309253414224</v>
      </c>
      <c r="V107" s="5">
        <f t="shared" si="45"/>
        <v>3495.9290529600344</v>
      </c>
      <c r="W107" s="5">
        <f t="shared" si="48"/>
        <v>98901.674723327145</v>
      </c>
      <c r="X107" s="5">
        <f t="shared" si="27"/>
        <v>20388.829271273076</v>
      </c>
      <c r="Y107" s="5">
        <f t="shared" si="28"/>
        <v>5504.9839032437312</v>
      </c>
      <c r="Z107" s="5">
        <f t="shared" si="29"/>
        <v>14883.845368029346</v>
      </c>
      <c r="AA107" s="5">
        <f t="shared" si="30"/>
        <v>14205.523777181668</v>
      </c>
      <c r="AB107" s="5">
        <f t="shared" si="31"/>
        <v>678.32159084767773</v>
      </c>
      <c r="AC107" s="17">
        <f t="shared" si="32"/>
        <v>0.37121707143381955</v>
      </c>
      <c r="AD107" s="5">
        <f t="shared" si="33"/>
        <v>5525.1374891936739</v>
      </c>
      <c r="AE107" s="5">
        <f t="shared" si="34"/>
        <v>36713.990050693719</v>
      </c>
      <c r="AF107" s="2">
        <f t="shared" si="46"/>
        <v>0.15049133808569182</v>
      </c>
      <c r="AG107" s="21"/>
    </row>
    <row r="108" spans="2:33" customFormat="1" x14ac:dyDescent="0.3">
      <c r="B108" s="1"/>
      <c r="C108" s="1"/>
      <c r="D108" s="1"/>
      <c r="E108" s="4">
        <v>104</v>
      </c>
      <c r="F108" s="4">
        <v>9</v>
      </c>
      <c r="G108" s="5">
        <f t="shared" si="47"/>
        <v>23817187.104162775</v>
      </c>
      <c r="H108" s="5">
        <f t="shared" si="35"/>
        <v>1552664.3504091445</v>
      </c>
      <c r="I108" s="5">
        <f t="shared" si="36"/>
        <v>277867.18288189906</v>
      </c>
      <c r="J108" s="5">
        <f t="shared" si="37"/>
        <v>1274797.1675272454</v>
      </c>
      <c r="K108" s="5">
        <f t="shared" si="38"/>
        <v>22542389.936635531</v>
      </c>
      <c r="L108" s="5">
        <f t="shared" si="39"/>
        <v>24948258.262978915</v>
      </c>
      <c r="M108" s="5">
        <f t="shared" si="40"/>
        <v>44657.225820305241</v>
      </c>
      <c r="N108" s="5">
        <f t="shared" si="41"/>
        <v>12500</v>
      </c>
      <c r="O108" s="5">
        <f t="shared" si="42"/>
        <v>57157.225820305241</v>
      </c>
      <c r="P108" s="5">
        <f t="shared" si="43"/>
        <v>22862.890328122099</v>
      </c>
      <c r="Q108" s="18">
        <v>3.5000000000000003E-2</v>
      </c>
      <c r="R108" s="18">
        <v>0.2</v>
      </c>
      <c r="S108" s="5">
        <f t="shared" si="25"/>
        <v>14553.150653404367</v>
      </c>
      <c r="T108" s="5">
        <f t="shared" si="26"/>
        <v>88691.058124890027</v>
      </c>
      <c r="U108" s="5">
        <f t="shared" si="44"/>
        <v>1942.032416076011</v>
      </c>
      <c r="V108" s="5">
        <f t="shared" si="45"/>
        <v>3357.155951142593</v>
      </c>
      <c r="W108" s="5">
        <f t="shared" si="48"/>
        <v>93990.246492108621</v>
      </c>
      <c r="X108" s="5">
        <f t="shared" si="27"/>
        <v>19741.184838778776</v>
      </c>
      <c r="Y108" s="5">
        <f t="shared" si="28"/>
        <v>5330.1199064702696</v>
      </c>
      <c r="Z108" s="5">
        <f t="shared" si="29"/>
        <v>14411.064932308505</v>
      </c>
      <c r="AA108" s="5">
        <f t="shared" si="30"/>
        <v>13500.081622499529</v>
      </c>
      <c r="AB108" s="5">
        <f t="shared" si="31"/>
        <v>910.98330980897663</v>
      </c>
      <c r="AC108" s="17">
        <f t="shared" si="32"/>
        <v>0.36766269874522345</v>
      </c>
      <c r="AD108" s="5">
        <f t="shared" si="33"/>
        <v>5298.4110248051957</v>
      </c>
      <c r="AE108" s="5">
        <f t="shared" si="34"/>
        <v>34556.707681017426</v>
      </c>
      <c r="AF108" s="2">
        <f t="shared" si="46"/>
        <v>0.15332511053174491</v>
      </c>
      <c r="AG108" s="21"/>
    </row>
    <row r="109" spans="2:33" customFormat="1" x14ac:dyDescent="0.3">
      <c r="B109" s="1"/>
      <c r="C109" s="1"/>
      <c r="D109" s="1"/>
      <c r="E109" s="4">
        <v>105</v>
      </c>
      <c r="F109" s="4">
        <v>9</v>
      </c>
      <c r="G109" s="5">
        <f t="shared" si="47"/>
        <v>22542389.936635531</v>
      </c>
      <c r="H109" s="5">
        <f t="shared" si="35"/>
        <v>1552664.3504091445</v>
      </c>
      <c r="I109" s="5">
        <f t="shared" si="36"/>
        <v>262994.54926074791</v>
      </c>
      <c r="J109" s="5">
        <f t="shared" si="37"/>
        <v>1289669.8011483967</v>
      </c>
      <c r="K109" s="5">
        <f t="shared" si="38"/>
        <v>21252720.135487132</v>
      </c>
      <c r="L109" s="5">
        <f t="shared" si="39"/>
        <v>23612921.355673648</v>
      </c>
      <c r="M109" s="5">
        <f t="shared" si="40"/>
        <v>42266.981131191664</v>
      </c>
      <c r="N109" s="5">
        <f t="shared" si="41"/>
        <v>12500</v>
      </c>
      <c r="O109" s="5">
        <f t="shared" si="42"/>
        <v>54766.981131191664</v>
      </c>
      <c r="P109" s="5">
        <f t="shared" si="43"/>
        <v>21906.792452476668</v>
      </c>
      <c r="Q109" s="18">
        <v>3.5000000000000003E-2</v>
      </c>
      <c r="R109" s="18">
        <v>0.2</v>
      </c>
      <c r="S109" s="5">
        <f t="shared" si="25"/>
        <v>13774.204124142963</v>
      </c>
      <c r="T109" s="5">
        <f t="shared" si="26"/>
        <v>83943.935419419824</v>
      </c>
      <c r="U109" s="5">
        <f t="shared" si="44"/>
        <v>1860.8190156355188</v>
      </c>
      <c r="V109" s="5">
        <f t="shared" si="45"/>
        <v>3216.7638298039478</v>
      </c>
      <c r="W109" s="5">
        <f t="shared" si="48"/>
        <v>89021.518264859289</v>
      </c>
      <c r="X109" s="5">
        <f t="shared" si="27"/>
        <v>19085.984554572038</v>
      </c>
      <c r="Y109" s="5">
        <f t="shared" si="28"/>
        <v>5153.2158297344504</v>
      </c>
      <c r="Z109" s="5">
        <f t="shared" si="29"/>
        <v>13932.768724837588</v>
      </c>
      <c r="AA109" s="5">
        <f t="shared" si="30"/>
        <v>12786.409309346107</v>
      </c>
      <c r="AB109" s="5">
        <f t="shared" si="31"/>
        <v>1146.3594154914808</v>
      </c>
      <c r="AC109" s="17">
        <f t="shared" si="32"/>
        <v>0.3641423588804969</v>
      </c>
      <c r="AD109" s="5">
        <f t="shared" si="33"/>
        <v>5073.5112691987724</v>
      </c>
      <c r="AE109" s="5">
        <f t="shared" si="34"/>
        <v>32416.505652089101</v>
      </c>
      <c r="AF109" s="2">
        <f t="shared" si="46"/>
        <v>0.15651012245583623</v>
      </c>
      <c r="AG109" s="21"/>
    </row>
    <row r="110" spans="2:33" customFormat="1" x14ac:dyDescent="0.3">
      <c r="B110" s="1"/>
      <c r="C110" s="1"/>
      <c r="D110" s="1"/>
      <c r="E110" s="4">
        <v>106</v>
      </c>
      <c r="F110" s="4">
        <v>9</v>
      </c>
      <c r="G110" s="5">
        <f t="shared" si="47"/>
        <v>21252720.135487132</v>
      </c>
      <c r="H110" s="5">
        <f t="shared" si="35"/>
        <v>1552664.3504091445</v>
      </c>
      <c r="I110" s="5">
        <f t="shared" si="36"/>
        <v>247948.40158068322</v>
      </c>
      <c r="J110" s="5">
        <f t="shared" si="37"/>
        <v>1304715.9488284613</v>
      </c>
      <c r="K110" s="5">
        <f t="shared" si="38"/>
        <v>19948004.186658673</v>
      </c>
      <c r="L110" s="5">
        <f t="shared" si="39"/>
        <v>22262005.517783143</v>
      </c>
      <c r="M110" s="5">
        <f t="shared" si="40"/>
        <v>39848.850254038407</v>
      </c>
      <c r="N110" s="5">
        <f t="shared" si="41"/>
        <v>12500</v>
      </c>
      <c r="O110" s="5">
        <f t="shared" si="42"/>
        <v>52348.850254038407</v>
      </c>
      <c r="P110" s="5">
        <f t="shared" si="43"/>
        <v>20939.540101615363</v>
      </c>
      <c r="Q110" s="18">
        <v>3.5000000000000003E-2</v>
      </c>
      <c r="R110" s="18">
        <v>0.2</v>
      </c>
      <c r="S110" s="5">
        <f t="shared" si="25"/>
        <v>12986.169885373502</v>
      </c>
      <c r="T110" s="5">
        <f t="shared" si="26"/>
        <v>79141.429615719069</v>
      </c>
      <c r="U110" s="5">
        <f t="shared" si="44"/>
        <v>1778.65812552322</v>
      </c>
      <c r="V110" s="5">
        <f t="shared" si="45"/>
        <v>3074.7338003830178</v>
      </c>
      <c r="W110" s="5">
        <f t="shared" si="48"/>
        <v>83994.821541625308</v>
      </c>
      <c r="X110" s="5">
        <f t="shared" si="27"/>
        <v>18423.140267049544</v>
      </c>
      <c r="Y110" s="5">
        <f t="shared" si="28"/>
        <v>4974.2478721033776</v>
      </c>
      <c r="Z110" s="5">
        <f t="shared" si="29"/>
        <v>13448.892394946168</v>
      </c>
      <c r="AA110" s="5">
        <f t="shared" si="30"/>
        <v>12064.410819205887</v>
      </c>
      <c r="AB110" s="5">
        <f t="shared" si="31"/>
        <v>1384.4815757402812</v>
      </c>
      <c r="AC110" s="17">
        <f t="shared" si="32"/>
        <v>0.36065572597817219</v>
      </c>
      <c r="AD110" s="5">
        <f t="shared" si="33"/>
        <v>4850.4200503016291</v>
      </c>
      <c r="AE110" s="5">
        <f t="shared" si="34"/>
        <v>30293.213341501891</v>
      </c>
      <c r="AF110" s="2">
        <f t="shared" si="46"/>
        <v>0.16011573270956117</v>
      </c>
      <c r="AG110" s="21"/>
    </row>
    <row r="111" spans="2:33" customFormat="1" x14ac:dyDescent="0.3">
      <c r="B111" s="1"/>
      <c r="C111" s="1"/>
      <c r="D111" s="1"/>
      <c r="E111" s="4">
        <v>107</v>
      </c>
      <c r="F111" s="4">
        <v>9</v>
      </c>
      <c r="G111" s="5">
        <f t="shared" si="47"/>
        <v>19948004.186658673</v>
      </c>
      <c r="H111" s="5">
        <f t="shared" si="35"/>
        <v>1552664.3504091445</v>
      </c>
      <c r="I111" s="5">
        <f t="shared" si="36"/>
        <v>232726.71551101786</v>
      </c>
      <c r="J111" s="5">
        <f t="shared" si="37"/>
        <v>1319937.6348981266</v>
      </c>
      <c r="K111" s="5">
        <f t="shared" si="38"/>
        <v>18628066.551760547</v>
      </c>
      <c r="L111" s="5">
        <f t="shared" si="39"/>
        <v>20895328.995117258</v>
      </c>
      <c r="M111" s="5">
        <f t="shared" si="40"/>
        <v>37402.507849985042</v>
      </c>
      <c r="N111" s="5">
        <f t="shared" si="41"/>
        <v>12500</v>
      </c>
      <c r="O111" s="5">
        <f t="shared" si="42"/>
        <v>49902.507849985042</v>
      </c>
      <c r="P111" s="5">
        <f t="shared" si="43"/>
        <v>19961.00313999402</v>
      </c>
      <c r="Q111" s="18">
        <v>3.5000000000000003E-2</v>
      </c>
      <c r="R111" s="18">
        <v>0.2</v>
      </c>
      <c r="S111" s="5">
        <f t="shared" si="25"/>
        <v>12188.941913818402</v>
      </c>
      <c r="T111" s="5">
        <f t="shared" si="26"/>
        <v>74282.894577641855</v>
      </c>
      <c r="U111" s="5">
        <f t="shared" si="44"/>
        <v>1695.5386916929449</v>
      </c>
      <c r="V111" s="5">
        <f t="shared" si="45"/>
        <v>2931.0467539521774</v>
      </c>
      <c r="W111" s="5">
        <f t="shared" si="48"/>
        <v>78909.480023286975</v>
      </c>
      <c r="X111" s="5">
        <f t="shared" si="27"/>
        <v>17752.56279617262</v>
      </c>
      <c r="Y111" s="5">
        <f t="shared" si="28"/>
        <v>4793.1919549666081</v>
      </c>
      <c r="Z111" s="5">
        <f t="shared" si="29"/>
        <v>12959.370841206011</v>
      </c>
      <c r="AA111" s="5">
        <f t="shared" si="30"/>
        <v>11333.989013347369</v>
      </c>
      <c r="AB111" s="5">
        <f t="shared" si="31"/>
        <v>1625.3818278586423</v>
      </c>
      <c r="AC111" s="17">
        <f t="shared" si="32"/>
        <v>0.35720247729687832</v>
      </c>
      <c r="AD111" s="5">
        <f t="shared" si="33"/>
        <v>4629.1193686877168</v>
      </c>
      <c r="AE111" s="5">
        <f t="shared" si="34"/>
        <v>28186.661746526639</v>
      </c>
      <c r="AF111" s="2">
        <f t="shared" si="46"/>
        <v>0.16423084827553763</v>
      </c>
      <c r="AG111" s="21"/>
    </row>
    <row r="112" spans="2:33" customFormat="1" x14ac:dyDescent="0.3">
      <c r="B112" s="1"/>
      <c r="C112" s="1"/>
      <c r="D112" s="1"/>
      <c r="E112" s="4">
        <v>108</v>
      </c>
      <c r="F112" s="4">
        <v>9</v>
      </c>
      <c r="G112" s="5">
        <f t="shared" si="47"/>
        <v>18628066.551760547</v>
      </c>
      <c r="H112" s="5">
        <f t="shared" si="35"/>
        <v>1552664.3504091445</v>
      </c>
      <c r="I112" s="5">
        <f t="shared" si="36"/>
        <v>217327.44310387305</v>
      </c>
      <c r="J112" s="5">
        <f t="shared" si="37"/>
        <v>1335336.9073052714</v>
      </c>
      <c r="K112" s="5">
        <f t="shared" si="38"/>
        <v>17292729.644455276</v>
      </c>
      <c r="L112" s="5">
        <f t="shared" si="39"/>
        <v>19512707.913020268</v>
      </c>
      <c r="M112" s="5">
        <f t="shared" si="40"/>
        <v>34927.624784551059</v>
      </c>
      <c r="N112" s="5">
        <f t="shared" si="41"/>
        <v>12500</v>
      </c>
      <c r="O112" s="5">
        <f t="shared" si="42"/>
        <v>47427.624784551059</v>
      </c>
      <c r="P112" s="5">
        <f t="shared" si="43"/>
        <v>18971.049913820425</v>
      </c>
      <c r="Q112" s="18">
        <v>3.5000000000000003E-2</v>
      </c>
      <c r="R112" s="18">
        <v>0.2</v>
      </c>
      <c r="S112" s="5">
        <f t="shared" si="25"/>
        <v>11382.412949261823</v>
      </c>
      <c r="T112" s="5">
        <f t="shared" si="26"/>
        <v>69367.676630787042</v>
      </c>
      <c r="U112" s="5">
        <f t="shared" si="44"/>
        <v>1611.44953113465</v>
      </c>
      <c r="V112" s="5">
        <f t="shared" si="45"/>
        <v>2785.6833586463104</v>
      </c>
      <c r="W112" s="5">
        <f t="shared" si="48"/>
        <v>73764.809520568</v>
      </c>
      <c r="X112" s="5">
        <f t="shared" si="27"/>
        <v>17074.161921468811</v>
      </c>
      <c r="Y112" s="5">
        <f t="shared" si="28"/>
        <v>4610.0237187965795</v>
      </c>
      <c r="Z112" s="5">
        <f t="shared" si="29"/>
        <v>12464.138202672231</v>
      </c>
      <c r="AA112" s="5">
        <f t="shared" si="30"/>
        <v>10595.045619753831</v>
      </c>
      <c r="AB112" s="5">
        <f t="shared" si="31"/>
        <v>1869.0925829183998</v>
      </c>
      <c r="AC112" s="17">
        <f t="shared" si="32"/>
        <v>0.35378229318546622</v>
      </c>
      <c r="AD112" s="5">
        <f t="shared" si="33"/>
        <v>4409.591395921957</v>
      </c>
      <c r="AE112" s="5">
        <f t="shared" si="34"/>
        <v>26096.683468575658</v>
      </c>
      <c r="AF112" s="2">
        <f t="shared" si="46"/>
        <v>0.1689713331286625</v>
      </c>
      <c r="AG112" s="21"/>
    </row>
    <row r="113" spans="2:33" customFormat="1" x14ac:dyDescent="0.3">
      <c r="B113" s="1"/>
      <c r="C113" s="1"/>
      <c r="D113" s="1"/>
      <c r="E113" s="4">
        <v>109</v>
      </c>
      <c r="F113" s="4">
        <v>10</v>
      </c>
      <c r="G113" s="5">
        <f t="shared" si="47"/>
        <v>17292729.644455276</v>
      </c>
      <c r="H113" s="5">
        <f t="shared" si="35"/>
        <v>1552664.3504091445</v>
      </c>
      <c r="I113" s="5">
        <f t="shared" si="36"/>
        <v>201748.51251864491</v>
      </c>
      <c r="J113" s="5">
        <f t="shared" si="37"/>
        <v>1350915.8378904997</v>
      </c>
      <c r="K113" s="5">
        <f t="shared" si="38"/>
        <v>15941813.806564776</v>
      </c>
      <c r="L113" s="5">
        <f t="shared" si="39"/>
        <v>18113956.251632147</v>
      </c>
      <c r="M113" s="5">
        <f t="shared" si="40"/>
        <v>32423.868083353675</v>
      </c>
      <c r="N113" s="5">
        <f t="shared" si="41"/>
        <v>12500</v>
      </c>
      <c r="O113" s="5">
        <f t="shared" si="42"/>
        <v>44923.868083353678</v>
      </c>
      <c r="P113" s="5">
        <f t="shared" si="43"/>
        <v>17969.547233341473</v>
      </c>
      <c r="Q113" s="18">
        <v>3.5000000000000003E-2</v>
      </c>
      <c r="R113" s="18">
        <v>0.2</v>
      </c>
      <c r="S113" s="5">
        <f t="shared" si="25"/>
        <v>10566.474480118753</v>
      </c>
      <c r="T113" s="5">
        <f t="shared" si="26"/>
        <v>64395.114474552276</v>
      </c>
      <c r="U113" s="5">
        <f t="shared" si="44"/>
        <v>1526.3793303698417</v>
      </c>
      <c r="V113" s="5">
        <f t="shared" si="45"/>
        <v>2638.6240570618752</v>
      </c>
      <c r="W113" s="5">
        <f t="shared" si="48"/>
        <v>68560.117861983992</v>
      </c>
      <c r="X113" s="5">
        <f t="shared" si="27"/>
        <v>16387.84636989345</v>
      </c>
      <c r="Y113" s="5">
        <f t="shared" si="28"/>
        <v>4424.7185198712323</v>
      </c>
      <c r="Z113" s="5">
        <f t="shared" si="29"/>
        <v>11963.127850022218</v>
      </c>
      <c r="AA113" s="5">
        <f t="shared" si="30"/>
        <v>9847.4812199017051</v>
      </c>
      <c r="AB113" s="5">
        <f t="shared" si="31"/>
        <v>2115.6466301205128</v>
      </c>
      <c r="AC113" s="17">
        <f t="shared" si="32"/>
        <v>0.35039485705341999</v>
      </c>
      <c r="AD113" s="5">
        <f t="shared" si="33"/>
        <v>4191.8184729203231</v>
      </c>
      <c r="AE113" s="5">
        <f t="shared" si="34"/>
        <v>24023.112697815508</v>
      </c>
      <c r="AF113" s="2">
        <f t="shared" si="46"/>
        <v>0.17449106307116885</v>
      </c>
      <c r="AG113" s="21"/>
    </row>
    <row r="114" spans="2:33" customFormat="1" x14ac:dyDescent="0.3">
      <c r="B114" s="1"/>
      <c r="C114" s="1"/>
      <c r="D114" s="1"/>
      <c r="E114" s="4">
        <v>110</v>
      </c>
      <c r="F114" s="4">
        <v>10</v>
      </c>
      <c r="G114" s="5">
        <f t="shared" si="47"/>
        <v>15941813.806564776</v>
      </c>
      <c r="H114" s="5">
        <f t="shared" si="35"/>
        <v>1552664.3504091445</v>
      </c>
      <c r="I114" s="5">
        <f t="shared" si="36"/>
        <v>185987.82774325574</v>
      </c>
      <c r="J114" s="5">
        <f t="shared" si="37"/>
        <v>1366676.5226658888</v>
      </c>
      <c r="K114" s="5">
        <f t="shared" si="38"/>
        <v>14575137.283898888</v>
      </c>
      <c r="L114" s="5">
        <f t="shared" si="39"/>
        <v>16698885.820861161</v>
      </c>
      <c r="M114" s="5">
        <f t="shared" si="40"/>
        <v>29890.900887308981</v>
      </c>
      <c r="N114" s="5">
        <f t="shared" si="41"/>
        <v>12500</v>
      </c>
      <c r="O114" s="5">
        <f t="shared" si="42"/>
        <v>42390.900887308977</v>
      </c>
      <c r="P114" s="5">
        <f t="shared" si="43"/>
        <v>16956.360354923592</v>
      </c>
      <c r="Q114" s="18">
        <v>3.5000000000000003E-2</v>
      </c>
      <c r="R114" s="18">
        <v>0.2</v>
      </c>
      <c r="S114" s="5">
        <f t="shared" si="25"/>
        <v>9741.0167288356788</v>
      </c>
      <c r="T114" s="5">
        <f t="shared" si="26"/>
        <v>59364.539093161424</v>
      </c>
      <c r="U114" s="5">
        <f t="shared" si="44"/>
        <v>1440.3166439294434</v>
      </c>
      <c r="V114" s="5">
        <f t="shared" si="45"/>
        <v>2489.8490636256206</v>
      </c>
      <c r="W114" s="5">
        <f t="shared" si="48"/>
        <v>63294.704800716485</v>
      </c>
      <c r="X114" s="5">
        <f t="shared" si="27"/>
        <v>15693.523803549706</v>
      </c>
      <c r="Y114" s="5">
        <f t="shared" si="28"/>
        <v>4237.2514269584208</v>
      </c>
      <c r="Z114" s="5">
        <f t="shared" si="29"/>
        <v>11456.272376591285</v>
      </c>
      <c r="AA114" s="5">
        <f t="shared" si="30"/>
        <v>9091.1952353846355</v>
      </c>
      <c r="AB114" s="5">
        <f t="shared" si="31"/>
        <v>2365.0771412066497</v>
      </c>
      <c r="AC114" s="17">
        <f t="shared" si="32"/>
        <v>0.34703985534155174</v>
      </c>
      <c r="AD114" s="5">
        <f t="shared" si="33"/>
        <v>3975.7831083256547</v>
      </c>
      <c r="AE114" s="5">
        <f t="shared" si="34"/>
        <v>21965.785197926871</v>
      </c>
      <c r="AF114" s="2">
        <f t="shared" si="46"/>
        <v>0.18099890682263836</v>
      </c>
      <c r="AG114" s="21"/>
    </row>
    <row r="115" spans="2:33" customFormat="1" x14ac:dyDescent="0.3">
      <c r="B115" s="1"/>
      <c r="C115" s="1"/>
      <c r="D115" s="1"/>
      <c r="E115" s="4">
        <v>111</v>
      </c>
      <c r="F115" s="4">
        <v>10</v>
      </c>
      <c r="G115" s="5">
        <f t="shared" si="47"/>
        <v>14575137.283898888</v>
      </c>
      <c r="H115" s="5">
        <f t="shared" si="35"/>
        <v>1552664.3504091445</v>
      </c>
      <c r="I115" s="5">
        <f t="shared" si="36"/>
        <v>170043.26831215373</v>
      </c>
      <c r="J115" s="5">
        <f t="shared" si="37"/>
        <v>1382621.0820969909</v>
      </c>
      <c r="K115" s="5">
        <f t="shared" si="38"/>
        <v>13192516.201801898</v>
      </c>
      <c r="L115" s="5">
        <f t="shared" si="39"/>
        <v>15267306.235064516</v>
      </c>
      <c r="M115" s="5">
        <f t="shared" si="40"/>
        <v>27328.382407310437</v>
      </c>
      <c r="N115" s="5">
        <f t="shared" si="41"/>
        <v>12500</v>
      </c>
      <c r="O115" s="5">
        <f t="shared" si="42"/>
        <v>39828.382407310433</v>
      </c>
      <c r="P115" s="5">
        <f t="shared" si="43"/>
        <v>15931.352962924175</v>
      </c>
      <c r="Q115" s="18">
        <v>3.5000000000000003E-2</v>
      </c>
      <c r="R115" s="18">
        <v>0.2</v>
      </c>
      <c r="S115" s="5">
        <f t="shared" si="25"/>
        <v>8905.9286371209673</v>
      </c>
      <c r="T115" s="5">
        <f t="shared" si="26"/>
        <v>54275.273665654342</v>
      </c>
      <c r="U115" s="5">
        <f t="shared" si="44"/>
        <v>1353.2498928139075</v>
      </c>
      <c r="V115" s="5">
        <f t="shared" si="45"/>
        <v>2339.3383619326105</v>
      </c>
      <c r="W115" s="5">
        <f t="shared" si="48"/>
        <v>57967.861920400865</v>
      </c>
      <c r="X115" s="5">
        <f t="shared" si="27"/>
        <v>14991.100807265291</v>
      </c>
      <c r="Y115" s="5">
        <f t="shared" si="28"/>
        <v>4047.5972179616288</v>
      </c>
      <c r="Z115" s="5">
        <f t="shared" si="29"/>
        <v>10943.503589303662</v>
      </c>
      <c r="AA115" s="5">
        <f t="shared" si="30"/>
        <v>8326.0859143815342</v>
      </c>
      <c r="AB115" s="5">
        <f t="shared" si="31"/>
        <v>2617.4176749221278</v>
      </c>
      <c r="AC115" s="17">
        <f t="shared" si="32"/>
        <v>0.34371697749297681</v>
      </c>
      <c r="AD115" s="5">
        <f t="shared" si="33"/>
        <v>3761.4679768989977</v>
      </c>
      <c r="AE115" s="5">
        <f t="shared" si="34"/>
        <v>19924.538291010413</v>
      </c>
      <c r="AF115" s="2">
        <f t="shared" si="46"/>
        <v>0.18878570343565268</v>
      </c>
      <c r="AG115" s="21"/>
    </row>
    <row r="116" spans="2:33" customFormat="1" x14ac:dyDescent="0.3">
      <c r="B116" s="1"/>
      <c r="C116" s="1"/>
      <c r="D116" s="1"/>
      <c r="E116" s="4">
        <v>112</v>
      </c>
      <c r="F116" s="4">
        <v>10</v>
      </c>
      <c r="G116" s="5">
        <f t="shared" si="47"/>
        <v>13192516.201801898</v>
      </c>
      <c r="H116" s="5">
        <f t="shared" si="35"/>
        <v>1552664.3504091445</v>
      </c>
      <c r="I116" s="5">
        <f t="shared" si="36"/>
        <v>153912.68902102215</v>
      </c>
      <c r="J116" s="5">
        <f t="shared" si="37"/>
        <v>1398751.6613881225</v>
      </c>
      <c r="K116" s="5">
        <f t="shared" si="38"/>
        <v>11793764.540413776</v>
      </c>
      <c r="L116" s="5">
        <f t="shared" si="39"/>
        <v>13819024.887433577</v>
      </c>
      <c r="M116" s="5">
        <f t="shared" si="40"/>
        <v>24735.967878378578</v>
      </c>
      <c r="N116" s="5">
        <f t="shared" si="41"/>
        <v>12500</v>
      </c>
      <c r="O116" s="5">
        <f t="shared" si="42"/>
        <v>37235.967878378578</v>
      </c>
      <c r="P116" s="5">
        <f t="shared" si="43"/>
        <v>14894.387151351431</v>
      </c>
      <c r="Q116" s="18">
        <v>3.5000000000000003E-2</v>
      </c>
      <c r="R116" s="18">
        <v>0.2</v>
      </c>
      <c r="S116" s="5">
        <f t="shared" si="25"/>
        <v>8061.0978510029208</v>
      </c>
      <c r="T116" s="5">
        <f t="shared" si="26"/>
        <v>49126.633474826362</v>
      </c>
      <c r="U116" s="5">
        <f t="shared" si="44"/>
        <v>1265.1673629353572</v>
      </c>
      <c r="V116" s="5">
        <f t="shared" si="45"/>
        <v>2187.071702053182</v>
      </c>
      <c r="W116" s="5">
        <f t="shared" si="48"/>
        <v>52578.872539814904</v>
      </c>
      <c r="X116" s="5">
        <f t="shared" si="27"/>
        <v>14280.482876024227</v>
      </c>
      <c r="Y116" s="5">
        <f t="shared" si="28"/>
        <v>3855.7303765265415</v>
      </c>
      <c r="Z116" s="5">
        <f t="shared" si="29"/>
        <v>10424.752499497685</v>
      </c>
      <c r="AA116" s="5">
        <f t="shared" si="30"/>
        <v>7552.0503179667303</v>
      </c>
      <c r="AB116" s="5">
        <f t="shared" si="31"/>
        <v>2872.7021815309545</v>
      </c>
      <c r="AC116" s="17">
        <f t="shared" si="32"/>
        <v>0.34042591592436666</v>
      </c>
      <c r="AD116" s="5">
        <f t="shared" si="33"/>
        <v>3548.8559179263302</v>
      </c>
      <c r="AE116" s="5">
        <f t="shared" si="34"/>
        <v>17899.210842637018</v>
      </c>
      <c r="AF116" s="2">
        <f t="shared" si="46"/>
        <v>0.19826884822613172</v>
      </c>
      <c r="AG116" s="21"/>
    </row>
    <row r="117" spans="2:33" customFormat="1" x14ac:dyDescent="0.3">
      <c r="B117" s="1"/>
      <c r="C117" s="1"/>
      <c r="D117" s="1"/>
      <c r="E117" s="4">
        <v>113</v>
      </c>
      <c r="F117" s="4">
        <v>10</v>
      </c>
      <c r="G117" s="5">
        <f t="shared" si="47"/>
        <v>11793764.540413776</v>
      </c>
      <c r="H117" s="5">
        <f t="shared" si="35"/>
        <v>1552664.3504091445</v>
      </c>
      <c r="I117" s="5">
        <f t="shared" si="36"/>
        <v>137593.91963816073</v>
      </c>
      <c r="J117" s="5">
        <f t="shared" si="37"/>
        <v>1415070.4307709839</v>
      </c>
      <c r="K117" s="5">
        <f t="shared" si="38"/>
        <v>10378694.109642792</v>
      </c>
      <c r="L117" s="5">
        <f t="shared" si="39"/>
        <v>12353846.924080277</v>
      </c>
      <c r="M117" s="5">
        <f t="shared" si="40"/>
        <v>22113.308513275853</v>
      </c>
      <c r="N117" s="5">
        <f t="shared" si="41"/>
        <v>12500</v>
      </c>
      <c r="O117" s="5">
        <f t="shared" si="42"/>
        <v>34613.308513275857</v>
      </c>
      <c r="P117" s="5">
        <f t="shared" si="43"/>
        <v>13845.323405310344</v>
      </c>
      <c r="Q117" s="18">
        <v>3.5000000000000003E-2</v>
      </c>
      <c r="R117" s="18">
        <v>0.2</v>
      </c>
      <c r="S117" s="5">
        <f t="shared" si="25"/>
        <v>7206.4107057134961</v>
      </c>
      <c r="T117" s="5">
        <f t="shared" si="26"/>
        <v>43917.925815105373</v>
      </c>
      <c r="U117" s="5">
        <f t="shared" si="44"/>
        <v>1176.0572035415573</v>
      </c>
      <c r="V117" s="5">
        <f t="shared" si="45"/>
        <v>2033.0285978084942</v>
      </c>
      <c r="W117" s="5">
        <f t="shared" si="48"/>
        <v>47127.011616455427</v>
      </c>
      <c r="X117" s="5">
        <f t="shared" si="27"/>
        <v>13561.574402252016</v>
      </c>
      <c r="Y117" s="5">
        <f t="shared" si="28"/>
        <v>3661.6250886080443</v>
      </c>
      <c r="Z117" s="5">
        <f t="shared" si="29"/>
        <v>9899.9493136439705</v>
      </c>
      <c r="AA117" s="5">
        <f t="shared" si="30"/>
        <v>6768.9843062604195</v>
      </c>
      <c r="AB117" s="5">
        <f t="shared" si="31"/>
        <v>3130.965007383551</v>
      </c>
      <c r="AC117" s="17">
        <f t="shared" si="32"/>
        <v>0.33716636599747812</v>
      </c>
      <c r="AD117" s="5">
        <f t="shared" si="33"/>
        <v>3337.9299336405652</v>
      </c>
      <c r="AE117" s="5">
        <f t="shared" si="34"/>
        <v>15889.643247041215</v>
      </c>
      <c r="AF117" s="2">
        <f t="shared" si="46"/>
        <v>0.21006953282365959</v>
      </c>
      <c r="AG117" s="21"/>
    </row>
    <row r="118" spans="2:33" customFormat="1" x14ac:dyDescent="0.3">
      <c r="B118" s="1"/>
      <c r="C118" s="1"/>
      <c r="D118" s="1"/>
      <c r="E118" s="4">
        <v>114</v>
      </c>
      <c r="F118" s="4">
        <v>10</v>
      </c>
      <c r="G118" s="5">
        <f t="shared" si="47"/>
        <v>10378694.109642792</v>
      </c>
      <c r="H118" s="5">
        <f t="shared" si="35"/>
        <v>1552664.3504091445</v>
      </c>
      <c r="I118" s="5">
        <f t="shared" si="36"/>
        <v>121084.76461249926</v>
      </c>
      <c r="J118" s="5">
        <f t="shared" si="37"/>
        <v>1431579.5857966454</v>
      </c>
      <c r="K118" s="5">
        <f t="shared" si="38"/>
        <v>8947114.5238461476</v>
      </c>
      <c r="L118" s="5">
        <f t="shared" si="39"/>
        <v>10871575.217821188</v>
      </c>
      <c r="M118" s="5">
        <f t="shared" si="40"/>
        <v>19460.051455580255</v>
      </c>
      <c r="N118" s="5">
        <f t="shared" si="41"/>
        <v>12500</v>
      </c>
      <c r="O118" s="5">
        <f t="shared" si="42"/>
        <v>31960.051455580255</v>
      </c>
      <c r="P118" s="5">
        <f t="shared" si="43"/>
        <v>12784.020582232102</v>
      </c>
      <c r="Q118" s="18">
        <v>3.5000000000000003E-2</v>
      </c>
      <c r="R118" s="18">
        <v>0.2</v>
      </c>
      <c r="S118" s="5">
        <f t="shared" si="25"/>
        <v>6341.7522103956944</v>
      </c>
      <c r="T118" s="5">
        <f t="shared" si="26"/>
        <v>38648.449899354317</v>
      </c>
      <c r="U118" s="5">
        <f t="shared" si="44"/>
        <v>1085.9074256214958</v>
      </c>
      <c r="V118" s="5">
        <f t="shared" si="45"/>
        <v>1877.1883240142838</v>
      </c>
      <c r="W118" s="5">
        <f t="shared" si="48"/>
        <v>41611.545648990097</v>
      </c>
      <c r="X118" s="5">
        <f t="shared" si="27"/>
        <v>12834.278662952456</v>
      </c>
      <c r="Y118" s="5">
        <f t="shared" si="28"/>
        <v>3465.2552389971634</v>
      </c>
      <c r="Z118" s="5">
        <f t="shared" si="29"/>
        <v>9369.0234239552919</v>
      </c>
      <c r="AA118" s="5">
        <f t="shared" si="30"/>
        <v>5976.7825244175356</v>
      </c>
      <c r="AB118" s="5">
        <f t="shared" si="31"/>
        <v>3392.2408995377564</v>
      </c>
      <c r="AC118" s="17">
        <f t="shared" si="32"/>
        <v>0.33393802599095379</v>
      </c>
      <c r="AD118" s="5">
        <f t="shared" si="33"/>
        <v>3128.6731876586373</v>
      </c>
      <c r="AE118" s="5">
        <f t="shared" si="34"/>
        <v>13895.677412456214</v>
      </c>
      <c r="AF118" s="2">
        <f t="shared" si="46"/>
        <v>0.2251544199532198</v>
      </c>
      <c r="AG118" s="21"/>
    </row>
    <row r="119" spans="2:33" customFormat="1" x14ac:dyDescent="0.3">
      <c r="B119" s="1"/>
      <c r="C119" s="1"/>
      <c r="D119" s="1"/>
      <c r="E119" s="4">
        <v>115</v>
      </c>
      <c r="F119" s="4">
        <v>10</v>
      </c>
      <c r="G119" s="5">
        <f t="shared" si="47"/>
        <v>8947114.5238461476</v>
      </c>
      <c r="H119" s="5">
        <f t="shared" si="35"/>
        <v>1552664.3504091445</v>
      </c>
      <c r="I119" s="5">
        <f t="shared" si="36"/>
        <v>104383.00277820507</v>
      </c>
      <c r="J119" s="5">
        <f t="shared" si="37"/>
        <v>1448281.3476309394</v>
      </c>
      <c r="K119" s="5">
        <f t="shared" si="38"/>
        <v>7498833.1762152072</v>
      </c>
      <c r="L119" s="5">
        <f t="shared" si="39"/>
        <v>9372010.3416557424</v>
      </c>
      <c r="M119" s="5">
        <f t="shared" si="40"/>
        <v>16775.839732211542</v>
      </c>
      <c r="N119" s="5">
        <f t="shared" si="41"/>
        <v>12500</v>
      </c>
      <c r="O119" s="5">
        <f t="shared" si="42"/>
        <v>29275.839732211542</v>
      </c>
      <c r="P119" s="5">
        <f t="shared" si="43"/>
        <v>11710.335892884617</v>
      </c>
      <c r="Q119" s="18">
        <v>3.5000000000000003E-2</v>
      </c>
      <c r="R119" s="18">
        <v>0.2</v>
      </c>
      <c r="S119" s="5">
        <f t="shared" si="25"/>
        <v>5467.0060326325174</v>
      </c>
      <c r="T119" s="5">
        <f t="shared" si="26"/>
        <v>33317.496764586162</v>
      </c>
      <c r="U119" s="5">
        <f t="shared" si="44"/>
        <v>994.70590029236712</v>
      </c>
      <c r="V119" s="5">
        <f t="shared" si="45"/>
        <v>1719.5299136924746</v>
      </c>
      <c r="W119" s="5">
        <f t="shared" si="48"/>
        <v>36031.732578571005</v>
      </c>
      <c r="X119" s="5">
        <f t="shared" si="27"/>
        <v>12098.497806694406</v>
      </c>
      <c r="Y119" s="5">
        <f t="shared" si="28"/>
        <v>3266.5944078074899</v>
      </c>
      <c r="Z119" s="5">
        <f t="shared" si="29"/>
        <v>8831.903398886916</v>
      </c>
      <c r="AA119" s="5">
        <f t="shared" si="30"/>
        <v>5175.3383884531522</v>
      </c>
      <c r="AB119" s="5">
        <f t="shared" si="31"/>
        <v>3656.5650104337637</v>
      </c>
      <c r="AC119" s="17">
        <f t="shared" si="32"/>
        <v>0.33074059707239306</v>
      </c>
      <c r="AD119" s="5">
        <f t="shared" si="33"/>
        <v>2921.0690034335562</v>
      </c>
      <c r="AE119" s="5">
        <f t="shared" si="34"/>
        <v>11917.156746589371</v>
      </c>
      <c r="AF119" s="2">
        <f t="shared" si="46"/>
        <v>0.2451145911351339</v>
      </c>
      <c r="AG119" s="21"/>
    </row>
    <row r="120" spans="2:33" customFormat="1" x14ac:dyDescent="0.3">
      <c r="B120" s="1"/>
      <c r="C120" s="1"/>
      <c r="D120" s="1"/>
      <c r="E120" s="4">
        <v>116</v>
      </c>
      <c r="F120" s="4">
        <v>10</v>
      </c>
      <c r="G120" s="5">
        <f t="shared" si="47"/>
        <v>7498833.1762152072</v>
      </c>
      <c r="H120" s="5">
        <f t="shared" si="35"/>
        <v>1552664.3504091445</v>
      </c>
      <c r="I120" s="5">
        <f t="shared" si="36"/>
        <v>87486.387055844083</v>
      </c>
      <c r="J120" s="5">
        <f t="shared" si="37"/>
        <v>1465177.9633533005</v>
      </c>
      <c r="K120" s="5">
        <f t="shared" si="38"/>
        <v>6033655.2128619067</v>
      </c>
      <c r="L120" s="5">
        <f t="shared" si="39"/>
        <v>7854950.5419350332</v>
      </c>
      <c r="M120" s="5">
        <f t="shared" si="40"/>
        <v>14060.312205403527</v>
      </c>
      <c r="N120" s="5">
        <f t="shared" si="41"/>
        <v>12500</v>
      </c>
      <c r="O120" s="5">
        <f t="shared" si="42"/>
        <v>26560.312205403527</v>
      </c>
      <c r="P120" s="5">
        <f t="shared" si="43"/>
        <v>10624.124882161412</v>
      </c>
      <c r="Q120" s="18">
        <v>3.5000000000000003E-2</v>
      </c>
      <c r="R120" s="18">
        <v>0.2</v>
      </c>
      <c r="S120" s="5">
        <f t="shared" si="25"/>
        <v>4582.0544827954363</v>
      </c>
      <c r="T120" s="5">
        <f t="shared" si="26"/>
        <v>27924.349176579042</v>
      </c>
      <c r="U120" s="5">
        <f t="shared" si="44"/>
        <v>902.44035716773203</v>
      </c>
      <c r="V120" s="5">
        <f t="shared" si="45"/>
        <v>1560.0321552502444</v>
      </c>
      <c r="W120" s="5">
        <f t="shared" si="48"/>
        <v>30386.821688997017</v>
      </c>
      <c r="X120" s="5">
        <f t="shared" si="27"/>
        <v>11354.132840446679</v>
      </c>
      <c r="Y120" s="5">
        <f t="shared" si="28"/>
        <v>3065.6158669206034</v>
      </c>
      <c r="Z120" s="5">
        <f t="shared" si="29"/>
        <v>8288.5169735260752</v>
      </c>
      <c r="AA120" s="5">
        <f t="shared" si="30"/>
        <v>4364.5440709025161</v>
      </c>
      <c r="AB120" s="5">
        <f t="shared" si="31"/>
        <v>3923.9729026235591</v>
      </c>
      <c r="AC120" s="17">
        <f t="shared" si="32"/>
        <v>0.32757378327069087</v>
      </c>
      <c r="AD120" s="5">
        <f t="shared" si="33"/>
        <v>2715.1008627212732</v>
      </c>
      <c r="AE120" s="5">
        <f t="shared" si="34"/>
        <v>9953.926142236638</v>
      </c>
      <c r="AF120" s="2">
        <f t="shared" si="46"/>
        <v>0.27276682827698706</v>
      </c>
      <c r="AG120" s="21"/>
    </row>
    <row r="121" spans="2:33" customFormat="1" x14ac:dyDescent="0.3">
      <c r="B121" s="1"/>
      <c r="C121" s="1"/>
      <c r="D121" s="1"/>
      <c r="E121" s="4">
        <v>117</v>
      </c>
      <c r="F121" s="4">
        <v>10</v>
      </c>
      <c r="G121" s="5">
        <f t="shared" si="47"/>
        <v>6033655.2128619067</v>
      </c>
      <c r="H121" s="5">
        <f t="shared" si="35"/>
        <v>1552664.3504091445</v>
      </c>
      <c r="I121" s="5">
        <f t="shared" si="36"/>
        <v>70392.644150055581</v>
      </c>
      <c r="J121" s="5">
        <f t="shared" si="37"/>
        <v>1482271.7062590891</v>
      </c>
      <c r="K121" s="5">
        <f t="shared" si="38"/>
        <v>4551383.5066028181</v>
      </c>
      <c r="L121" s="5">
        <f t="shared" si="39"/>
        <v>6320191.7112175832</v>
      </c>
      <c r="M121" s="5">
        <f t="shared" si="40"/>
        <v>11313.103524116086</v>
      </c>
      <c r="N121" s="5">
        <f t="shared" si="41"/>
        <v>12500</v>
      </c>
      <c r="O121" s="5">
        <f t="shared" si="42"/>
        <v>23813.103524116086</v>
      </c>
      <c r="P121" s="5">
        <f t="shared" si="43"/>
        <v>9525.2414096464345</v>
      </c>
      <c r="Q121" s="18">
        <v>3.5000000000000003E-2</v>
      </c>
      <c r="R121" s="18">
        <v>0.2</v>
      </c>
      <c r="S121" s="5">
        <f t="shared" si="25"/>
        <v>3686.7784982102567</v>
      </c>
      <c r="T121" s="5">
        <f t="shared" si="26"/>
        <v>22468.281533378507</v>
      </c>
      <c r="U121" s="5">
        <f t="shared" si="44"/>
        <v>809.09838270664284</v>
      </c>
      <c r="V121" s="5">
        <f t="shared" si="45"/>
        <v>1398.673589626188</v>
      </c>
      <c r="W121" s="5">
        <f t="shared" si="48"/>
        <v>24676.053505711337</v>
      </c>
      <c r="X121" s="5">
        <f t="shared" si="27"/>
        <v>10601.083616259395</v>
      </c>
      <c r="Y121" s="5">
        <f t="shared" si="28"/>
        <v>2862.2925763900366</v>
      </c>
      <c r="Z121" s="5">
        <f t="shared" si="29"/>
        <v>7738.7910398693584</v>
      </c>
      <c r="AA121" s="5">
        <f t="shared" si="30"/>
        <v>3544.2904863137901</v>
      </c>
      <c r="AB121" s="5">
        <f t="shared" si="31"/>
        <v>4194.5005535555683</v>
      </c>
      <c r="AC121" s="17">
        <f t="shared" si="32"/>
        <v>0.32443729144864114</v>
      </c>
      <c r="AD121" s="5">
        <f t="shared" si="33"/>
        <v>2510.7524040622275</v>
      </c>
      <c r="AE121" s="5">
        <f t="shared" si="34"/>
        <v>8005.8319630347323</v>
      </c>
      <c r="AF121" s="2">
        <f t="shared" si="46"/>
        <v>0.31361542631110739</v>
      </c>
      <c r="AG121" s="21"/>
    </row>
    <row r="122" spans="2:33" customFormat="1" x14ac:dyDescent="0.3">
      <c r="B122" s="1"/>
      <c r="C122" s="1"/>
      <c r="D122" s="1"/>
      <c r="E122" s="4">
        <v>118</v>
      </c>
      <c r="F122" s="4">
        <v>10</v>
      </c>
      <c r="G122" s="5">
        <f t="shared" si="47"/>
        <v>4551383.5066028181</v>
      </c>
      <c r="H122" s="5">
        <f t="shared" si="35"/>
        <v>1552664.3504091445</v>
      </c>
      <c r="I122" s="5">
        <f t="shared" si="36"/>
        <v>53099.474243699551</v>
      </c>
      <c r="J122" s="5">
        <f t="shared" si="37"/>
        <v>1499564.876165445</v>
      </c>
      <c r="K122" s="5">
        <f t="shared" si="38"/>
        <v>3051818.6304373732</v>
      </c>
      <c r="L122" s="5">
        <f t="shared" si="39"/>
        <v>4767527.3608084293</v>
      </c>
      <c r="M122" s="5">
        <f t="shared" si="40"/>
        <v>8533.8440748802914</v>
      </c>
      <c r="N122" s="5">
        <f t="shared" si="41"/>
        <v>12500</v>
      </c>
      <c r="O122" s="5">
        <f t="shared" si="42"/>
        <v>21033.84407488029</v>
      </c>
      <c r="P122" s="5">
        <f t="shared" si="43"/>
        <v>8413.5376299521158</v>
      </c>
      <c r="Q122" s="18">
        <v>3.5000000000000003E-2</v>
      </c>
      <c r="R122" s="18">
        <v>0.2</v>
      </c>
      <c r="S122" s="5">
        <f t="shared" si="25"/>
        <v>2781.0576271382506</v>
      </c>
      <c r="T122" s="5">
        <f t="shared" si="26"/>
        <v>16948.559767673964</v>
      </c>
      <c r="U122" s="5">
        <f t="shared" si="44"/>
        <v>714.66741854350744</v>
      </c>
      <c r="V122" s="5">
        <f t="shared" si="45"/>
        <v>1235.4325074031842</v>
      </c>
      <c r="W122" s="5">
        <f t="shared" si="48"/>
        <v>18898.659693620655</v>
      </c>
      <c r="X122" s="5">
        <f t="shared" si="27"/>
        <v>9839.2488177899231</v>
      </c>
      <c r="Y122" s="5">
        <f t="shared" si="28"/>
        <v>2656.5971808032796</v>
      </c>
      <c r="Z122" s="5">
        <f t="shared" si="29"/>
        <v>7182.651636986644</v>
      </c>
      <c r="AA122" s="5">
        <f t="shared" si="30"/>
        <v>2714.4672765715286</v>
      </c>
      <c r="AB122" s="5">
        <f t="shared" si="31"/>
        <v>4468.1843604151154</v>
      </c>
      <c r="AC122" s="17">
        <f t="shared" si="32"/>
        <v>0.32133083127580209</v>
      </c>
      <c r="AD122" s="5">
        <f t="shared" si="33"/>
        <v>2308.0074212774189</v>
      </c>
      <c r="AE122" s="5">
        <f t="shared" si="34"/>
        <v>6072.7220293496202</v>
      </c>
      <c r="AF122" s="2">
        <f t="shared" si="46"/>
        <v>0.38006143046277441</v>
      </c>
      <c r="AG122" s="21"/>
    </row>
    <row r="123" spans="2:33" customFormat="1" x14ac:dyDescent="0.3">
      <c r="B123" s="1"/>
      <c r="C123" s="1"/>
      <c r="D123" s="1"/>
      <c r="E123" s="4">
        <v>119</v>
      </c>
      <c r="F123" s="4">
        <v>10</v>
      </c>
      <c r="G123" s="5">
        <f t="shared" si="47"/>
        <v>3051818.6304373732</v>
      </c>
      <c r="H123" s="5">
        <f t="shared" si="35"/>
        <v>1552664.3504091445</v>
      </c>
      <c r="I123" s="5">
        <f t="shared" si="36"/>
        <v>35604.550688436022</v>
      </c>
      <c r="J123" s="5">
        <f t="shared" si="37"/>
        <v>1517059.7997207085</v>
      </c>
      <c r="K123" s="5">
        <f t="shared" si="38"/>
        <v>1534758.8307166649</v>
      </c>
      <c r="L123" s="5">
        <f t="shared" si="39"/>
        <v>3196748.5929778353</v>
      </c>
      <c r="M123" s="5">
        <f t="shared" si="40"/>
        <v>5722.1599320700798</v>
      </c>
      <c r="N123" s="5">
        <f t="shared" si="41"/>
        <v>12500</v>
      </c>
      <c r="O123" s="5">
        <f t="shared" si="42"/>
        <v>18222.159932070081</v>
      </c>
      <c r="P123" s="5">
        <f t="shared" si="43"/>
        <v>7288.8639728280323</v>
      </c>
      <c r="Q123" s="18">
        <v>3.5000000000000003E-2</v>
      </c>
      <c r="R123" s="18">
        <v>0.2</v>
      </c>
      <c r="S123" s="5">
        <f t="shared" si="25"/>
        <v>1864.7700125704041</v>
      </c>
      <c r="T123" s="5">
        <f t="shared" si="26"/>
        <v>11364.441248036203</v>
      </c>
      <c r="U123" s="5">
        <f t="shared" si="44"/>
        <v>619.13475979846908</v>
      </c>
      <c r="V123" s="5">
        <f t="shared" si="45"/>
        <v>1070.2869458875791</v>
      </c>
      <c r="W123" s="5">
        <f t="shared" si="48"/>
        <v>13053.862953722251</v>
      </c>
      <c r="X123" s="5">
        <f t="shared" si="27"/>
        <v>9068.5259466716452</v>
      </c>
      <c r="Y123" s="5">
        <f t="shared" si="28"/>
        <v>2448.5020056013445</v>
      </c>
      <c r="Z123" s="5">
        <f t="shared" si="29"/>
        <v>6620.0239410703007</v>
      </c>
      <c r="AA123" s="5">
        <f t="shared" si="30"/>
        <v>1874.9627960489413</v>
      </c>
      <c r="AB123" s="5">
        <f t="shared" si="31"/>
        <v>4745.0611450213592</v>
      </c>
      <c r="AC123" s="17">
        <f t="shared" si="32"/>
        <v>0.31825411520162183</v>
      </c>
      <c r="AD123" s="5">
        <f t="shared" si="33"/>
        <v>2106.849861978882</v>
      </c>
      <c r="AE123" s="5">
        <f t="shared" si="34"/>
        <v>4154.4456043001046</v>
      </c>
      <c r="AF123" s="2">
        <f t="shared" si="46"/>
        <v>0.50713141117990901</v>
      </c>
      <c r="AG123" s="21"/>
    </row>
    <row r="124" spans="2:33" customFormat="1" x14ac:dyDescent="0.3">
      <c r="B124" s="1"/>
      <c r="C124" s="1"/>
      <c r="D124" s="1"/>
      <c r="E124" s="4">
        <v>120</v>
      </c>
      <c r="F124" s="4">
        <v>10</v>
      </c>
      <c r="G124" s="5">
        <f t="shared" si="47"/>
        <v>1534758.8307166649</v>
      </c>
      <c r="H124" s="5">
        <f t="shared" si="35"/>
        <v>1552664.3504091445</v>
      </c>
      <c r="I124" s="5">
        <f t="shared" si="36"/>
        <v>17905.519691694426</v>
      </c>
      <c r="J124" s="5">
        <f t="shared" si="37"/>
        <v>1534758.83071745</v>
      </c>
      <c r="K124" s="5">
        <f t="shared" si="38"/>
        <v>-7.8510493040084839E-7</v>
      </c>
      <c r="L124" s="5">
        <f t="shared" si="39"/>
        <v>1607644.0728558847</v>
      </c>
      <c r="M124" s="5">
        <f t="shared" si="40"/>
        <v>2877.6728075937494</v>
      </c>
      <c r="N124" s="5">
        <f t="shared" si="41"/>
        <v>12500</v>
      </c>
      <c r="O124" s="5">
        <f t="shared" si="42"/>
        <v>15377.67280759375</v>
      </c>
      <c r="P124" s="5">
        <f t="shared" si="43"/>
        <v>6151.0691230375005</v>
      </c>
      <c r="Q124" s="18">
        <v>3.5000000000000003E-2</v>
      </c>
      <c r="R124" s="18">
        <v>0.2</v>
      </c>
      <c r="S124" s="5">
        <f t="shared" si="25"/>
        <v>937.79237583259953</v>
      </c>
      <c r="T124" s="5">
        <f t="shared" si="26"/>
        <v>5715.1746790026691</v>
      </c>
      <c r="U124" s="5">
        <f t="shared" si="44"/>
        <v>522.48755336807176</v>
      </c>
      <c r="V124" s="5">
        <f t="shared" si="45"/>
        <v>903.21468615429183</v>
      </c>
      <c r="W124" s="5">
        <f t="shared" si="48"/>
        <v>7140.8769185250321</v>
      </c>
      <c r="X124" s="5">
        <f t="shared" si="27"/>
        <v>8288.8113087236488</v>
      </c>
      <c r="Y124" s="5">
        <f t="shared" si="28"/>
        <v>2237.9790533553855</v>
      </c>
      <c r="Z124" s="5">
        <f t="shared" si="29"/>
        <v>6050.8322553682628</v>
      </c>
      <c r="AA124" s="5">
        <f t="shared" si="30"/>
        <v>1025.6640965869235</v>
      </c>
      <c r="AB124" s="5">
        <f t="shared" si="31"/>
        <v>5025.1681587813391</v>
      </c>
      <c r="AC124" s="17">
        <f t="shared" si="32"/>
        <v>0.31520685842882107</v>
      </c>
      <c r="AD124" s="5">
        <f t="shared" si="33"/>
        <v>1907.2638260944082</v>
      </c>
      <c r="AE124" s="5">
        <f t="shared" si="34"/>
        <v>2250.853379915156</v>
      </c>
      <c r="AF124" s="2">
        <f t="shared" si="46"/>
        <v>0.84735142817978704</v>
      </c>
      <c r="AG124" s="21"/>
    </row>
    <row r="125" spans="2:33" customFormat="1" x14ac:dyDescent="0.3">
      <c r="B125" s="1"/>
      <c r="C125" s="1"/>
      <c r="D125" s="1"/>
      <c r="E125" s="4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18"/>
      <c r="R125" s="18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17"/>
      <c r="AD125" s="5"/>
      <c r="AE125" s="5"/>
      <c r="AF125" s="2"/>
      <c r="AG125" s="21"/>
    </row>
    <row r="126" spans="2:33" customFormat="1" x14ac:dyDescent="0.3">
      <c r="B126" s="1"/>
      <c r="C126" s="1"/>
      <c r="D126" s="1"/>
      <c r="E126" s="4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18"/>
      <c r="R126" s="18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17"/>
      <c r="AD126" s="5"/>
      <c r="AE126" s="5"/>
      <c r="AF126" s="2"/>
      <c r="AG126" s="21"/>
    </row>
    <row r="127" spans="2:33" customFormat="1" x14ac:dyDescent="0.3">
      <c r="B127" s="1"/>
      <c r="C127" s="1"/>
      <c r="D127" s="1"/>
      <c r="E127" s="4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18"/>
      <c r="R127" s="18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17"/>
      <c r="AD127" s="5"/>
      <c r="AE127" s="5"/>
      <c r="AF127" s="2"/>
      <c r="AG127" s="21"/>
    </row>
    <row r="128" spans="2:33" customFormat="1" x14ac:dyDescent="0.3">
      <c r="B128" s="1"/>
      <c r="C128" s="1"/>
      <c r="D128" s="1"/>
      <c r="E128" s="4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18"/>
      <c r="R128" s="18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17"/>
      <c r="AD128" s="5"/>
      <c r="AE128" s="5"/>
      <c r="AF128" s="2"/>
      <c r="AG128" s="21"/>
    </row>
    <row r="129" spans="2:33" customFormat="1" x14ac:dyDescent="0.3">
      <c r="B129" s="1"/>
      <c r="C129" s="1"/>
      <c r="D129" s="1"/>
      <c r="E129" s="4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18"/>
      <c r="R129" s="18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17"/>
      <c r="AD129" s="5"/>
      <c r="AE129" s="5"/>
      <c r="AF129" s="2"/>
      <c r="AG129" s="21"/>
    </row>
    <row r="130" spans="2:33" customFormat="1" x14ac:dyDescent="0.3">
      <c r="B130" s="1"/>
      <c r="C130" s="1"/>
      <c r="D130" s="1"/>
      <c r="E130" s="4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18"/>
      <c r="R130" s="18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17"/>
      <c r="AD130" s="5"/>
      <c r="AE130" s="5"/>
      <c r="AF130" s="2"/>
      <c r="AG130" s="21"/>
    </row>
    <row r="131" spans="2:33" customFormat="1" x14ac:dyDescent="0.3">
      <c r="B131" s="1"/>
      <c r="C131" s="1"/>
      <c r="D131" s="1"/>
      <c r="E131" s="4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18"/>
      <c r="R131" s="18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17"/>
      <c r="AD131" s="5"/>
      <c r="AE131" s="5"/>
      <c r="AF131" s="2"/>
      <c r="AG131" s="21"/>
    </row>
    <row r="132" spans="2:33" customFormat="1" x14ac:dyDescent="0.3">
      <c r="B132" s="1"/>
      <c r="C132" s="1"/>
      <c r="D132" s="1"/>
      <c r="E132" s="4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18"/>
      <c r="R132" s="18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17"/>
      <c r="AD132" s="5"/>
      <c r="AE132" s="5"/>
      <c r="AF132" s="2"/>
      <c r="AG132" s="21"/>
    </row>
    <row r="133" spans="2:33" customFormat="1" x14ac:dyDescent="0.3">
      <c r="B133" s="1"/>
      <c r="C133" s="1"/>
      <c r="D133" s="1"/>
      <c r="E133" s="4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18"/>
      <c r="R133" s="18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17"/>
      <c r="AD133" s="5"/>
      <c r="AE133" s="5"/>
      <c r="AF133" s="2"/>
      <c r="AG133" s="21"/>
    </row>
    <row r="134" spans="2:33" customFormat="1" x14ac:dyDescent="0.3">
      <c r="B134" s="1"/>
      <c r="C134" s="1"/>
      <c r="D134" s="1"/>
      <c r="E134" s="4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18"/>
      <c r="R134" s="18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17"/>
      <c r="AD134" s="5"/>
      <c r="AE134" s="5"/>
      <c r="AF134" s="2"/>
      <c r="AG134" s="21"/>
    </row>
    <row r="135" spans="2:33" customFormat="1" x14ac:dyDescent="0.3">
      <c r="B135" s="1"/>
      <c r="C135" s="1"/>
      <c r="D135" s="1"/>
      <c r="E135" s="4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18"/>
      <c r="R135" s="18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17"/>
      <c r="AD135" s="5"/>
      <c r="AE135" s="5"/>
      <c r="AF135" s="2"/>
      <c r="AG135" s="21"/>
    </row>
    <row r="136" spans="2:33" customFormat="1" x14ac:dyDescent="0.3">
      <c r="B136" s="1"/>
      <c r="C136" s="1"/>
      <c r="D136" s="1"/>
      <c r="E136" s="4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18"/>
      <c r="R136" s="18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17"/>
      <c r="AD136" s="5"/>
      <c r="AE136" s="5"/>
      <c r="AF136" s="2"/>
      <c r="AG136" s="21"/>
    </row>
    <row r="137" spans="2:33" customFormat="1" x14ac:dyDescent="0.3">
      <c r="B137" s="1"/>
      <c r="C137" s="1"/>
      <c r="D137" s="1"/>
      <c r="E137" s="4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18"/>
      <c r="R137" s="18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17"/>
      <c r="AD137" s="5"/>
      <c r="AE137" s="5"/>
      <c r="AF137" s="2"/>
      <c r="AG137" s="21"/>
    </row>
    <row r="138" spans="2:33" customFormat="1" x14ac:dyDescent="0.3">
      <c r="B138" s="1"/>
      <c r="C138" s="1"/>
      <c r="D138" s="1"/>
      <c r="E138" s="4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18"/>
      <c r="R138" s="18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17"/>
      <c r="AD138" s="5"/>
      <c r="AE138" s="5"/>
      <c r="AF138" s="2"/>
      <c r="AG138" s="21"/>
    </row>
    <row r="139" spans="2:33" customFormat="1" x14ac:dyDescent="0.3">
      <c r="B139" s="1"/>
      <c r="C139" s="1"/>
      <c r="D139" s="1"/>
      <c r="E139" s="4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18"/>
      <c r="R139" s="18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17"/>
      <c r="AD139" s="5"/>
      <c r="AE139" s="5"/>
      <c r="AF139" s="2"/>
      <c r="AG139" s="21"/>
    </row>
    <row r="140" spans="2:33" customFormat="1" x14ac:dyDescent="0.3">
      <c r="B140" s="1"/>
      <c r="C140" s="1"/>
      <c r="D140" s="1"/>
      <c r="E140" s="4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18"/>
      <c r="R140" s="18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17"/>
      <c r="AD140" s="5"/>
      <c r="AE140" s="5"/>
      <c r="AF140" s="2"/>
      <c r="AG140" s="21"/>
    </row>
    <row r="141" spans="2:33" customFormat="1" x14ac:dyDescent="0.3">
      <c r="B141" s="1"/>
      <c r="C141" s="1"/>
      <c r="D141" s="1"/>
      <c r="E141" s="4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18"/>
      <c r="R141" s="18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17"/>
      <c r="AD141" s="5"/>
      <c r="AE141" s="5"/>
      <c r="AF141" s="2"/>
      <c r="AG141" s="21"/>
    </row>
    <row r="142" spans="2:33" customFormat="1" x14ac:dyDescent="0.3">
      <c r="B142" s="1"/>
      <c r="C142" s="1"/>
      <c r="D142" s="1"/>
      <c r="E142" s="4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18"/>
      <c r="R142" s="18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17"/>
      <c r="AD142" s="5"/>
      <c r="AE142" s="5"/>
      <c r="AF142" s="2"/>
      <c r="AG142" s="21"/>
    </row>
    <row r="143" spans="2:33" customFormat="1" x14ac:dyDescent="0.3">
      <c r="B143" s="1"/>
      <c r="C143" s="1"/>
      <c r="D143" s="1"/>
      <c r="E143" s="4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18"/>
      <c r="R143" s="18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17"/>
      <c r="AD143" s="5"/>
      <c r="AE143" s="5"/>
      <c r="AF143" s="2"/>
      <c r="AG143" s="21"/>
    </row>
    <row r="144" spans="2:33" customFormat="1" x14ac:dyDescent="0.3">
      <c r="B144" s="1"/>
      <c r="C144" s="1"/>
      <c r="D144" s="1"/>
      <c r="E144" s="4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18"/>
      <c r="R144" s="18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17"/>
      <c r="AD144" s="5"/>
      <c r="AE144" s="5"/>
      <c r="AF144" s="2"/>
      <c r="AG144" s="21"/>
    </row>
    <row r="145" spans="2:33" customFormat="1" x14ac:dyDescent="0.3">
      <c r="B145" s="1"/>
      <c r="C145" s="1"/>
      <c r="D145" s="1"/>
      <c r="E145" s="4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18"/>
      <c r="R145" s="18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17"/>
      <c r="AD145" s="5"/>
      <c r="AE145" s="5"/>
      <c r="AF145" s="2"/>
      <c r="AG145" s="21"/>
    </row>
    <row r="146" spans="2:33" customFormat="1" x14ac:dyDescent="0.3">
      <c r="B146" s="1"/>
      <c r="C146" s="1"/>
      <c r="D146" s="1"/>
      <c r="E146" s="4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18"/>
      <c r="R146" s="18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17"/>
      <c r="AD146" s="5"/>
      <c r="AE146" s="5"/>
      <c r="AF146" s="2"/>
      <c r="AG146" s="21"/>
    </row>
    <row r="147" spans="2:33" customFormat="1" x14ac:dyDescent="0.3">
      <c r="B147" s="1"/>
      <c r="C147" s="1"/>
      <c r="D147" s="1"/>
      <c r="E147" s="4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18"/>
      <c r="R147" s="18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17"/>
      <c r="AD147" s="5"/>
      <c r="AE147" s="5"/>
      <c r="AF147" s="2"/>
      <c r="AG147" s="21"/>
    </row>
    <row r="148" spans="2:33" customFormat="1" x14ac:dyDescent="0.3">
      <c r="B148" s="1"/>
      <c r="C148" s="1"/>
      <c r="D148" s="1"/>
      <c r="E148" s="4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18"/>
      <c r="R148" s="18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17"/>
      <c r="AD148" s="5"/>
      <c r="AE148" s="5"/>
      <c r="AF148" s="2"/>
      <c r="AG148" s="21"/>
    </row>
    <row r="149" spans="2:33" customFormat="1" x14ac:dyDescent="0.3">
      <c r="B149" s="1"/>
      <c r="C149" s="1"/>
      <c r="D149" s="1"/>
      <c r="E149" s="4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18"/>
      <c r="R149" s="18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17"/>
      <c r="AD149" s="5"/>
      <c r="AE149" s="5"/>
      <c r="AF149" s="2"/>
      <c r="AG149" s="21"/>
    </row>
    <row r="150" spans="2:33" customFormat="1" x14ac:dyDescent="0.3">
      <c r="B150" s="1"/>
      <c r="C150" s="1"/>
      <c r="D150" s="1"/>
      <c r="E150" s="4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18"/>
      <c r="R150" s="18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17"/>
      <c r="AD150" s="5"/>
      <c r="AE150" s="5"/>
      <c r="AF150" s="2"/>
      <c r="AG150" s="21"/>
    </row>
    <row r="151" spans="2:33" customFormat="1" x14ac:dyDescent="0.3">
      <c r="B151" s="1"/>
      <c r="C151" s="1"/>
      <c r="D151" s="1"/>
      <c r="E151" s="4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18"/>
      <c r="R151" s="18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17"/>
      <c r="AD151" s="5"/>
      <c r="AE151" s="5"/>
      <c r="AF151" s="2"/>
      <c r="AG151" s="21"/>
    </row>
    <row r="152" spans="2:33" customFormat="1" x14ac:dyDescent="0.3">
      <c r="B152" s="1"/>
      <c r="C152" s="1"/>
      <c r="D152" s="1"/>
      <c r="E152" s="4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18"/>
      <c r="R152" s="18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17"/>
      <c r="AD152" s="5"/>
      <c r="AE152" s="5"/>
      <c r="AF152" s="2"/>
      <c r="AG152" s="21"/>
    </row>
    <row r="153" spans="2:33" customFormat="1" x14ac:dyDescent="0.3">
      <c r="B153" s="1"/>
      <c r="C153" s="1"/>
      <c r="D153" s="1"/>
      <c r="E153" s="4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18"/>
      <c r="R153" s="18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17"/>
      <c r="AD153" s="5"/>
      <c r="AE153" s="5"/>
      <c r="AF153" s="2"/>
      <c r="AG153" s="21"/>
    </row>
    <row r="154" spans="2:33" customFormat="1" x14ac:dyDescent="0.3">
      <c r="B154" s="1"/>
      <c r="C154" s="1"/>
      <c r="D154" s="1"/>
      <c r="E154" s="4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18"/>
      <c r="R154" s="18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17"/>
      <c r="AD154" s="5"/>
      <c r="AE154" s="5"/>
      <c r="AF154" s="2"/>
      <c r="AG154" s="21"/>
    </row>
    <row r="155" spans="2:33" customFormat="1" x14ac:dyDescent="0.3">
      <c r="B155" s="1"/>
      <c r="C155" s="1"/>
      <c r="D155" s="1"/>
      <c r="E155" s="4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18"/>
      <c r="R155" s="18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17"/>
      <c r="AD155" s="5"/>
      <c r="AE155" s="5"/>
      <c r="AF155" s="2"/>
      <c r="AG155" s="21"/>
    </row>
    <row r="156" spans="2:33" customFormat="1" x14ac:dyDescent="0.3">
      <c r="B156" s="1"/>
      <c r="C156" s="1"/>
      <c r="D156" s="1"/>
      <c r="E156" s="4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18"/>
      <c r="R156" s="18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17"/>
      <c r="AD156" s="5"/>
      <c r="AE156" s="5"/>
      <c r="AF156" s="2"/>
      <c r="AG156" s="21"/>
    </row>
    <row r="157" spans="2:33" customFormat="1" x14ac:dyDescent="0.3">
      <c r="B157" s="1"/>
      <c r="C157" s="1"/>
      <c r="D157" s="1"/>
      <c r="E157" s="4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18"/>
      <c r="R157" s="18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17"/>
      <c r="AD157" s="5"/>
      <c r="AE157" s="5"/>
      <c r="AF157" s="2"/>
      <c r="AG157" s="21"/>
    </row>
    <row r="158" spans="2:33" customFormat="1" x14ac:dyDescent="0.3">
      <c r="B158" s="1"/>
      <c r="C158" s="1"/>
      <c r="D158" s="1"/>
      <c r="E158" s="4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18"/>
      <c r="R158" s="18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17"/>
      <c r="AD158" s="5"/>
      <c r="AE158" s="5"/>
      <c r="AF158" s="2"/>
      <c r="AG158" s="21"/>
    </row>
    <row r="159" spans="2:33" customFormat="1" x14ac:dyDescent="0.3">
      <c r="B159" s="1"/>
      <c r="C159" s="1"/>
      <c r="D159" s="1"/>
      <c r="E159" s="4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18"/>
      <c r="R159" s="18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17"/>
      <c r="AD159" s="5"/>
      <c r="AE159" s="5"/>
      <c r="AF159" s="2"/>
      <c r="AG159" s="21"/>
    </row>
    <row r="160" spans="2:33" customFormat="1" x14ac:dyDescent="0.3">
      <c r="B160" s="1"/>
      <c r="C160" s="1"/>
      <c r="D160" s="1"/>
      <c r="E160" s="4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18"/>
      <c r="R160" s="18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17"/>
      <c r="AD160" s="5"/>
      <c r="AE160" s="5"/>
      <c r="AF160" s="2"/>
      <c r="AG160" s="21"/>
    </row>
    <row r="161" spans="2:33" customFormat="1" x14ac:dyDescent="0.3">
      <c r="B161" s="1"/>
      <c r="C161" s="1"/>
      <c r="D161" s="1"/>
      <c r="E161" s="4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18"/>
      <c r="R161" s="18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17"/>
      <c r="AD161" s="5"/>
      <c r="AE161" s="5"/>
      <c r="AF161" s="2"/>
      <c r="AG161" s="21"/>
    </row>
    <row r="162" spans="2:33" customFormat="1" x14ac:dyDescent="0.3">
      <c r="B162" s="1"/>
      <c r="C162" s="1"/>
      <c r="D162" s="1"/>
      <c r="E162" s="4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18"/>
      <c r="R162" s="18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17"/>
      <c r="AD162" s="5"/>
      <c r="AE162" s="5"/>
      <c r="AF162" s="2"/>
      <c r="AG162" s="21"/>
    </row>
    <row r="163" spans="2:33" customFormat="1" x14ac:dyDescent="0.3">
      <c r="B163" s="1"/>
      <c r="C163" s="1"/>
      <c r="D163" s="1"/>
      <c r="E163" s="4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18"/>
      <c r="R163" s="18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17"/>
      <c r="AD163" s="5"/>
      <c r="AE163" s="5"/>
      <c r="AF163" s="2"/>
      <c r="AG163" s="21"/>
    </row>
    <row r="164" spans="2:33" customFormat="1" x14ac:dyDescent="0.3">
      <c r="B164" s="1"/>
      <c r="C164" s="1"/>
      <c r="D164" s="1"/>
      <c r="E164" s="4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18"/>
      <c r="R164" s="18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17"/>
      <c r="AD164" s="5"/>
      <c r="AE164" s="5"/>
      <c r="AF164" s="2"/>
      <c r="AG164" s="21"/>
    </row>
    <row r="165" spans="2:33" customFormat="1" x14ac:dyDescent="0.3">
      <c r="B165" s="1"/>
      <c r="C165" s="1"/>
      <c r="D165" s="1"/>
      <c r="E165" s="4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18"/>
      <c r="R165" s="18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17"/>
      <c r="AD165" s="5"/>
      <c r="AE165" s="5"/>
      <c r="AF165" s="2"/>
      <c r="AG165" s="21"/>
    </row>
    <row r="166" spans="2:33" customFormat="1" x14ac:dyDescent="0.3">
      <c r="B166" s="1"/>
      <c r="C166" s="1"/>
      <c r="D166" s="1"/>
      <c r="E166" s="4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18"/>
      <c r="R166" s="18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17"/>
      <c r="AD166" s="5"/>
      <c r="AE166" s="5"/>
      <c r="AF166" s="2"/>
      <c r="AG166" s="21"/>
    </row>
    <row r="167" spans="2:33" customFormat="1" x14ac:dyDescent="0.3">
      <c r="B167" s="1"/>
      <c r="C167" s="1"/>
      <c r="D167" s="1"/>
      <c r="E167" s="4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18"/>
      <c r="R167" s="18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17"/>
      <c r="AD167" s="5"/>
      <c r="AE167" s="5"/>
      <c r="AF167" s="2"/>
      <c r="AG167" s="21"/>
    </row>
    <row r="168" spans="2:33" customFormat="1" x14ac:dyDescent="0.3">
      <c r="B168" s="1"/>
      <c r="C168" s="1"/>
      <c r="D168" s="1"/>
      <c r="E168" s="4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18"/>
      <c r="R168" s="18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17"/>
      <c r="AD168" s="5"/>
      <c r="AE168" s="5"/>
      <c r="AF168" s="2"/>
      <c r="AG168" s="21"/>
    </row>
    <row r="169" spans="2:33" customFormat="1" x14ac:dyDescent="0.3">
      <c r="B169" s="1"/>
      <c r="C169" s="1"/>
      <c r="D169" s="1"/>
      <c r="E169" s="4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18"/>
      <c r="R169" s="18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17"/>
      <c r="AD169" s="5"/>
      <c r="AE169" s="5"/>
      <c r="AF169" s="2"/>
      <c r="AG169" s="21"/>
    </row>
    <row r="170" spans="2:33" customFormat="1" x14ac:dyDescent="0.3">
      <c r="B170" s="1"/>
      <c r="C170" s="1"/>
      <c r="D170" s="1"/>
      <c r="E170" s="4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18"/>
      <c r="R170" s="18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17"/>
      <c r="AD170" s="5"/>
      <c r="AE170" s="5"/>
      <c r="AF170" s="2"/>
      <c r="AG170" s="21"/>
    </row>
    <row r="171" spans="2:33" customFormat="1" x14ac:dyDescent="0.3">
      <c r="B171" s="1"/>
      <c r="C171" s="1"/>
      <c r="D171" s="1"/>
      <c r="E171" s="4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18"/>
      <c r="R171" s="18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17"/>
      <c r="AD171" s="5"/>
      <c r="AE171" s="5"/>
      <c r="AF171" s="2"/>
      <c r="AG171" s="21"/>
    </row>
    <row r="172" spans="2:33" customFormat="1" x14ac:dyDescent="0.3">
      <c r="B172" s="1"/>
      <c r="C172" s="1"/>
      <c r="D172" s="1"/>
      <c r="E172" s="4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18"/>
      <c r="R172" s="18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17"/>
      <c r="AD172" s="5"/>
      <c r="AE172" s="5"/>
      <c r="AF172" s="2"/>
      <c r="AG172" s="21"/>
    </row>
    <row r="173" spans="2:33" customFormat="1" x14ac:dyDescent="0.3">
      <c r="B173" s="1"/>
      <c r="C173" s="1"/>
      <c r="D173" s="1"/>
      <c r="E173" s="4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18"/>
      <c r="R173" s="18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17"/>
      <c r="AD173" s="5"/>
      <c r="AE173" s="5"/>
      <c r="AF173" s="2"/>
      <c r="AG173" s="21"/>
    </row>
    <row r="174" spans="2:33" customFormat="1" x14ac:dyDescent="0.3">
      <c r="B174" s="1"/>
      <c r="C174" s="1"/>
      <c r="D174" s="1"/>
      <c r="E174" s="4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18"/>
      <c r="R174" s="18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17"/>
      <c r="AD174" s="5"/>
      <c r="AE174" s="5"/>
      <c r="AF174" s="2"/>
      <c r="AG174" s="21"/>
    </row>
    <row r="175" spans="2:33" customFormat="1" x14ac:dyDescent="0.3">
      <c r="B175" s="1"/>
      <c r="C175" s="1"/>
      <c r="D175" s="1"/>
      <c r="E175" s="4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18"/>
      <c r="R175" s="18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17"/>
      <c r="AD175" s="5"/>
      <c r="AE175" s="5"/>
      <c r="AF175" s="2"/>
      <c r="AG175" s="21"/>
    </row>
    <row r="176" spans="2:33" customFormat="1" x14ac:dyDescent="0.3">
      <c r="B176" s="1"/>
      <c r="C176" s="1"/>
      <c r="D176" s="1"/>
      <c r="E176" s="4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18"/>
      <c r="R176" s="18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17"/>
      <c r="AD176" s="5"/>
      <c r="AE176" s="5"/>
      <c r="AF176" s="2"/>
      <c r="AG176" s="21"/>
    </row>
    <row r="177" spans="2:33" customFormat="1" x14ac:dyDescent="0.3">
      <c r="B177" s="1"/>
      <c r="C177" s="1"/>
      <c r="D177" s="1"/>
      <c r="E177" s="4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18"/>
      <c r="R177" s="18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17"/>
      <c r="AD177" s="5"/>
      <c r="AE177" s="5"/>
      <c r="AF177" s="2"/>
      <c r="AG177" s="21"/>
    </row>
    <row r="178" spans="2:33" customFormat="1" x14ac:dyDescent="0.3">
      <c r="B178" s="1"/>
      <c r="C178" s="1"/>
      <c r="D178" s="1"/>
      <c r="E178" s="4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18"/>
      <c r="R178" s="18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17"/>
      <c r="AD178" s="5"/>
      <c r="AE178" s="5"/>
      <c r="AF178" s="2"/>
      <c r="AG178" s="21"/>
    </row>
    <row r="179" spans="2:33" customFormat="1" x14ac:dyDescent="0.3">
      <c r="B179" s="1"/>
      <c r="C179" s="1"/>
      <c r="D179" s="1"/>
      <c r="E179" s="4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18"/>
      <c r="R179" s="18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17"/>
      <c r="AD179" s="5"/>
      <c r="AE179" s="5"/>
      <c r="AF179" s="2"/>
      <c r="AG179" s="21"/>
    </row>
    <row r="180" spans="2:33" customFormat="1" x14ac:dyDescent="0.3">
      <c r="B180" s="1"/>
      <c r="C180" s="1"/>
      <c r="D180" s="1"/>
      <c r="E180" s="4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18"/>
      <c r="R180" s="18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17"/>
      <c r="AD180" s="5"/>
      <c r="AE180" s="5"/>
      <c r="AF180" s="2"/>
      <c r="AG180" s="21"/>
    </row>
    <row r="181" spans="2:33" customFormat="1" x14ac:dyDescent="0.3">
      <c r="B181" s="1"/>
      <c r="C181" s="1"/>
      <c r="D181" s="1"/>
      <c r="E181" s="4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18"/>
      <c r="R181" s="18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17"/>
      <c r="AD181" s="5"/>
      <c r="AE181" s="5"/>
      <c r="AF181" s="2"/>
      <c r="AG181" s="21"/>
    </row>
    <row r="182" spans="2:33" customFormat="1" x14ac:dyDescent="0.3">
      <c r="B182" s="1"/>
      <c r="C182" s="1"/>
      <c r="D182" s="1"/>
      <c r="E182" s="4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18"/>
      <c r="R182" s="18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17"/>
      <c r="AD182" s="5"/>
      <c r="AE182" s="5"/>
      <c r="AF182" s="2"/>
      <c r="AG182" s="21"/>
    </row>
    <row r="183" spans="2:33" customFormat="1" x14ac:dyDescent="0.3">
      <c r="B183" s="1"/>
      <c r="C183" s="1"/>
      <c r="D183" s="1"/>
      <c r="E183" s="4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18"/>
      <c r="R183" s="18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17"/>
      <c r="AD183" s="5"/>
      <c r="AE183" s="5"/>
      <c r="AF183" s="2"/>
      <c r="AG183" s="21"/>
    </row>
    <row r="184" spans="2:33" customFormat="1" x14ac:dyDescent="0.3">
      <c r="B184" s="1"/>
      <c r="C184" s="1"/>
      <c r="D184" s="1"/>
      <c r="E184" s="4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18"/>
      <c r="R184" s="18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17"/>
      <c r="AD184" s="5"/>
      <c r="AE184" s="5"/>
      <c r="AF184" s="2"/>
      <c r="AG184" s="21"/>
    </row>
    <row r="185" spans="2:33" customFormat="1" x14ac:dyDescent="0.3">
      <c r="B185" s="1"/>
      <c r="C185" s="1"/>
      <c r="D185" s="1"/>
      <c r="E185" s="4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18"/>
      <c r="R185" s="18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17"/>
      <c r="AD185" s="5"/>
      <c r="AE185" s="5"/>
      <c r="AF185" s="2"/>
      <c r="AG185" s="21"/>
    </row>
    <row r="186" spans="2:33" customFormat="1" x14ac:dyDescent="0.3">
      <c r="B186" s="1"/>
      <c r="C186" s="1"/>
      <c r="D186" s="1"/>
      <c r="E186" s="4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18"/>
      <c r="R186" s="18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17"/>
      <c r="AD186" s="5"/>
      <c r="AE186" s="5"/>
      <c r="AF186" s="2"/>
      <c r="AG186" s="21"/>
    </row>
    <row r="187" spans="2:33" customFormat="1" x14ac:dyDescent="0.3">
      <c r="B187" s="1"/>
      <c r="C187" s="1"/>
      <c r="D187" s="1"/>
      <c r="E187" s="4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18"/>
      <c r="R187" s="18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17"/>
      <c r="AD187" s="5"/>
      <c r="AE187" s="5"/>
      <c r="AF187" s="2"/>
      <c r="AG187" s="21"/>
    </row>
    <row r="188" spans="2:33" customFormat="1" x14ac:dyDescent="0.3">
      <c r="B188" s="1"/>
      <c r="C188" s="1"/>
      <c r="D188" s="1"/>
      <c r="E188" s="4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18"/>
      <c r="R188" s="18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17"/>
      <c r="AD188" s="5"/>
      <c r="AE188" s="5"/>
      <c r="AF188" s="2"/>
      <c r="AG188" s="21"/>
    </row>
    <row r="189" spans="2:33" customFormat="1" x14ac:dyDescent="0.3">
      <c r="B189" s="1"/>
      <c r="C189" s="1"/>
      <c r="D189" s="1"/>
      <c r="E189" s="4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18"/>
      <c r="R189" s="18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17"/>
      <c r="AD189" s="5"/>
      <c r="AE189" s="5"/>
      <c r="AF189" s="2"/>
      <c r="AG189" s="21"/>
    </row>
    <row r="190" spans="2:33" customFormat="1" x14ac:dyDescent="0.3">
      <c r="B190" s="1"/>
      <c r="C190" s="1"/>
      <c r="D190" s="1"/>
      <c r="E190" s="4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18"/>
      <c r="R190" s="18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17"/>
      <c r="AD190" s="5"/>
      <c r="AE190" s="5"/>
      <c r="AF190" s="2"/>
      <c r="AG190" s="21"/>
    </row>
    <row r="191" spans="2:33" customFormat="1" x14ac:dyDescent="0.3">
      <c r="B191" s="1"/>
      <c r="C191" s="1"/>
      <c r="D191" s="1"/>
      <c r="E191" s="4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18"/>
      <c r="R191" s="18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17"/>
      <c r="AD191" s="5"/>
      <c r="AE191" s="5"/>
      <c r="AF191" s="2"/>
      <c r="AG191" s="21"/>
    </row>
    <row r="192" spans="2:33" customFormat="1" x14ac:dyDescent="0.3">
      <c r="B192" s="1"/>
      <c r="C192" s="1"/>
      <c r="D192" s="1"/>
      <c r="E192" s="4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18"/>
      <c r="R192" s="18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17"/>
      <c r="AD192" s="5"/>
      <c r="AE192" s="5"/>
      <c r="AF192" s="2"/>
      <c r="AG192" s="21"/>
    </row>
    <row r="193" spans="2:33" customFormat="1" x14ac:dyDescent="0.3">
      <c r="B193" s="1"/>
      <c r="C193" s="1"/>
      <c r="D193" s="1"/>
      <c r="E193" s="4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18"/>
      <c r="R193" s="18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17"/>
      <c r="AD193" s="5"/>
      <c r="AE193" s="5"/>
      <c r="AF193" s="2"/>
      <c r="AG193" s="21"/>
    </row>
    <row r="194" spans="2:33" customFormat="1" x14ac:dyDescent="0.3">
      <c r="B194" s="1"/>
      <c r="C194" s="1"/>
      <c r="D194" s="1"/>
      <c r="E194" s="4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18"/>
      <c r="R194" s="18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17"/>
      <c r="AD194" s="5"/>
      <c r="AE194" s="5"/>
      <c r="AF194" s="2"/>
      <c r="AG194" s="21"/>
    </row>
    <row r="195" spans="2:33" customFormat="1" x14ac:dyDescent="0.3">
      <c r="B195" s="1"/>
      <c r="C195" s="1"/>
      <c r="D195" s="1"/>
      <c r="E195" s="4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18"/>
      <c r="R195" s="18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17"/>
      <c r="AD195" s="5"/>
      <c r="AE195" s="5"/>
      <c r="AF195" s="2"/>
      <c r="AG195" s="21"/>
    </row>
    <row r="196" spans="2:33" customFormat="1" x14ac:dyDescent="0.3">
      <c r="B196" s="1"/>
      <c r="C196" s="1"/>
      <c r="D196" s="1"/>
      <c r="E196" s="4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18"/>
      <c r="R196" s="18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17"/>
      <c r="AD196" s="5"/>
      <c r="AE196" s="5"/>
      <c r="AF196" s="2"/>
      <c r="AG196" s="21"/>
    </row>
    <row r="197" spans="2:33" customFormat="1" x14ac:dyDescent="0.3">
      <c r="B197" s="1"/>
      <c r="C197" s="1"/>
      <c r="D197" s="1"/>
      <c r="E197" s="4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18"/>
      <c r="R197" s="18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17"/>
      <c r="AD197" s="5"/>
      <c r="AE197" s="5"/>
      <c r="AF197" s="2"/>
      <c r="AG197" s="21"/>
    </row>
    <row r="198" spans="2:33" customFormat="1" x14ac:dyDescent="0.3">
      <c r="B198" s="1"/>
      <c r="C198" s="1"/>
      <c r="D198" s="1"/>
      <c r="E198" s="4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18"/>
      <c r="R198" s="18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17"/>
      <c r="AD198" s="5"/>
      <c r="AE198" s="5"/>
      <c r="AF198" s="2"/>
      <c r="AG198" s="21"/>
    </row>
    <row r="199" spans="2:33" customFormat="1" x14ac:dyDescent="0.3">
      <c r="B199" s="1"/>
      <c r="C199" s="1"/>
      <c r="D199" s="1"/>
      <c r="E199" s="4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18"/>
      <c r="R199" s="18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17"/>
      <c r="AD199" s="5"/>
      <c r="AE199" s="5"/>
      <c r="AF199" s="2"/>
      <c r="AG199" s="21"/>
    </row>
    <row r="200" spans="2:33" customFormat="1" x14ac:dyDescent="0.3">
      <c r="B200" s="1"/>
      <c r="C200" s="1"/>
      <c r="D200" s="1"/>
      <c r="E200" s="4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18"/>
      <c r="R200" s="18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17"/>
      <c r="AD200" s="5"/>
      <c r="AE200" s="5"/>
      <c r="AF200" s="2"/>
      <c r="AG200" s="21"/>
    </row>
    <row r="201" spans="2:33" customFormat="1" x14ac:dyDescent="0.3">
      <c r="B201" s="1"/>
      <c r="C201" s="1"/>
      <c r="D201" s="1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18"/>
      <c r="R201" s="18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17"/>
      <c r="AD201" s="5"/>
      <c r="AE201" s="5"/>
      <c r="AF201" s="2"/>
      <c r="AG201" s="21"/>
    </row>
    <row r="202" spans="2:33" customFormat="1" x14ac:dyDescent="0.3">
      <c r="B202" s="1"/>
      <c r="C202" s="1"/>
      <c r="D202" s="1"/>
      <c r="E202" s="4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18"/>
      <c r="R202" s="18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17"/>
      <c r="AD202" s="5"/>
      <c r="AE202" s="5"/>
      <c r="AF202" s="2"/>
      <c r="AG202" s="21"/>
    </row>
    <row r="203" spans="2:33" customFormat="1" x14ac:dyDescent="0.3">
      <c r="B203" s="1"/>
      <c r="C203" s="1"/>
      <c r="D203" s="1"/>
      <c r="E203" s="4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18"/>
      <c r="R203" s="18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17"/>
      <c r="AD203" s="5"/>
      <c r="AE203" s="5"/>
      <c r="AF203" s="2"/>
      <c r="AG203" s="21"/>
    </row>
    <row r="204" spans="2:33" customFormat="1" x14ac:dyDescent="0.3">
      <c r="B204" s="1"/>
      <c r="C204" s="1"/>
      <c r="D204" s="1"/>
      <c r="E204" s="4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18"/>
      <c r="R204" s="18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17"/>
      <c r="AD204" s="5"/>
      <c r="AE204" s="5"/>
      <c r="AF204" s="2"/>
      <c r="AG204" s="21"/>
    </row>
    <row r="205" spans="2:33" customFormat="1" x14ac:dyDescent="0.3">
      <c r="B205" s="1"/>
      <c r="C205" s="1"/>
      <c r="D205" s="1"/>
      <c r="E205" s="4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18"/>
      <c r="R205" s="18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17"/>
      <c r="AD205" s="5"/>
      <c r="AE205" s="5"/>
      <c r="AF205" s="2"/>
      <c r="AG205" s="21"/>
    </row>
    <row r="206" spans="2:33" customFormat="1" x14ac:dyDescent="0.3">
      <c r="B206" s="1"/>
      <c r="C206" s="1"/>
      <c r="D206" s="1"/>
      <c r="E206" s="4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18"/>
      <c r="R206" s="18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17"/>
      <c r="AD206" s="5"/>
      <c r="AE206" s="5"/>
      <c r="AF206" s="2"/>
      <c r="AG206" s="21"/>
    </row>
    <row r="207" spans="2:33" customFormat="1" x14ac:dyDescent="0.3">
      <c r="B207" s="1"/>
      <c r="C207" s="1"/>
      <c r="D207" s="1"/>
      <c r="E207" s="4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18"/>
      <c r="R207" s="18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17"/>
      <c r="AD207" s="5"/>
      <c r="AE207" s="5"/>
      <c r="AF207" s="2"/>
      <c r="AG207" s="21"/>
    </row>
    <row r="208" spans="2:33" customFormat="1" x14ac:dyDescent="0.3">
      <c r="B208" s="1"/>
      <c r="C208" s="1"/>
      <c r="D208" s="1"/>
      <c r="E208" s="4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18"/>
      <c r="R208" s="18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17"/>
      <c r="AD208" s="5"/>
      <c r="AE208" s="5"/>
      <c r="AF208" s="2"/>
      <c r="AG208" s="21"/>
    </row>
    <row r="209" spans="2:33" customFormat="1" x14ac:dyDescent="0.3">
      <c r="B209" s="1"/>
      <c r="C209" s="1"/>
      <c r="D209" s="1"/>
      <c r="E209" s="4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18"/>
      <c r="R209" s="18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17"/>
      <c r="AD209" s="5"/>
      <c r="AE209" s="5"/>
      <c r="AF209" s="2"/>
      <c r="AG209" s="21"/>
    </row>
    <row r="210" spans="2:33" customFormat="1" x14ac:dyDescent="0.3">
      <c r="B210" s="1"/>
      <c r="C210" s="1"/>
      <c r="D210" s="1"/>
      <c r="E210" s="4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18"/>
      <c r="R210" s="18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17"/>
      <c r="AD210" s="5"/>
      <c r="AE210" s="5"/>
      <c r="AF210" s="2"/>
      <c r="AG210" s="21"/>
    </row>
    <row r="211" spans="2:33" customFormat="1" x14ac:dyDescent="0.3">
      <c r="B211" s="1"/>
      <c r="C211" s="1"/>
      <c r="D211" s="1"/>
      <c r="E211" s="4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18"/>
      <c r="R211" s="18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17"/>
      <c r="AD211" s="5"/>
      <c r="AE211" s="5"/>
      <c r="AF211" s="2"/>
      <c r="AG211" s="21"/>
    </row>
    <row r="212" spans="2:33" customFormat="1" x14ac:dyDescent="0.3">
      <c r="B212" s="1"/>
      <c r="C212" s="1"/>
      <c r="D212" s="1"/>
      <c r="E212" s="4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18"/>
      <c r="R212" s="18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17"/>
      <c r="AD212" s="5"/>
      <c r="AE212" s="5"/>
      <c r="AF212" s="2"/>
      <c r="AG212" s="21"/>
    </row>
    <row r="213" spans="2:33" customFormat="1" x14ac:dyDescent="0.3">
      <c r="B213" s="1"/>
      <c r="C213" s="1"/>
      <c r="D213" s="1"/>
      <c r="E213" s="4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18"/>
      <c r="R213" s="18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17"/>
      <c r="AD213" s="5"/>
      <c r="AE213" s="5"/>
      <c r="AF213" s="2"/>
      <c r="AG213" s="21"/>
    </row>
    <row r="214" spans="2:33" customFormat="1" x14ac:dyDescent="0.3">
      <c r="B214" s="1"/>
      <c r="C214" s="1"/>
      <c r="D214" s="1"/>
      <c r="E214" s="4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18"/>
      <c r="R214" s="18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17"/>
      <c r="AD214" s="5"/>
      <c r="AE214" s="5"/>
      <c r="AF214" s="2"/>
      <c r="AG214" s="21"/>
    </row>
    <row r="215" spans="2:33" customFormat="1" x14ac:dyDescent="0.3">
      <c r="B215" s="1"/>
      <c r="C215" s="1"/>
      <c r="D215" s="1"/>
      <c r="E215" s="4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18"/>
      <c r="R215" s="18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17"/>
      <c r="AD215" s="5"/>
      <c r="AE215" s="5"/>
      <c r="AF215" s="2"/>
      <c r="AG215" s="21"/>
    </row>
    <row r="216" spans="2:33" customFormat="1" x14ac:dyDescent="0.3">
      <c r="B216" s="1"/>
      <c r="C216" s="1"/>
      <c r="D216" s="1"/>
      <c r="E216" s="4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18"/>
      <c r="R216" s="18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17"/>
      <c r="AD216" s="5"/>
      <c r="AE216" s="5"/>
      <c r="AF216" s="2"/>
      <c r="AG216" s="21"/>
    </row>
    <row r="217" spans="2:33" customFormat="1" x14ac:dyDescent="0.3">
      <c r="B217" s="1"/>
      <c r="C217" s="1"/>
      <c r="D217" s="1"/>
      <c r="E217" s="4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18"/>
      <c r="R217" s="18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17"/>
      <c r="AD217" s="5"/>
      <c r="AE217" s="5"/>
      <c r="AF217" s="2"/>
      <c r="AG217" s="21"/>
    </row>
    <row r="218" spans="2:33" customFormat="1" x14ac:dyDescent="0.3">
      <c r="B218" s="1"/>
      <c r="C218" s="1"/>
      <c r="D218" s="1"/>
      <c r="E218" s="4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18"/>
      <c r="R218" s="18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17"/>
      <c r="AD218" s="5"/>
      <c r="AE218" s="5"/>
      <c r="AF218" s="2"/>
      <c r="AG218" s="21"/>
    </row>
    <row r="219" spans="2:33" customFormat="1" x14ac:dyDescent="0.3">
      <c r="B219" s="1"/>
      <c r="C219" s="1"/>
      <c r="D219" s="1"/>
      <c r="E219" s="4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18"/>
      <c r="R219" s="18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17"/>
      <c r="AD219" s="5"/>
      <c r="AE219" s="5"/>
      <c r="AF219" s="2"/>
      <c r="AG219" s="21"/>
    </row>
    <row r="220" spans="2:33" customFormat="1" x14ac:dyDescent="0.3">
      <c r="B220" s="1"/>
      <c r="C220" s="1"/>
      <c r="D220" s="1"/>
      <c r="E220" s="4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18"/>
      <c r="R220" s="18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17"/>
      <c r="AD220" s="5"/>
      <c r="AE220" s="5"/>
      <c r="AF220" s="2"/>
      <c r="AG220" s="21"/>
    </row>
    <row r="221" spans="2:33" customFormat="1" x14ac:dyDescent="0.3">
      <c r="B221" s="1"/>
      <c r="C221" s="1"/>
      <c r="D221" s="1"/>
      <c r="E221" s="4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18"/>
      <c r="R221" s="18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17"/>
      <c r="AD221" s="5"/>
      <c r="AE221" s="5"/>
      <c r="AF221" s="2"/>
      <c r="AG221" s="21"/>
    </row>
    <row r="222" spans="2:33" customFormat="1" x14ac:dyDescent="0.3">
      <c r="B222" s="1"/>
      <c r="C222" s="1"/>
      <c r="D222" s="1"/>
      <c r="E222" s="4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18"/>
      <c r="R222" s="18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17"/>
      <c r="AD222" s="5"/>
      <c r="AE222" s="5"/>
      <c r="AF222" s="2"/>
      <c r="AG222" s="21"/>
    </row>
    <row r="223" spans="2:33" customFormat="1" x14ac:dyDescent="0.3">
      <c r="B223" s="1"/>
      <c r="C223" s="1"/>
      <c r="D223" s="1"/>
      <c r="E223" s="4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18"/>
      <c r="R223" s="18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17"/>
      <c r="AD223" s="5"/>
      <c r="AE223" s="5"/>
      <c r="AF223" s="2"/>
      <c r="AG223" s="21"/>
    </row>
    <row r="224" spans="2:33" customFormat="1" x14ac:dyDescent="0.3">
      <c r="B224" s="1"/>
      <c r="C224" s="1"/>
      <c r="D224" s="1"/>
      <c r="E224" s="4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18"/>
      <c r="R224" s="18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17"/>
      <c r="AD224" s="5"/>
      <c r="AE224" s="5"/>
      <c r="AF224" s="2"/>
      <c r="AG224" s="21"/>
    </row>
    <row r="225" spans="2:33" customFormat="1" x14ac:dyDescent="0.3">
      <c r="B225" s="1"/>
      <c r="C225" s="1"/>
      <c r="D225" s="1"/>
      <c r="E225" s="4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18"/>
      <c r="R225" s="18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17"/>
      <c r="AD225" s="5"/>
      <c r="AE225" s="5"/>
      <c r="AF225" s="2"/>
      <c r="AG225" s="21"/>
    </row>
    <row r="226" spans="2:33" customFormat="1" x14ac:dyDescent="0.3">
      <c r="B226" s="1"/>
      <c r="C226" s="1"/>
      <c r="D226" s="1"/>
      <c r="E226" s="4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18"/>
      <c r="R226" s="18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17"/>
      <c r="AD226" s="5"/>
      <c r="AE226" s="5"/>
      <c r="AF226" s="2"/>
      <c r="AG226" s="21"/>
    </row>
    <row r="227" spans="2:33" customFormat="1" x14ac:dyDescent="0.3">
      <c r="B227" s="1"/>
      <c r="C227" s="1"/>
      <c r="D227" s="1"/>
      <c r="E227" s="4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18"/>
      <c r="R227" s="18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17"/>
      <c r="AD227" s="5"/>
      <c r="AE227" s="5"/>
      <c r="AF227" s="2"/>
      <c r="AG227" s="21"/>
    </row>
    <row r="228" spans="2:33" customFormat="1" x14ac:dyDescent="0.3">
      <c r="B228" s="1"/>
      <c r="C228" s="1"/>
      <c r="D228" s="1"/>
      <c r="E228" s="4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18"/>
      <c r="R228" s="18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17"/>
      <c r="AD228" s="5"/>
      <c r="AE228" s="5"/>
      <c r="AF228" s="2"/>
      <c r="AG228" s="21"/>
    </row>
    <row r="229" spans="2:33" customFormat="1" x14ac:dyDescent="0.3">
      <c r="B229" s="1"/>
      <c r="C229" s="1"/>
      <c r="D229" s="1"/>
      <c r="E229" s="4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18"/>
      <c r="R229" s="18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17"/>
      <c r="AD229" s="5"/>
      <c r="AE229" s="5"/>
      <c r="AF229" s="2"/>
      <c r="AG229" s="21"/>
    </row>
    <row r="230" spans="2:33" customFormat="1" x14ac:dyDescent="0.3">
      <c r="B230" s="1"/>
      <c r="C230" s="1"/>
      <c r="D230" s="1"/>
      <c r="E230" s="4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18"/>
      <c r="R230" s="18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17"/>
      <c r="AD230" s="5"/>
      <c r="AE230" s="5"/>
      <c r="AF230" s="2"/>
      <c r="AG230" s="21"/>
    </row>
    <row r="231" spans="2:33" customFormat="1" x14ac:dyDescent="0.3">
      <c r="B231" s="1"/>
      <c r="C231" s="1"/>
      <c r="D231" s="1"/>
      <c r="E231" s="4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18"/>
      <c r="R231" s="18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17"/>
      <c r="AD231" s="5"/>
      <c r="AE231" s="5"/>
      <c r="AF231" s="2"/>
      <c r="AG231" s="21"/>
    </row>
    <row r="232" spans="2:33" customFormat="1" x14ac:dyDescent="0.3">
      <c r="B232" s="1"/>
      <c r="C232" s="1"/>
      <c r="D232" s="1"/>
      <c r="E232" s="4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18"/>
      <c r="R232" s="18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17"/>
      <c r="AD232" s="5"/>
      <c r="AE232" s="5"/>
      <c r="AF232" s="2"/>
      <c r="AG232" s="21"/>
    </row>
    <row r="233" spans="2:33" customFormat="1" x14ac:dyDescent="0.3">
      <c r="B233" s="1"/>
      <c r="C233" s="1"/>
      <c r="D233" s="1"/>
      <c r="E233" s="4"/>
      <c r="F233" s="22"/>
      <c r="G233" s="5"/>
      <c r="H233" s="5"/>
      <c r="I233" s="5"/>
      <c r="J233" s="5"/>
      <c r="K233" s="5"/>
      <c r="L233" s="23"/>
      <c r="M233" s="5"/>
      <c r="N233" s="23"/>
      <c r="O233" s="23"/>
      <c r="P233" s="23"/>
      <c r="Q233" s="24"/>
      <c r="R233" s="24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5"/>
      <c r="AD233" s="23"/>
      <c r="AE233" s="23"/>
      <c r="AF233" s="26"/>
      <c r="AG233" s="21"/>
    </row>
    <row r="234" spans="2:33" customFormat="1" x14ac:dyDescent="0.3">
      <c r="B234" s="1"/>
      <c r="C234" s="1"/>
      <c r="D234" s="1"/>
      <c r="E234" s="4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8"/>
      <c r="R234" s="19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21"/>
    </row>
    <row r="235" spans="2:33" customFormat="1" x14ac:dyDescent="0.3">
      <c r="B235" s="1"/>
      <c r="C235" s="1"/>
      <c r="D235" s="1"/>
      <c r="E235" s="4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8"/>
      <c r="R235" s="19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21"/>
    </row>
    <row r="236" spans="2:33" customFormat="1" x14ac:dyDescent="0.3">
      <c r="B236" s="1"/>
      <c r="C236" s="1"/>
      <c r="D236" s="1"/>
      <c r="E236" s="4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8"/>
      <c r="R236" s="19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21"/>
    </row>
    <row r="237" spans="2:33" customFormat="1" x14ac:dyDescent="0.3">
      <c r="B237" s="1"/>
      <c r="C237" s="1"/>
      <c r="D237" s="1"/>
      <c r="E237" s="4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8"/>
      <c r="R237" s="19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21"/>
    </row>
    <row r="238" spans="2:33" customFormat="1" x14ac:dyDescent="0.3">
      <c r="B238" s="1"/>
      <c r="C238" s="1"/>
      <c r="D238" s="1"/>
      <c r="E238" s="4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8"/>
      <c r="R238" s="19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21"/>
    </row>
    <row r="239" spans="2:33" customFormat="1" x14ac:dyDescent="0.3">
      <c r="B239" s="1"/>
      <c r="C239" s="1"/>
      <c r="D239" s="1"/>
      <c r="E239" s="4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8"/>
      <c r="R239" s="19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21"/>
    </row>
    <row r="240" spans="2:33" customFormat="1" x14ac:dyDescent="0.3">
      <c r="B240" s="1"/>
      <c r="C240" s="1"/>
      <c r="D240" s="1"/>
      <c r="E240" s="4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8"/>
      <c r="R240" s="19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21"/>
    </row>
    <row r="241" spans="2:33" customFormat="1" x14ac:dyDescent="0.3">
      <c r="B241" s="1"/>
      <c r="C241" s="1"/>
      <c r="D241" s="1"/>
      <c r="E241" s="4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8"/>
      <c r="R241" s="19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21"/>
    </row>
    <row r="242" spans="2:33" customFormat="1" x14ac:dyDescent="0.3">
      <c r="B242" s="1"/>
      <c r="C242" s="1"/>
      <c r="D242" s="1"/>
      <c r="E242" s="4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8"/>
      <c r="R242" s="19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21"/>
    </row>
    <row r="243" spans="2:33" customFormat="1" x14ac:dyDescent="0.3">
      <c r="B243" s="1"/>
      <c r="C243" s="1"/>
      <c r="D243" s="1"/>
      <c r="E243" s="4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8"/>
      <c r="R243" s="19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21"/>
    </row>
    <row r="244" spans="2:33" customFormat="1" x14ac:dyDescent="0.3">
      <c r="B244" s="1"/>
      <c r="C244" s="1"/>
      <c r="D244" s="1"/>
      <c r="E244" s="4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8"/>
      <c r="R244" s="19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21"/>
    </row>
    <row r="245" spans="2:33" customFormat="1" x14ac:dyDescent="0.3">
      <c r="B245" s="1"/>
      <c r="C245" s="1"/>
      <c r="D245" s="1"/>
      <c r="E245" s="4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8"/>
      <c r="R245" s="19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21"/>
    </row>
    <row r="246" spans="2:33" customFormat="1" x14ac:dyDescent="0.3">
      <c r="B246" s="1"/>
      <c r="C246" s="1"/>
      <c r="D246" s="1"/>
      <c r="E246" s="4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8"/>
      <c r="R246" s="19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21"/>
    </row>
    <row r="247" spans="2:33" customFormat="1" x14ac:dyDescent="0.3">
      <c r="B247" s="1"/>
      <c r="C247" s="1"/>
      <c r="D247" s="1"/>
      <c r="E247" s="22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8"/>
      <c r="R247" s="19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27"/>
    </row>
    <row r="248" spans="2:33" customFormat="1" x14ac:dyDescent="0.3">
      <c r="B248" s="1"/>
      <c r="C248" s="1"/>
      <c r="D248" s="1"/>
      <c r="E248" s="4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8"/>
      <c r="R248" s="19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2:33" customFormat="1" x14ac:dyDescent="0.3">
      <c r="B249" s="1"/>
      <c r="C249" s="1"/>
      <c r="D249" s="1"/>
      <c r="E249" s="4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8"/>
      <c r="R249" s="19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2:33" customFormat="1" x14ac:dyDescent="0.3">
      <c r="B250" s="1"/>
      <c r="C250" s="1"/>
      <c r="D250" s="1"/>
      <c r="E250" s="4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8"/>
      <c r="R250" s="19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2:33" customFormat="1" x14ac:dyDescent="0.3">
      <c r="B251" s="1"/>
      <c r="C251" s="1"/>
      <c r="D251" s="1"/>
      <c r="E251" s="4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8"/>
      <c r="R251" s="19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2:33" customFormat="1" x14ac:dyDescent="0.3">
      <c r="B252" s="1"/>
      <c r="C252" s="1"/>
      <c r="D252" s="1"/>
      <c r="E252" s="4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8"/>
      <c r="R252" s="19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2:33" customFormat="1" x14ac:dyDescent="0.3">
      <c r="B253" s="1"/>
      <c r="C253" s="1"/>
      <c r="D253" s="1"/>
      <c r="E253" s="4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8"/>
      <c r="R253" s="19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2:33" customFormat="1" x14ac:dyDescent="0.3">
      <c r="B254" s="1"/>
      <c r="C254" s="1"/>
      <c r="D254" s="1"/>
      <c r="E254" s="4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8"/>
      <c r="R254" s="19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2:33" customFormat="1" x14ac:dyDescent="0.3">
      <c r="B255" s="1"/>
      <c r="C255" s="1"/>
      <c r="D255" s="1"/>
      <c r="E255" s="4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8"/>
      <c r="R255" s="19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2:33" customFormat="1" x14ac:dyDescent="0.3">
      <c r="B256" s="1"/>
      <c r="C256" s="1"/>
      <c r="D256" s="1"/>
      <c r="E256" s="4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8"/>
      <c r="R256" s="19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2:33" customFormat="1" x14ac:dyDescent="0.3">
      <c r="B257" s="1"/>
      <c r="C257" s="1"/>
      <c r="D257" s="1"/>
      <c r="E257" s="4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8"/>
      <c r="R257" s="19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2:33" customFormat="1" x14ac:dyDescent="0.3">
      <c r="B258" s="1"/>
      <c r="C258" s="1"/>
      <c r="D258" s="1"/>
      <c r="E258" s="4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8"/>
      <c r="R258" s="19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2:33" customFormat="1" x14ac:dyDescent="0.3">
      <c r="B259" s="1"/>
      <c r="C259" s="1"/>
      <c r="D259" s="1"/>
      <c r="E259" s="4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8"/>
      <c r="R259" s="19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2:33" customFormat="1" x14ac:dyDescent="0.3">
      <c r="B260" s="1"/>
      <c r="C260" s="1"/>
      <c r="D260" s="1"/>
      <c r="E260" s="4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8"/>
      <c r="R260" s="19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2:33" customFormat="1" x14ac:dyDescent="0.3">
      <c r="B261" s="1"/>
      <c r="C261" s="1"/>
      <c r="D261" s="1"/>
      <c r="E261" s="4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8"/>
      <c r="R261" s="19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2:33" customFormat="1" x14ac:dyDescent="0.3">
      <c r="B262" s="1"/>
      <c r="C262" s="1"/>
      <c r="D262" s="1"/>
      <c r="E262" s="4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8"/>
      <c r="R262" s="19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2:33" customFormat="1" x14ac:dyDescent="0.3">
      <c r="B263" s="1"/>
      <c r="C263" s="1"/>
      <c r="D263" s="1"/>
      <c r="E263" s="4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8"/>
      <c r="R263" s="19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2:33" customFormat="1" x14ac:dyDescent="0.3">
      <c r="B264" s="1"/>
      <c r="C264" s="1"/>
      <c r="D264" s="1"/>
      <c r="E264" s="4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8"/>
      <c r="R264" s="19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2:33" customFormat="1" x14ac:dyDescent="0.3">
      <c r="B265" s="1"/>
      <c r="C265" s="1"/>
      <c r="D265" s="1"/>
      <c r="E265" s="4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8"/>
      <c r="R265" s="19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2:33" customFormat="1" x14ac:dyDescent="0.3">
      <c r="B266" s="1"/>
      <c r="C266" s="1"/>
      <c r="D266" s="1"/>
      <c r="E266" s="4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8"/>
      <c r="R266" s="19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2:33" customFormat="1" x14ac:dyDescent="0.3">
      <c r="B267" s="1"/>
      <c r="C267" s="1"/>
      <c r="D267" s="1"/>
      <c r="E267" s="4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8"/>
      <c r="R267" s="19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2:33" customFormat="1" x14ac:dyDescent="0.3">
      <c r="B268" s="1"/>
      <c r="C268" s="1"/>
      <c r="D268" s="1"/>
      <c r="E268" s="4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8"/>
      <c r="R268" s="19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2:33" customFormat="1" x14ac:dyDescent="0.3">
      <c r="B269" s="1"/>
      <c r="C269" s="1"/>
      <c r="D269" s="1"/>
      <c r="E269" s="4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8"/>
      <c r="R269" s="19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2:33" customFormat="1" x14ac:dyDescent="0.3">
      <c r="B270" s="1"/>
      <c r="C270" s="1"/>
      <c r="D270" s="1"/>
      <c r="E270" s="4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8"/>
      <c r="R270" s="19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2:33" customFormat="1" x14ac:dyDescent="0.3">
      <c r="B271" s="1"/>
      <c r="C271" s="1"/>
      <c r="D271" s="1"/>
      <c r="E271" s="4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8"/>
      <c r="R271" s="19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2:33" customFormat="1" x14ac:dyDescent="0.3">
      <c r="B272" s="1"/>
      <c r="C272" s="1"/>
      <c r="D272" s="1"/>
      <c r="E272" s="4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8"/>
      <c r="R272" s="19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5:6" x14ac:dyDescent="0.3">
      <c r="E273" s="4"/>
      <c r="F273" s="4"/>
    </row>
    <row r="274" spans="5:6" x14ac:dyDescent="0.3">
      <c r="E274" s="4"/>
      <c r="F274" s="4"/>
    </row>
    <row r="275" spans="5:6" x14ac:dyDescent="0.3">
      <c r="E275" s="4"/>
      <c r="F275" s="4"/>
    </row>
    <row r="276" spans="5:6" x14ac:dyDescent="0.3">
      <c r="E276" s="4"/>
      <c r="F276" s="4"/>
    </row>
    <row r="277" spans="5:6" x14ac:dyDescent="0.3">
      <c r="E277" s="4"/>
      <c r="F277" s="4"/>
    </row>
    <row r="278" spans="5:6" x14ac:dyDescent="0.3">
      <c r="E278" s="4"/>
      <c r="F278" s="4"/>
    </row>
    <row r="279" spans="5:6" x14ac:dyDescent="0.3">
      <c r="E279" s="4"/>
      <c r="F279" s="4"/>
    </row>
    <row r="280" spans="5:6" x14ac:dyDescent="0.3">
      <c r="E280" s="4"/>
      <c r="F280" s="4"/>
    </row>
    <row r="281" spans="5:6" x14ac:dyDescent="0.3">
      <c r="E281" s="4"/>
      <c r="F281" s="4"/>
    </row>
    <row r="282" spans="5:6" x14ac:dyDescent="0.3">
      <c r="E282" s="4"/>
    </row>
    <row r="283" spans="5:6" x14ac:dyDescent="0.3">
      <c r="E283" s="4"/>
    </row>
    <row r="284" spans="5:6" x14ac:dyDescent="0.3">
      <c r="E284" s="4"/>
    </row>
    <row r="285" spans="5:6" x14ac:dyDescent="0.3">
      <c r="E285" s="4"/>
    </row>
    <row r="286" spans="5:6" x14ac:dyDescent="0.3">
      <c r="E286" s="4"/>
    </row>
    <row r="287" spans="5:6" x14ac:dyDescent="0.3">
      <c r="E287" s="4"/>
    </row>
    <row r="288" spans="5:6" x14ac:dyDescent="0.3">
      <c r="E288" s="4"/>
    </row>
    <row r="289" spans="5:5" x14ac:dyDescent="0.3">
      <c r="E289" s="4"/>
    </row>
    <row r="290" spans="5:5" x14ac:dyDescent="0.3">
      <c r="E290" s="4"/>
    </row>
    <row r="291" spans="5:5" x14ac:dyDescent="0.3">
      <c r="E291" s="4"/>
    </row>
    <row r="292" spans="5:5" x14ac:dyDescent="0.3">
      <c r="E292" s="4"/>
    </row>
    <row r="293" spans="5:5" x14ac:dyDescent="0.3">
      <c r="E293" s="4"/>
    </row>
    <row r="294" spans="5:5" x14ac:dyDescent="0.3">
      <c r="E294" s="4"/>
    </row>
    <row r="295" spans="5:5" x14ac:dyDescent="0.3">
      <c r="E295" s="4"/>
    </row>
  </sheetData>
  <mergeCells count="6">
    <mergeCell ref="T2:W2"/>
    <mergeCell ref="B4:C4"/>
    <mergeCell ref="E2:F2"/>
    <mergeCell ref="G2:L2"/>
    <mergeCell ref="N2:O2"/>
    <mergeCell ref="Q2:S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b853244e-7603-4783-a498-be4ca8876b13" xsi:nil="true"/>
    <lcf76f155ced4ddcb4097134ff3c332f xmlns="b853244e-7603-4783-a498-be4ca8876b13">
      <Terms xmlns="http://schemas.microsoft.com/office/infopath/2007/PartnerControls"/>
    </lcf76f155ced4ddcb4097134ff3c332f>
    <TaxCatchAll xmlns="8d78e1de-c411-4830-b453-ae2b2957e4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7983235A7B0C4E9DAF059E52CA6312" ma:contentTypeVersion="19" ma:contentTypeDescription="Create a new document." ma:contentTypeScope="" ma:versionID="2cf98ac3b7f3ae2e1f6ab12717d1c93c">
  <xsd:schema xmlns:xsd="http://www.w3.org/2001/XMLSchema" xmlns:xs="http://www.w3.org/2001/XMLSchema" xmlns:p="http://schemas.microsoft.com/office/2006/metadata/properties" xmlns:ns2="b853244e-7603-4783-a498-be4ca8876b13" xmlns:ns3="8d78e1de-c411-4830-b453-ae2b2957e43b" targetNamespace="http://schemas.microsoft.com/office/2006/metadata/properties" ma:root="true" ma:fieldsID="543786627d888f8db4e52ecfcdb978a8" ns2:_="" ns3:_="">
    <xsd:import namespace="b853244e-7603-4783-a498-be4ca8876b13"/>
    <xsd:import namespace="8d78e1de-c411-4830-b453-ae2b2957e4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3244e-7603-4783-a498-be4ca8876b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56756f9-18f5-4fe6-86e3-093d90267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78e1de-c411-4830-b453-ae2b2957e4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96f1b74-75e8-4132-98e8-2ffdda0eda77}" ma:internalName="TaxCatchAll" ma:showField="CatchAllData" ma:web="8d78e1de-c411-4830-b453-ae2b2957e4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605EE5-F9C6-4AD1-BDD5-080142755A00}">
  <ds:schemaRefs>
    <ds:schemaRef ds:uri="http://schemas.microsoft.com/office/2006/metadata/properties"/>
    <ds:schemaRef ds:uri="http://schemas.microsoft.com/office/infopath/2007/PartnerControls"/>
    <ds:schemaRef ds:uri="b853244e-7603-4783-a498-be4ca8876b13"/>
    <ds:schemaRef ds:uri="8d78e1de-c411-4830-b453-ae2b2957e43b"/>
  </ds:schemaRefs>
</ds:datastoreItem>
</file>

<file path=customXml/itemProps2.xml><?xml version="1.0" encoding="utf-8"?>
<ds:datastoreItem xmlns:ds="http://schemas.openxmlformats.org/officeDocument/2006/customXml" ds:itemID="{AA0EBA00-5068-4FFD-8451-F41336A0DB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5AC9A2-F227-4FD7-B62B-81EE62C51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53244e-7603-4783-a498-be4ca8876b13"/>
    <ds:schemaRef ds:uri="8d78e1de-c411-4830-b453-ae2b2957e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Answer Sheet</vt:lpstr>
      <vt:lpstr>Pricing model EnergiCore</vt:lpstr>
      <vt:lpstr>Question 2.3</vt:lpstr>
      <vt:lpstr>Question 2.4</vt:lpstr>
      <vt:lpstr>Question 2.5</vt:lpstr>
      <vt:lpstr>IGNORE- RAROC, set PD, 11.75COF</vt:lpstr>
    </vt:vector>
  </TitlesOfParts>
  <Manager/>
  <Company>Nedbank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Amod, F. (Farhaad)</dc:creator>
  <cp:keywords/>
  <dc:description/>
  <cp:lastModifiedBy>Miss. TJL Brier</cp:lastModifiedBy>
  <cp:revision/>
  <dcterms:created xsi:type="dcterms:W3CDTF">2014-03-25T11:16:06Z</dcterms:created>
  <dcterms:modified xsi:type="dcterms:W3CDTF">2026-01-26T06:42:06Z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3ff2d6-7c2c-441b-97b8-52c111077da7_Enabled">
    <vt:lpwstr>True</vt:lpwstr>
  </property>
  <property fmtid="{D5CDD505-2E9C-101B-9397-08002B2CF9AE}" pid="3" name="MSIP_Label_fb3ff2d6-7c2c-441b-97b8-52c111077da7_SiteId">
    <vt:lpwstr>0b1d23d8-10d1-4093-8cb7-fd0bb32f81e1</vt:lpwstr>
  </property>
  <property fmtid="{D5CDD505-2E9C-101B-9397-08002B2CF9AE}" pid="4" name="MSIP_Label_fb3ff2d6-7c2c-441b-97b8-52c111077da7_Owner">
    <vt:lpwstr>DinahDe@nedbank.co.za</vt:lpwstr>
  </property>
  <property fmtid="{D5CDD505-2E9C-101B-9397-08002B2CF9AE}" pid="5" name="MSIP_Label_fb3ff2d6-7c2c-441b-97b8-52c111077da7_SetDate">
    <vt:lpwstr>2020-03-20T07:28:07.6257884Z</vt:lpwstr>
  </property>
  <property fmtid="{D5CDD505-2E9C-101B-9397-08002B2CF9AE}" pid="6" name="MSIP_Label_fb3ff2d6-7c2c-441b-97b8-52c111077da7_Name">
    <vt:lpwstr>NGL Internal Use Only</vt:lpwstr>
  </property>
  <property fmtid="{D5CDD505-2E9C-101B-9397-08002B2CF9AE}" pid="7" name="MSIP_Label_fb3ff2d6-7c2c-441b-97b8-52c111077da7_Application">
    <vt:lpwstr>Microsoft Azure Information Protection</vt:lpwstr>
  </property>
  <property fmtid="{D5CDD505-2E9C-101B-9397-08002B2CF9AE}" pid="8" name="MSIP_Label_fb3ff2d6-7c2c-441b-97b8-52c111077da7_ActionId">
    <vt:lpwstr>b80792b0-9e77-4868-a6b4-b3df5e102ac9</vt:lpwstr>
  </property>
  <property fmtid="{D5CDD505-2E9C-101B-9397-08002B2CF9AE}" pid="9" name="MSIP_Label_fb3ff2d6-7c2c-441b-97b8-52c111077da7_Extended_MSFT_Method">
    <vt:lpwstr>Automatic</vt:lpwstr>
  </property>
  <property fmtid="{D5CDD505-2E9C-101B-9397-08002B2CF9AE}" pid="10" name="Sensitivity">
    <vt:lpwstr>NGL Internal Use Only</vt:lpwstr>
  </property>
  <property fmtid="{D5CDD505-2E9C-101B-9397-08002B2CF9AE}" pid="11" name="Order">
    <vt:r8>23073600</vt:r8>
  </property>
  <property fmtid="{D5CDD505-2E9C-101B-9397-08002B2CF9AE}" pid="12" name="MediaServiceImageTags">
    <vt:lpwstr/>
  </property>
  <property fmtid="{D5CDD505-2E9C-101B-9397-08002B2CF9AE}" pid="13" name="ContentTypeId">
    <vt:lpwstr>0x010100757983235A7B0C4E9DAF059E52CA6312</vt:lpwstr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_activity">
    <vt:lpwstr>{"FileActivityType":"6","FileActivityTimeStamp":"2023-11-12T20:01:13.053Z","FileActivityUsersOnPage":[{"DisplayName":"Ndlovu, N. (Nombulelo)","Id":"nombulelon@nedbank.co.za"}],"FileActivityNavigationId":null}</vt:lpwstr>
  </property>
  <property fmtid="{D5CDD505-2E9C-101B-9397-08002B2CF9AE}" pid="17" name="TriggerFlowInfo">
    <vt:lpwstr/>
  </property>
</Properties>
</file>